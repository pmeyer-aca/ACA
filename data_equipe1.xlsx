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meye\Documents\Travail Philippe\Foot\"/>
    </mc:Choice>
  </mc:AlternateContent>
  <xr:revisionPtr revIDLastSave="0" documentId="8_{692B298C-07C3-4E6F-ADA2-FB3E48EE00DE}" xr6:coauthVersionLast="47" xr6:coauthVersionMax="47" xr10:uidLastSave="{00000000-0000-0000-0000-000000000000}"/>
  <bookViews>
    <workbookView xWindow="28680" yWindow="-120" windowWidth="29040" windowHeight="15720" tabRatio="500" activeTab="7" xr2:uid="{00000000-000D-0000-FFFF-FFFF00000000}"/>
  </bookViews>
  <sheets>
    <sheet name="Legende" sheetId="1" r:id="rId1"/>
    <sheet name="Effectif Saison" sheetId="2" r:id="rId2"/>
    <sheet name="Matchs" sheetId="3" r:id="rId3"/>
    <sheet name="Buts" sheetId="4" r:id="rId4"/>
    <sheet name="Cartons" sheetId="5" r:id="rId5"/>
    <sheet name="Gardien" sheetId="6" r:id="rId6"/>
    <sheet name="Changements" sheetId="7" r:id="rId7"/>
    <sheet name="Convocations &amp; Temps de jeu" sheetId="8" r:id="rId8"/>
    <sheet name="Cumul Saison"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2" i="9" l="1"/>
  <c r="B51" i="9"/>
  <c r="B50" i="9"/>
  <c r="A50" i="9"/>
  <c r="W49" i="9"/>
  <c r="V49" i="9"/>
  <c r="U49" i="9"/>
  <c r="L49" i="9"/>
  <c r="I49" i="9"/>
  <c r="E49" i="9"/>
  <c r="B49" i="9"/>
  <c r="N48" i="9"/>
  <c r="M48" i="9"/>
  <c r="L48" i="9"/>
  <c r="B48" i="9"/>
  <c r="B47" i="9"/>
  <c r="T46" i="9"/>
  <c r="G46" i="9"/>
  <c r="B46" i="9"/>
  <c r="W45" i="9"/>
  <c r="T45" i="9"/>
  <c r="S45" i="9"/>
  <c r="L45" i="9"/>
  <c r="O45" i="9" s="1"/>
  <c r="K45" i="9"/>
  <c r="F45" i="9"/>
  <c r="E45" i="9"/>
  <c r="B45" i="9"/>
  <c r="A45" i="9"/>
  <c r="W44" i="9"/>
  <c r="V44" i="9"/>
  <c r="U44" i="9"/>
  <c r="T44" i="9"/>
  <c r="S44" i="9"/>
  <c r="R44" i="9"/>
  <c r="Q44" i="9"/>
  <c r="N44" i="9"/>
  <c r="M44" i="9"/>
  <c r="K44" i="9"/>
  <c r="J44" i="9"/>
  <c r="I44" i="9"/>
  <c r="H44" i="9"/>
  <c r="G44" i="9"/>
  <c r="E44" i="9"/>
  <c r="B44" i="9"/>
  <c r="A44" i="9"/>
  <c r="T43" i="9"/>
  <c r="S43" i="9"/>
  <c r="N43" i="9"/>
  <c r="J43" i="9"/>
  <c r="I43" i="9"/>
  <c r="B43" i="9"/>
  <c r="W42" i="9"/>
  <c r="S42" i="9"/>
  <c r="Q42" i="9"/>
  <c r="I42" i="9"/>
  <c r="H42" i="9"/>
  <c r="F42" i="9"/>
  <c r="E42" i="9"/>
  <c r="B42" i="9"/>
  <c r="B41" i="9"/>
  <c r="I40" i="9"/>
  <c r="B40" i="9"/>
  <c r="A40" i="9"/>
  <c r="B39" i="9"/>
  <c r="B38" i="9"/>
  <c r="B37" i="9"/>
  <c r="J36" i="9"/>
  <c r="I36" i="9"/>
  <c r="H36" i="9"/>
  <c r="G36" i="9"/>
  <c r="F36" i="9"/>
  <c r="E36" i="9"/>
  <c r="B36" i="9"/>
  <c r="A36" i="9"/>
  <c r="B35" i="9"/>
  <c r="B34" i="9"/>
  <c r="A34" i="9"/>
  <c r="B33" i="9"/>
  <c r="U32" i="9"/>
  <c r="J32" i="9"/>
  <c r="I32" i="9"/>
  <c r="E32" i="9"/>
  <c r="D32" i="9"/>
  <c r="B32" i="9"/>
  <c r="B31" i="9"/>
  <c r="A31" i="9"/>
  <c r="W30" i="9"/>
  <c r="U30" i="9"/>
  <c r="T30" i="9"/>
  <c r="Q30" i="9"/>
  <c r="I30" i="9"/>
  <c r="H30" i="9"/>
  <c r="F30" i="9"/>
  <c r="E30" i="9"/>
  <c r="D30" i="9"/>
  <c r="B30" i="9"/>
  <c r="A30" i="9"/>
  <c r="B29" i="9"/>
  <c r="B28" i="9"/>
  <c r="B27" i="9"/>
  <c r="B26" i="9"/>
  <c r="B25" i="9"/>
  <c r="A25" i="9"/>
  <c r="B24" i="9"/>
  <c r="J23" i="9"/>
  <c r="H23" i="9"/>
  <c r="G23" i="9"/>
  <c r="B23" i="9"/>
  <c r="B22" i="9"/>
  <c r="W21" i="9"/>
  <c r="V21" i="9"/>
  <c r="U21" i="9"/>
  <c r="T21" i="9"/>
  <c r="J21" i="9"/>
  <c r="I21" i="9"/>
  <c r="H21" i="9"/>
  <c r="F21" i="9"/>
  <c r="E21" i="9"/>
  <c r="B21" i="9"/>
  <c r="A21" i="9"/>
  <c r="W20" i="9"/>
  <c r="V20" i="9"/>
  <c r="T20" i="9"/>
  <c r="S20" i="9"/>
  <c r="G20" i="9"/>
  <c r="B20" i="9"/>
  <c r="A20" i="9"/>
  <c r="J19" i="9"/>
  <c r="B19" i="9"/>
  <c r="W18" i="9"/>
  <c r="V18" i="9"/>
  <c r="U18" i="9"/>
  <c r="T18" i="9"/>
  <c r="S18" i="9"/>
  <c r="Q18" i="9"/>
  <c r="I18" i="9"/>
  <c r="H18" i="9"/>
  <c r="G18" i="9"/>
  <c r="F18" i="9"/>
  <c r="B18" i="9"/>
  <c r="T17" i="9"/>
  <c r="Q17" i="9"/>
  <c r="J17" i="9"/>
  <c r="H17" i="9"/>
  <c r="B17" i="9"/>
  <c r="A17" i="9"/>
  <c r="U16" i="9"/>
  <c r="B16" i="9"/>
  <c r="A16" i="9"/>
  <c r="W15" i="9"/>
  <c r="T15" i="9"/>
  <c r="S15" i="9"/>
  <c r="D15" i="9"/>
  <c r="B15" i="9"/>
  <c r="H14" i="9"/>
  <c r="B14" i="9"/>
  <c r="A14" i="9"/>
  <c r="Q13" i="9"/>
  <c r="B13" i="9"/>
  <c r="A13" i="9"/>
  <c r="W12" i="9"/>
  <c r="U12" i="9"/>
  <c r="T12" i="9"/>
  <c r="Q12" i="9"/>
  <c r="J12" i="9"/>
  <c r="H12" i="9"/>
  <c r="G12" i="9"/>
  <c r="F12" i="9"/>
  <c r="E12" i="9"/>
  <c r="B12" i="9"/>
  <c r="A12" i="9"/>
  <c r="B11" i="9"/>
  <c r="U10" i="9"/>
  <c r="S10" i="9"/>
  <c r="B10" i="9"/>
  <c r="B9" i="9"/>
  <c r="B8" i="9"/>
  <c r="I7" i="9"/>
  <c r="H7" i="9"/>
  <c r="B7" i="9"/>
  <c r="T6" i="9"/>
  <c r="S6" i="9"/>
  <c r="J6" i="9"/>
  <c r="H6" i="9"/>
  <c r="G6" i="9"/>
  <c r="E6" i="9"/>
  <c r="D6" i="9"/>
  <c r="B6" i="9"/>
  <c r="A6" i="9"/>
  <c r="B5" i="9"/>
  <c r="Y2" i="9"/>
  <c r="G500" i="6"/>
  <c r="D500" i="6"/>
  <c r="G499" i="6"/>
  <c r="D499" i="6"/>
  <c r="G498" i="6"/>
  <c r="D498" i="6"/>
  <c r="G497" i="6"/>
  <c r="D497" i="6"/>
  <c r="G496" i="6"/>
  <c r="D496" i="6"/>
  <c r="G495" i="6"/>
  <c r="D495" i="6"/>
  <c r="G494" i="6"/>
  <c r="D494" i="6"/>
  <c r="G493" i="6"/>
  <c r="D493" i="6"/>
  <c r="G492" i="6"/>
  <c r="D492" i="6"/>
  <c r="G491" i="6"/>
  <c r="D491" i="6"/>
  <c r="G490" i="6"/>
  <c r="D490" i="6"/>
  <c r="G489" i="6"/>
  <c r="D489" i="6"/>
  <c r="G488" i="6"/>
  <c r="D488" i="6"/>
  <c r="G487" i="6"/>
  <c r="D487" i="6"/>
  <c r="G486" i="6"/>
  <c r="D486" i="6"/>
  <c r="G485" i="6"/>
  <c r="D485" i="6"/>
  <c r="G484" i="6"/>
  <c r="D484" i="6"/>
  <c r="G483" i="6"/>
  <c r="D483" i="6"/>
  <c r="G482" i="6"/>
  <c r="D482" i="6"/>
  <c r="G481" i="6"/>
  <c r="D481" i="6"/>
  <c r="G480" i="6"/>
  <c r="D480" i="6"/>
  <c r="G479" i="6"/>
  <c r="D479" i="6"/>
  <c r="G478" i="6"/>
  <c r="D478" i="6"/>
  <c r="G477" i="6"/>
  <c r="D477" i="6"/>
  <c r="G476" i="6"/>
  <c r="D476" i="6"/>
  <c r="G475" i="6"/>
  <c r="D475" i="6"/>
  <c r="G474" i="6"/>
  <c r="D474" i="6"/>
  <c r="G473" i="6"/>
  <c r="D473" i="6"/>
  <c r="G472" i="6"/>
  <c r="D472" i="6"/>
  <c r="G471" i="6"/>
  <c r="D471" i="6"/>
  <c r="G470" i="6"/>
  <c r="D470" i="6"/>
  <c r="G469" i="6"/>
  <c r="D469" i="6"/>
  <c r="G468" i="6"/>
  <c r="D468" i="6"/>
  <c r="G467" i="6"/>
  <c r="D467" i="6"/>
  <c r="G466" i="6"/>
  <c r="D466" i="6"/>
  <c r="G465" i="6"/>
  <c r="D465" i="6"/>
  <c r="G464" i="6"/>
  <c r="D464" i="6"/>
  <c r="G463" i="6"/>
  <c r="D463" i="6"/>
  <c r="G462" i="6"/>
  <c r="D462" i="6"/>
  <c r="G461" i="6"/>
  <c r="D461" i="6"/>
  <c r="G460" i="6"/>
  <c r="D460" i="6"/>
  <c r="G459" i="6"/>
  <c r="D459" i="6"/>
  <c r="G458" i="6"/>
  <c r="D458" i="6"/>
  <c r="G457" i="6"/>
  <c r="D457" i="6"/>
  <c r="G456" i="6"/>
  <c r="D456" i="6"/>
  <c r="G455" i="6"/>
  <c r="D455" i="6"/>
  <c r="G454" i="6"/>
  <c r="D454" i="6"/>
  <c r="G453" i="6"/>
  <c r="D453" i="6"/>
  <c r="G452" i="6"/>
  <c r="D452" i="6"/>
  <c r="G451" i="6"/>
  <c r="D451" i="6"/>
  <c r="G450" i="6"/>
  <c r="D450" i="6"/>
  <c r="G449" i="6"/>
  <c r="D449" i="6"/>
  <c r="G448" i="6"/>
  <c r="D448" i="6"/>
  <c r="G447" i="6"/>
  <c r="D447" i="6"/>
  <c r="G446" i="6"/>
  <c r="D446" i="6"/>
  <c r="G445" i="6"/>
  <c r="D445" i="6"/>
  <c r="G444" i="6"/>
  <c r="D444" i="6"/>
  <c r="G443" i="6"/>
  <c r="D443" i="6"/>
  <c r="G442" i="6"/>
  <c r="D442" i="6"/>
  <c r="G441" i="6"/>
  <c r="D441" i="6"/>
  <c r="G440" i="6"/>
  <c r="D440" i="6"/>
  <c r="G439" i="6"/>
  <c r="D439" i="6"/>
  <c r="G438" i="6"/>
  <c r="D438" i="6"/>
  <c r="G437" i="6"/>
  <c r="D437" i="6"/>
  <c r="G436" i="6"/>
  <c r="D436" i="6"/>
  <c r="G435" i="6"/>
  <c r="D435" i="6"/>
  <c r="G434" i="6"/>
  <c r="D434" i="6"/>
  <c r="G433" i="6"/>
  <c r="D433" i="6"/>
  <c r="G432" i="6"/>
  <c r="D432" i="6"/>
  <c r="G431" i="6"/>
  <c r="D431" i="6"/>
  <c r="G430" i="6"/>
  <c r="D430" i="6"/>
  <c r="G429" i="6"/>
  <c r="D429" i="6"/>
  <c r="G428" i="6"/>
  <c r="D428" i="6"/>
  <c r="G427" i="6"/>
  <c r="D427" i="6"/>
  <c r="G426" i="6"/>
  <c r="D426" i="6"/>
  <c r="G425" i="6"/>
  <c r="D425" i="6"/>
  <c r="G424" i="6"/>
  <c r="D424" i="6"/>
  <c r="G423" i="6"/>
  <c r="D423" i="6"/>
  <c r="G422" i="6"/>
  <c r="D422" i="6"/>
  <c r="G421" i="6"/>
  <c r="D421" i="6"/>
  <c r="G420" i="6"/>
  <c r="D420" i="6"/>
  <c r="G419" i="6"/>
  <c r="D419" i="6"/>
  <c r="G418" i="6"/>
  <c r="D418" i="6"/>
  <c r="G417" i="6"/>
  <c r="D417" i="6"/>
  <c r="G416" i="6"/>
  <c r="D416" i="6"/>
  <c r="G415" i="6"/>
  <c r="D415" i="6"/>
  <c r="G414" i="6"/>
  <c r="D414" i="6"/>
  <c r="G413" i="6"/>
  <c r="D413" i="6"/>
  <c r="G412" i="6"/>
  <c r="D412" i="6"/>
  <c r="G411" i="6"/>
  <c r="D411" i="6"/>
  <c r="G410" i="6"/>
  <c r="D410" i="6"/>
  <c r="G409" i="6"/>
  <c r="D409" i="6"/>
  <c r="G408" i="6"/>
  <c r="D408" i="6"/>
  <c r="G407" i="6"/>
  <c r="D407" i="6"/>
  <c r="G406" i="6"/>
  <c r="D406" i="6"/>
  <c r="G405" i="6"/>
  <c r="D405" i="6"/>
  <c r="G404" i="6"/>
  <c r="D404" i="6"/>
  <c r="G403" i="6"/>
  <c r="D403" i="6"/>
  <c r="G402" i="6"/>
  <c r="D402" i="6"/>
  <c r="G401" i="6"/>
  <c r="D401" i="6"/>
  <c r="G400" i="6"/>
  <c r="D400" i="6"/>
  <c r="G399" i="6"/>
  <c r="D399" i="6"/>
  <c r="G398" i="6"/>
  <c r="D398" i="6"/>
  <c r="G397" i="6"/>
  <c r="D397" i="6"/>
  <c r="G396" i="6"/>
  <c r="D396" i="6"/>
  <c r="G395" i="6"/>
  <c r="D395" i="6"/>
  <c r="G394" i="6"/>
  <c r="D394" i="6"/>
  <c r="G393" i="6"/>
  <c r="D393" i="6"/>
  <c r="G392" i="6"/>
  <c r="D392" i="6"/>
  <c r="G391" i="6"/>
  <c r="D391" i="6"/>
  <c r="G390" i="6"/>
  <c r="D390" i="6"/>
  <c r="G389" i="6"/>
  <c r="D389" i="6"/>
  <c r="G388" i="6"/>
  <c r="D388" i="6"/>
  <c r="G387" i="6"/>
  <c r="D387" i="6"/>
  <c r="G386" i="6"/>
  <c r="D386" i="6"/>
  <c r="G385" i="6"/>
  <c r="D385" i="6"/>
  <c r="G384" i="6"/>
  <c r="D384" i="6"/>
  <c r="G383" i="6"/>
  <c r="D383" i="6"/>
  <c r="G382" i="6"/>
  <c r="D382" i="6"/>
  <c r="G381" i="6"/>
  <c r="D381" i="6"/>
  <c r="G380" i="6"/>
  <c r="D380" i="6"/>
  <c r="G379" i="6"/>
  <c r="D379" i="6"/>
  <c r="G378" i="6"/>
  <c r="D378" i="6"/>
  <c r="G377" i="6"/>
  <c r="D377" i="6"/>
  <c r="G376" i="6"/>
  <c r="D376" i="6"/>
  <c r="G375" i="6"/>
  <c r="D375" i="6"/>
  <c r="G374" i="6"/>
  <c r="D374" i="6"/>
  <c r="G373" i="6"/>
  <c r="D373" i="6"/>
  <c r="G372" i="6"/>
  <c r="D372" i="6"/>
  <c r="G371" i="6"/>
  <c r="D371" i="6"/>
  <c r="G370" i="6"/>
  <c r="D370" i="6"/>
  <c r="G369" i="6"/>
  <c r="D369" i="6"/>
  <c r="G368" i="6"/>
  <c r="D368" i="6"/>
  <c r="G367" i="6"/>
  <c r="D367" i="6"/>
  <c r="G366" i="6"/>
  <c r="D366" i="6"/>
  <c r="G365" i="6"/>
  <c r="D365" i="6"/>
  <c r="G364" i="6"/>
  <c r="D364" i="6"/>
  <c r="G363" i="6"/>
  <c r="D363" i="6"/>
  <c r="G362" i="6"/>
  <c r="D362" i="6"/>
  <c r="G361" i="6"/>
  <c r="D361" i="6"/>
  <c r="G360" i="6"/>
  <c r="D360" i="6"/>
  <c r="G359" i="6"/>
  <c r="D359" i="6"/>
  <c r="G358" i="6"/>
  <c r="D358" i="6"/>
  <c r="G357" i="6"/>
  <c r="D357" i="6"/>
  <c r="G356" i="6"/>
  <c r="D356" i="6"/>
  <c r="G355" i="6"/>
  <c r="D355" i="6"/>
  <c r="G354" i="6"/>
  <c r="D354" i="6"/>
  <c r="G353" i="6"/>
  <c r="D353" i="6"/>
  <c r="G352" i="6"/>
  <c r="D352" i="6"/>
  <c r="G351" i="6"/>
  <c r="D351" i="6"/>
  <c r="G350" i="6"/>
  <c r="D350" i="6"/>
  <c r="G349" i="6"/>
  <c r="D349" i="6"/>
  <c r="G348" i="6"/>
  <c r="D348" i="6"/>
  <c r="G347" i="6"/>
  <c r="D347" i="6"/>
  <c r="G346" i="6"/>
  <c r="D346" i="6"/>
  <c r="G345" i="6"/>
  <c r="D345" i="6"/>
  <c r="G344" i="6"/>
  <c r="D344" i="6"/>
  <c r="G343" i="6"/>
  <c r="D343" i="6"/>
  <c r="G342" i="6"/>
  <c r="D342" i="6"/>
  <c r="G341" i="6"/>
  <c r="D341" i="6"/>
  <c r="G340" i="6"/>
  <c r="D340" i="6"/>
  <c r="G339" i="6"/>
  <c r="D339" i="6"/>
  <c r="G338" i="6"/>
  <c r="D338" i="6"/>
  <c r="G337" i="6"/>
  <c r="D337" i="6"/>
  <c r="G336" i="6"/>
  <c r="D336" i="6"/>
  <c r="G335" i="6"/>
  <c r="D335" i="6"/>
  <c r="G334" i="6"/>
  <c r="D334" i="6"/>
  <c r="G333" i="6"/>
  <c r="D333" i="6"/>
  <c r="G332" i="6"/>
  <c r="D332" i="6"/>
  <c r="G331" i="6"/>
  <c r="D331" i="6"/>
  <c r="G330" i="6"/>
  <c r="D330" i="6"/>
  <c r="G329" i="6"/>
  <c r="D329" i="6"/>
  <c r="G328" i="6"/>
  <c r="D328" i="6"/>
  <c r="G327" i="6"/>
  <c r="D327" i="6"/>
  <c r="G326" i="6"/>
  <c r="D326" i="6"/>
  <c r="G325" i="6"/>
  <c r="D325" i="6"/>
  <c r="G324" i="6"/>
  <c r="D324" i="6"/>
  <c r="G323" i="6"/>
  <c r="D323" i="6"/>
  <c r="G322" i="6"/>
  <c r="D322" i="6"/>
  <c r="G321" i="6"/>
  <c r="D321" i="6"/>
  <c r="G320" i="6"/>
  <c r="D320" i="6"/>
  <c r="G319" i="6"/>
  <c r="D319" i="6"/>
  <c r="G318" i="6"/>
  <c r="D318" i="6"/>
  <c r="G317" i="6"/>
  <c r="D317" i="6"/>
  <c r="G316" i="6"/>
  <c r="D316" i="6"/>
  <c r="G315" i="6"/>
  <c r="D315" i="6"/>
  <c r="G314" i="6"/>
  <c r="D314" i="6"/>
  <c r="G313" i="6"/>
  <c r="D313" i="6"/>
  <c r="G312" i="6"/>
  <c r="D312" i="6"/>
  <c r="G311" i="6"/>
  <c r="D311" i="6"/>
  <c r="G310" i="6"/>
  <c r="D310" i="6"/>
  <c r="G309" i="6"/>
  <c r="D309" i="6"/>
  <c r="G308" i="6"/>
  <c r="D308" i="6"/>
  <c r="G307" i="6"/>
  <c r="D307" i="6"/>
  <c r="G306" i="6"/>
  <c r="D306" i="6"/>
  <c r="G305" i="6"/>
  <c r="D305" i="6"/>
  <c r="G304" i="6"/>
  <c r="D304" i="6"/>
  <c r="G303" i="6"/>
  <c r="D303" i="6"/>
  <c r="G302" i="6"/>
  <c r="D302" i="6"/>
  <c r="G301" i="6"/>
  <c r="D301" i="6"/>
  <c r="G300" i="6"/>
  <c r="D300" i="6"/>
  <c r="G299" i="6"/>
  <c r="D299" i="6"/>
  <c r="G298" i="6"/>
  <c r="D298" i="6"/>
  <c r="G297" i="6"/>
  <c r="D297" i="6"/>
  <c r="G296" i="6"/>
  <c r="D296" i="6"/>
  <c r="G295" i="6"/>
  <c r="D295" i="6"/>
  <c r="G294" i="6"/>
  <c r="D294" i="6"/>
  <c r="G293" i="6"/>
  <c r="D293" i="6"/>
  <c r="G292" i="6"/>
  <c r="D292" i="6"/>
  <c r="G291" i="6"/>
  <c r="D291" i="6"/>
  <c r="G290" i="6"/>
  <c r="D290" i="6"/>
  <c r="G289" i="6"/>
  <c r="D289" i="6"/>
  <c r="G288" i="6"/>
  <c r="D288" i="6"/>
  <c r="G287" i="6"/>
  <c r="D287" i="6"/>
  <c r="G286" i="6"/>
  <c r="D286" i="6"/>
  <c r="G285" i="6"/>
  <c r="D285" i="6"/>
  <c r="G284" i="6"/>
  <c r="D284" i="6"/>
  <c r="G283" i="6"/>
  <c r="D283" i="6"/>
  <c r="G282" i="6"/>
  <c r="D282" i="6"/>
  <c r="G281" i="6"/>
  <c r="D281" i="6"/>
  <c r="G280" i="6"/>
  <c r="D280" i="6"/>
  <c r="G279" i="6"/>
  <c r="D279" i="6"/>
  <c r="G278" i="6"/>
  <c r="D278" i="6"/>
  <c r="G277" i="6"/>
  <c r="D277" i="6"/>
  <c r="G276" i="6"/>
  <c r="D276" i="6"/>
  <c r="G275" i="6"/>
  <c r="D275" i="6"/>
  <c r="G274" i="6"/>
  <c r="D274" i="6"/>
  <c r="G273" i="6"/>
  <c r="D273" i="6"/>
  <c r="G272" i="6"/>
  <c r="D272" i="6"/>
  <c r="G271" i="6"/>
  <c r="D271" i="6"/>
  <c r="G270" i="6"/>
  <c r="D270" i="6"/>
  <c r="G269" i="6"/>
  <c r="D269" i="6"/>
  <c r="G268" i="6"/>
  <c r="D268" i="6"/>
  <c r="G267" i="6"/>
  <c r="D267" i="6"/>
  <c r="G266" i="6"/>
  <c r="D266" i="6"/>
  <c r="G265" i="6"/>
  <c r="D265" i="6"/>
  <c r="G264" i="6"/>
  <c r="D264" i="6"/>
  <c r="G263" i="6"/>
  <c r="D263" i="6"/>
  <c r="G262" i="6"/>
  <c r="D262" i="6"/>
  <c r="G261" i="6"/>
  <c r="D261" i="6"/>
  <c r="G260" i="6"/>
  <c r="D260" i="6"/>
  <c r="G259" i="6"/>
  <c r="D259" i="6"/>
  <c r="G258" i="6"/>
  <c r="D258" i="6"/>
  <c r="G257" i="6"/>
  <c r="D257" i="6"/>
  <c r="G256" i="6"/>
  <c r="D256" i="6"/>
  <c r="G255" i="6"/>
  <c r="D255" i="6"/>
  <c r="G254" i="6"/>
  <c r="D254" i="6"/>
  <c r="G253" i="6"/>
  <c r="D253" i="6"/>
  <c r="G252" i="6"/>
  <c r="D252" i="6"/>
  <c r="G251" i="6"/>
  <c r="D251" i="6"/>
  <c r="G250" i="6"/>
  <c r="D250" i="6"/>
  <c r="G249" i="6"/>
  <c r="D249" i="6"/>
  <c r="G248" i="6"/>
  <c r="D248" i="6"/>
  <c r="G247" i="6"/>
  <c r="D247" i="6"/>
  <c r="G246" i="6"/>
  <c r="D246" i="6"/>
  <c r="G245" i="6"/>
  <c r="D245" i="6"/>
  <c r="G244" i="6"/>
  <c r="D244" i="6"/>
  <c r="G243" i="6"/>
  <c r="D243" i="6"/>
  <c r="G242" i="6"/>
  <c r="D242" i="6"/>
  <c r="G241" i="6"/>
  <c r="D241" i="6"/>
  <c r="G240" i="6"/>
  <c r="D240" i="6"/>
  <c r="G239" i="6"/>
  <c r="D239" i="6"/>
  <c r="G238" i="6"/>
  <c r="D238" i="6"/>
  <c r="G237" i="6"/>
  <c r="D237" i="6"/>
  <c r="G236" i="6"/>
  <c r="D236" i="6"/>
  <c r="G235" i="6"/>
  <c r="D235" i="6"/>
  <c r="G234" i="6"/>
  <c r="D234" i="6"/>
  <c r="G233" i="6"/>
  <c r="D233" i="6"/>
  <c r="G232" i="6"/>
  <c r="D232" i="6"/>
  <c r="G231" i="6"/>
  <c r="D231" i="6"/>
  <c r="G230" i="6"/>
  <c r="D230" i="6"/>
  <c r="G229" i="6"/>
  <c r="D229" i="6"/>
  <c r="G228" i="6"/>
  <c r="D228" i="6"/>
  <c r="G227" i="6"/>
  <c r="D227" i="6"/>
  <c r="G226" i="6"/>
  <c r="D226" i="6"/>
  <c r="G225" i="6"/>
  <c r="D225" i="6"/>
  <c r="G224" i="6"/>
  <c r="D224" i="6"/>
  <c r="G223" i="6"/>
  <c r="D223" i="6"/>
  <c r="G222" i="6"/>
  <c r="D222" i="6"/>
  <c r="G221" i="6"/>
  <c r="D221" i="6"/>
  <c r="G220" i="6"/>
  <c r="D220" i="6"/>
  <c r="G219" i="6"/>
  <c r="D219" i="6"/>
  <c r="G218" i="6"/>
  <c r="D218" i="6"/>
  <c r="G217" i="6"/>
  <c r="D217" i="6"/>
  <c r="G216" i="6"/>
  <c r="D216" i="6"/>
  <c r="G215" i="6"/>
  <c r="D215" i="6"/>
  <c r="G214" i="6"/>
  <c r="D214" i="6"/>
  <c r="G213" i="6"/>
  <c r="D213" i="6"/>
  <c r="G212" i="6"/>
  <c r="D212" i="6"/>
  <c r="G211" i="6"/>
  <c r="D211" i="6"/>
  <c r="G210" i="6"/>
  <c r="D210" i="6"/>
  <c r="G209" i="6"/>
  <c r="D209" i="6"/>
  <c r="G208" i="6"/>
  <c r="D208" i="6"/>
  <c r="G207" i="6"/>
  <c r="D207" i="6"/>
  <c r="G206" i="6"/>
  <c r="D206" i="6"/>
  <c r="G205" i="6"/>
  <c r="D205" i="6"/>
  <c r="G204" i="6"/>
  <c r="D204" i="6"/>
  <c r="G203" i="6"/>
  <c r="D203" i="6"/>
  <c r="G202" i="6"/>
  <c r="D202" i="6"/>
  <c r="G201" i="6"/>
  <c r="D201" i="6"/>
  <c r="G200" i="6"/>
  <c r="D200" i="6"/>
  <c r="G199" i="6"/>
  <c r="D199" i="6"/>
  <c r="G198" i="6"/>
  <c r="D198" i="6"/>
  <c r="G197" i="6"/>
  <c r="D197" i="6"/>
  <c r="G196" i="6"/>
  <c r="D196" i="6"/>
  <c r="G195" i="6"/>
  <c r="D195" i="6"/>
  <c r="G194" i="6"/>
  <c r="D194" i="6"/>
  <c r="G193" i="6"/>
  <c r="D193" i="6"/>
  <c r="G192" i="6"/>
  <c r="D192" i="6"/>
  <c r="G191" i="6"/>
  <c r="D191" i="6"/>
  <c r="G190" i="6"/>
  <c r="D190" i="6"/>
  <c r="G189" i="6"/>
  <c r="D189" i="6"/>
  <c r="G188" i="6"/>
  <c r="D188" i="6"/>
  <c r="G187" i="6"/>
  <c r="D187" i="6"/>
  <c r="G186" i="6"/>
  <c r="D186" i="6"/>
  <c r="G185" i="6"/>
  <c r="D185" i="6"/>
  <c r="G184" i="6"/>
  <c r="D184" i="6"/>
  <c r="G183" i="6"/>
  <c r="D183" i="6"/>
  <c r="G182" i="6"/>
  <c r="D182" i="6"/>
  <c r="G181" i="6"/>
  <c r="D181" i="6"/>
  <c r="G180" i="6"/>
  <c r="D180" i="6"/>
  <c r="G179" i="6"/>
  <c r="D179" i="6"/>
  <c r="G178" i="6"/>
  <c r="D178" i="6"/>
  <c r="G177" i="6"/>
  <c r="D177" i="6"/>
  <c r="G176" i="6"/>
  <c r="D176" i="6"/>
  <c r="G175" i="6"/>
  <c r="D175" i="6"/>
  <c r="G174" i="6"/>
  <c r="D174" i="6"/>
  <c r="G173" i="6"/>
  <c r="D173" i="6"/>
  <c r="G172" i="6"/>
  <c r="D172" i="6"/>
  <c r="G171" i="6"/>
  <c r="D171" i="6"/>
  <c r="G170" i="6"/>
  <c r="D170" i="6"/>
  <c r="G169" i="6"/>
  <c r="D169" i="6"/>
  <c r="G168" i="6"/>
  <c r="D168" i="6"/>
  <c r="G167" i="6"/>
  <c r="D167" i="6"/>
  <c r="G166" i="6"/>
  <c r="D166" i="6"/>
  <c r="G165" i="6"/>
  <c r="D165" i="6"/>
  <c r="G164" i="6"/>
  <c r="D164" i="6"/>
  <c r="G163" i="6"/>
  <c r="D163" i="6"/>
  <c r="G162" i="6"/>
  <c r="D162" i="6"/>
  <c r="G161" i="6"/>
  <c r="D161" i="6"/>
  <c r="G160" i="6"/>
  <c r="D160" i="6"/>
  <c r="G159" i="6"/>
  <c r="D159" i="6"/>
  <c r="G158" i="6"/>
  <c r="D158" i="6"/>
  <c r="G157" i="6"/>
  <c r="D157" i="6"/>
  <c r="G156" i="6"/>
  <c r="D156" i="6"/>
  <c r="G155" i="6"/>
  <c r="D155" i="6"/>
  <c r="G154" i="6"/>
  <c r="D154" i="6"/>
  <c r="G153" i="6"/>
  <c r="D153" i="6"/>
  <c r="G152" i="6"/>
  <c r="D152" i="6"/>
  <c r="G151" i="6"/>
  <c r="D151" i="6"/>
  <c r="G150" i="6"/>
  <c r="D150" i="6"/>
  <c r="G149" i="6"/>
  <c r="D149" i="6"/>
  <c r="G148" i="6"/>
  <c r="D148" i="6"/>
  <c r="G147" i="6"/>
  <c r="D147" i="6"/>
  <c r="G146" i="6"/>
  <c r="D146" i="6"/>
  <c r="G145" i="6"/>
  <c r="D145" i="6"/>
  <c r="G144" i="6"/>
  <c r="D144" i="6"/>
  <c r="G143" i="6"/>
  <c r="D143" i="6"/>
  <c r="G142" i="6"/>
  <c r="D142" i="6"/>
  <c r="G141" i="6"/>
  <c r="D141" i="6"/>
  <c r="G140" i="6"/>
  <c r="D140" i="6"/>
  <c r="G139" i="6"/>
  <c r="D139" i="6"/>
  <c r="G138" i="6"/>
  <c r="D138" i="6"/>
  <c r="G137" i="6"/>
  <c r="D137" i="6"/>
  <c r="G136" i="6"/>
  <c r="D136" i="6"/>
  <c r="G135" i="6"/>
  <c r="D135" i="6"/>
  <c r="G134" i="6"/>
  <c r="D134" i="6"/>
  <c r="G133" i="6"/>
  <c r="D133" i="6"/>
  <c r="G132" i="6"/>
  <c r="D132" i="6"/>
  <c r="G131" i="6"/>
  <c r="D131" i="6"/>
  <c r="G130" i="6"/>
  <c r="D130" i="6"/>
  <c r="G129" i="6"/>
  <c r="D129" i="6"/>
  <c r="G128" i="6"/>
  <c r="D128" i="6"/>
  <c r="G127" i="6"/>
  <c r="D127" i="6"/>
  <c r="G126" i="6"/>
  <c r="D126" i="6"/>
  <c r="G125" i="6"/>
  <c r="D125" i="6"/>
  <c r="G124" i="6"/>
  <c r="D124" i="6"/>
  <c r="G123" i="6"/>
  <c r="D123" i="6"/>
  <c r="G122" i="6"/>
  <c r="D122" i="6"/>
  <c r="G121" i="6"/>
  <c r="D121" i="6"/>
  <c r="G120" i="6"/>
  <c r="D120" i="6"/>
  <c r="G119" i="6"/>
  <c r="D119" i="6"/>
  <c r="G118" i="6"/>
  <c r="D118" i="6"/>
  <c r="G117" i="6"/>
  <c r="D117" i="6"/>
  <c r="G116" i="6"/>
  <c r="D116" i="6"/>
  <c r="G115" i="6"/>
  <c r="D115" i="6"/>
  <c r="G114" i="6"/>
  <c r="D114" i="6"/>
  <c r="G113" i="6"/>
  <c r="D113" i="6"/>
  <c r="G112" i="6"/>
  <c r="D112" i="6"/>
  <c r="G111" i="6"/>
  <c r="D111" i="6"/>
  <c r="G110" i="6"/>
  <c r="D110" i="6"/>
  <c r="G109" i="6"/>
  <c r="D109" i="6"/>
  <c r="G108" i="6"/>
  <c r="D108" i="6"/>
  <c r="G107" i="6"/>
  <c r="D107" i="6"/>
  <c r="G106" i="6"/>
  <c r="D106" i="6"/>
  <c r="G105" i="6"/>
  <c r="D105" i="6"/>
  <c r="G104" i="6"/>
  <c r="D104" i="6"/>
  <c r="G103" i="6"/>
  <c r="D103" i="6"/>
  <c r="G102" i="6"/>
  <c r="D102" i="6"/>
  <c r="G101" i="6"/>
  <c r="D101" i="6"/>
  <c r="G100" i="6"/>
  <c r="D100" i="6"/>
  <c r="G99" i="6"/>
  <c r="D99" i="6"/>
  <c r="G98" i="6"/>
  <c r="D98" i="6"/>
  <c r="G97" i="6"/>
  <c r="D97" i="6"/>
  <c r="G96" i="6"/>
  <c r="D96" i="6"/>
  <c r="G95" i="6"/>
  <c r="D95" i="6"/>
  <c r="G94" i="6"/>
  <c r="D94" i="6"/>
  <c r="G93" i="6"/>
  <c r="D93" i="6"/>
  <c r="G92" i="6"/>
  <c r="D92" i="6"/>
  <c r="G91" i="6"/>
  <c r="D91" i="6"/>
  <c r="G90" i="6"/>
  <c r="D90" i="6"/>
  <c r="G89" i="6"/>
  <c r="D89" i="6"/>
  <c r="G88" i="6"/>
  <c r="D88" i="6"/>
  <c r="G87" i="6"/>
  <c r="D87" i="6"/>
  <c r="G86" i="6"/>
  <c r="D86" i="6"/>
  <c r="G85" i="6"/>
  <c r="D85" i="6"/>
  <c r="G84" i="6"/>
  <c r="D84" i="6"/>
  <c r="G83" i="6"/>
  <c r="D83" i="6"/>
  <c r="G82" i="6"/>
  <c r="D82" i="6"/>
  <c r="G81" i="6"/>
  <c r="D81" i="6"/>
  <c r="G80" i="6"/>
  <c r="D80" i="6"/>
  <c r="G79" i="6"/>
  <c r="D79" i="6"/>
  <c r="G78" i="6"/>
  <c r="D78" i="6"/>
  <c r="G77" i="6"/>
  <c r="D77" i="6"/>
  <c r="G76" i="6"/>
  <c r="D76" i="6"/>
  <c r="G75" i="6"/>
  <c r="D75" i="6"/>
  <c r="G74" i="6"/>
  <c r="D74" i="6"/>
  <c r="G73" i="6"/>
  <c r="D73" i="6"/>
  <c r="G72" i="6"/>
  <c r="D72" i="6"/>
  <c r="G71" i="6"/>
  <c r="D71" i="6"/>
  <c r="G70" i="6"/>
  <c r="D70" i="6"/>
  <c r="G69" i="6"/>
  <c r="D69" i="6"/>
  <c r="G68" i="6"/>
  <c r="D68" i="6"/>
  <c r="G67" i="6"/>
  <c r="D67" i="6"/>
  <c r="G66" i="6"/>
  <c r="D66" i="6"/>
  <c r="G65" i="6"/>
  <c r="D65" i="6"/>
  <c r="G64" i="6"/>
  <c r="D64" i="6"/>
  <c r="G63" i="6"/>
  <c r="D63" i="6"/>
  <c r="G62" i="6"/>
  <c r="D62" i="6"/>
  <c r="G61" i="6"/>
  <c r="D61" i="6"/>
  <c r="G60" i="6"/>
  <c r="D60" i="6"/>
  <c r="G59" i="6"/>
  <c r="D59" i="6"/>
  <c r="G58" i="6"/>
  <c r="D58" i="6"/>
  <c r="G57" i="6"/>
  <c r="D57" i="6"/>
  <c r="G56" i="6"/>
  <c r="D56" i="6"/>
  <c r="G55" i="6"/>
  <c r="D55" i="6"/>
  <c r="G54" i="6"/>
  <c r="D54" i="6"/>
  <c r="G53" i="6"/>
  <c r="D53" i="6"/>
  <c r="G52" i="6"/>
  <c r="D52" i="6"/>
  <c r="G51" i="6"/>
  <c r="D51" i="6"/>
  <c r="G50" i="6"/>
  <c r="D50" i="6"/>
  <c r="G49" i="6"/>
  <c r="D49" i="6"/>
  <c r="G48" i="6"/>
  <c r="D48" i="6"/>
  <c r="G47" i="6"/>
  <c r="D47" i="6"/>
  <c r="G46" i="6"/>
  <c r="D46" i="6"/>
  <c r="G45" i="6"/>
  <c r="D45" i="6"/>
  <c r="G44" i="6"/>
  <c r="D44" i="6"/>
  <c r="G43" i="6"/>
  <c r="D43" i="6"/>
  <c r="G42" i="6"/>
  <c r="D42" i="6"/>
  <c r="G41" i="6"/>
  <c r="D41" i="6"/>
  <c r="G40" i="6"/>
  <c r="D40" i="6"/>
  <c r="G39" i="6"/>
  <c r="D39" i="6"/>
  <c r="G38" i="6"/>
  <c r="D38" i="6"/>
  <c r="G37" i="6"/>
  <c r="D37" i="6"/>
  <c r="G36" i="6"/>
  <c r="D36" i="6"/>
  <c r="G35" i="6"/>
  <c r="D35" i="6"/>
  <c r="G34" i="6"/>
  <c r="D34" i="6"/>
  <c r="G33" i="6"/>
  <c r="D33" i="6"/>
  <c r="G32" i="6"/>
  <c r="D32" i="6"/>
  <c r="G31" i="6"/>
  <c r="D31" i="6"/>
  <c r="G30" i="6"/>
  <c r="D30" i="6"/>
  <c r="G29" i="6"/>
  <c r="D29" i="6"/>
  <c r="G28" i="6"/>
  <c r="D28" i="6"/>
  <c r="G27" i="6"/>
  <c r="D27" i="6"/>
  <c r="G26" i="6"/>
  <c r="D26" i="6"/>
  <c r="G25" i="6"/>
  <c r="D25" i="6"/>
  <c r="G24" i="6"/>
  <c r="D24" i="6"/>
  <c r="G23" i="6"/>
  <c r="D23" i="6"/>
  <c r="G22" i="6"/>
  <c r="D22" i="6"/>
  <c r="G21" i="6"/>
  <c r="D21" i="6"/>
  <c r="G20" i="6"/>
  <c r="D20" i="6"/>
  <c r="G19" i="6"/>
  <c r="D19" i="6"/>
  <c r="G18" i="6"/>
  <c r="D18" i="6"/>
  <c r="G17" i="6"/>
  <c r="D17" i="6"/>
  <c r="G16" i="6"/>
  <c r="D16" i="6"/>
  <c r="G15" i="6"/>
  <c r="D15" i="6"/>
  <c r="G14" i="6"/>
  <c r="D14" i="6"/>
  <c r="G13" i="6"/>
  <c r="D13" i="6"/>
  <c r="G12" i="6"/>
  <c r="D12" i="6"/>
  <c r="G11" i="6"/>
  <c r="D11" i="6"/>
  <c r="G10" i="6"/>
  <c r="D10" i="6"/>
  <c r="G9" i="6"/>
  <c r="D9" i="6"/>
  <c r="G8" i="6"/>
  <c r="D8" i="6"/>
  <c r="G7" i="6"/>
  <c r="D7" i="6"/>
  <c r="G6" i="6"/>
  <c r="D6" i="6"/>
  <c r="G5" i="6"/>
  <c r="D5" i="6"/>
  <c r="D4" i="6"/>
  <c r="K31" i="3"/>
  <c r="J31" i="3"/>
  <c r="I31" i="3"/>
  <c r="H31" i="3"/>
  <c r="G31" i="3"/>
  <c r="A31" i="3"/>
  <c r="J30" i="3"/>
  <c r="I30" i="3"/>
  <c r="K30" i="3" s="1"/>
  <c r="H30" i="3"/>
  <c r="G30" i="3"/>
  <c r="A30" i="3"/>
  <c r="J29" i="3"/>
  <c r="I29" i="3"/>
  <c r="K29" i="3" s="1"/>
  <c r="H29" i="3"/>
  <c r="G29" i="3"/>
  <c r="A29" i="3"/>
  <c r="J28" i="3"/>
  <c r="I28" i="3"/>
  <c r="K28" i="3" s="1"/>
  <c r="H28" i="3"/>
  <c r="G28" i="3"/>
  <c r="A28" i="3"/>
  <c r="K27" i="3"/>
  <c r="J27" i="3"/>
  <c r="I27" i="3"/>
  <c r="H27" i="3"/>
  <c r="G27" i="3"/>
  <c r="A27" i="3"/>
  <c r="J26" i="3"/>
  <c r="I26" i="3"/>
  <c r="K26" i="3" s="1"/>
  <c r="H26" i="3"/>
  <c r="G26" i="3"/>
  <c r="A26" i="3"/>
  <c r="J25" i="3"/>
  <c r="I25" i="3"/>
  <c r="K25" i="3" s="1"/>
  <c r="H25" i="3"/>
  <c r="G25" i="3"/>
  <c r="A25" i="3"/>
  <c r="J24" i="3"/>
  <c r="I24" i="3"/>
  <c r="K24" i="3" s="1"/>
  <c r="H24" i="3"/>
  <c r="G24" i="3"/>
  <c r="A24" i="3"/>
  <c r="J23" i="3"/>
  <c r="I23" i="3"/>
  <c r="K23" i="3" s="1"/>
  <c r="H23" i="3"/>
  <c r="G23" i="3"/>
  <c r="A23" i="3"/>
  <c r="J22" i="3"/>
  <c r="I22" i="3"/>
  <c r="K22" i="3" s="1"/>
  <c r="H22" i="3"/>
  <c r="G22" i="3"/>
  <c r="A22" i="3"/>
  <c r="J21" i="3"/>
  <c r="I21" i="3"/>
  <c r="K21" i="3" s="1"/>
  <c r="H21" i="3"/>
  <c r="G21" i="3"/>
  <c r="A21" i="3"/>
  <c r="J20" i="3"/>
  <c r="I20" i="3"/>
  <c r="K20" i="3" s="1"/>
  <c r="H20" i="3"/>
  <c r="G20" i="3"/>
  <c r="A20" i="3"/>
  <c r="K19" i="3"/>
  <c r="J19" i="3"/>
  <c r="I19" i="3"/>
  <c r="H19" i="3"/>
  <c r="G19" i="3"/>
  <c r="A19" i="3"/>
  <c r="J18" i="3"/>
  <c r="I18" i="3"/>
  <c r="K18" i="3" s="1"/>
  <c r="H18" i="3"/>
  <c r="G18" i="3"/>
  <c r="A18" i="3"/>
  <c r="J17" i="3"/>
  <c r="I17" i="3"/>
  <c r="K17" i="3" s="1"/>
  <c r="H17" i="3"/>
  <c r="G17" i="3"/>
  <c r="A17" i="3"/>
  <c r="J16" i="3"/>
  <c r="I16" i="3"/>
  <c r="K16" i="3" s="1"/>
  <c r="H16" i="3"/>
  <c r="G16" i="3"/>
  <c r="A16" i="3"/>
  <c r="K15" i="3"/>
  <c r="J15" i="3"/>
  <c r="I15" i="3"/>
  <c r="H15" i="3"/>
  <c r="G15" i="3"/>
  <c r="A15" i="3"/>
  <c r="J14" i="3"/>
  <c r="I14" i="3"/>
  <c r="K14" i="3" s="1"/>
  <c r="H14" i="3"/>
  <c r="G14" i="3"/>
  <c r="A14" i="3"/>
  <c r="J13" i="3"/>
  <c r="I13" i="3"/>
  <c r="K13" i="3" s="1"/>
  <c r="H13" i="3"/>
  <c r="G13" i="3"/>
  <c r="A13" i="3"/>
  <c r="J12" i="3"/>
  <c r="I12" i="3"/>
  <c r="K12" i="3" s="1"/>
  <c r="H12" i="3"/>
  <c r="G12" i="3"/>
  <c r="A12" i="3"/>
  <c r="K11" i="3"/>
  <c r="J11" i="3"/>
  <c r="I11" i="3"/>
  <c r="H11" i="3"/>
  <c r="G11" i="3"/>
  <c r="A11" i="3"/>
  <c r="J10" i="3"/>
  <c r="I10" i="3"/>
  <c r="K10" i="3" s="1"/>
  <c r="H10" i="3"/>
  <c r="G10" i="3"/>
  <c r="A10" i="3"/>
  <c r="J9" i="3"/>
  <c r="I9" i="3"/>
  <c r="K9" i="3" s="1"/>
  <c r="H9" i="3"/>
  <c r="G9" i="3"/>
  <c r="A9" i="3"/>
  <c r="K8" i="3"/>
  <c r="J8" i="3"/>
  <c r="I8" i="3"/>
  <c r="H8" i="3"/>
  <c r="G8" i="3"/>
  <c r="A8" i="3"/>
  <c r="J7" i="3"/>
  <c r="I7" i="3"/>
  <c r="K7" i="3" s="1"/>
  <c r="H7" i="3"/>
  <c r="G7" i="3"/>
  <c r="A7" i="3"/>
  <c r="J6" i="3"/>
  <c r="I6" i="3"/>
  <c r="K6" i="3" s="1"/>
  <c r="H6" i="3"/>
  <c r="G6" i="3"/>
  <c r="R4" i="3" s="1"/>
  <c r="A6" i="3"/>
  <c r="J5" i="3"/>
  <c r="I5" i="3"/>
  <c r="K5" i="3" s="1"/>
  <c r="H5" i="3"/>
  <c r="G5" i="3"/>
  <c r="A5" i="3"/>
  <c r="A4" i="3"/>
  <c r="E51" i="2"/>
  <c r="A52" i="9" s="1"/>
  <c r="E50" i="2"/>
  <c r="A51" i="9" s="1"/>
  <c r="E49" i="2"/>
  <c r="E48" i="2"/>
  <c r="A49" i="9" s="1"/>
  <c r="J49" i="9" s="1"/>
  <c r="E47" i="2"/>
  <c r="A48" i="9" s="1"/>
  <c r="E46" i="2"/>
  <c r="A47" i="9" s="1"/>
  <c r="E45" i="2"/>
  <c r="A46" i="9" s="1"/>
  <c r="E44" i="2"/>
  <c r="E43" i="2"/>
  <c r="E42" i="2"/>
  <c r="A43" i="9" s="1"/>
  <c r="U43" i="9" s="1"/>
  <c r="E41" i="2"/>
  <c r="A42" i="9" s="1"/>
  <c r="U42" i="9" s="1"/>
  <c r="E40" i="2"/>
  <c r="A41" i="9" s="1"/>
  <c r="E39" i="2"/>
  <c r="E38" i="2"/>
  <c r="E37" i="2"/>
  <c r="E36" i="2"/>
  <c r="B641" i="8" s="1"/>
  <c r="E35" i="2"/>
  <c r="B640" i="8" s="1"/>
  <c r="E34" i="2"/>
  <c r="E33" i="2"/>
  <c r="E32" i="2"/>
  <c r="E31" i="2"/>
  <c r="A32" i="9" s="1"/>
  <c r="S32" i="9" s="1"/>
  <c r="E30" i="2"/>
  <c r="E29" i="2"/>
  <c r="E28" i="2"/>
  <c r="E27" i="2"/>
  <c r="E26" i="2"/>
  <c r="E25" i="2"/>
  <c r="E24" i="2"/>
  <c r="B629" i="8" s="1"/>
  <c r="Q629" i="8" s="1"/>
  <c r="E23" i="2"/>
  <c r="B652" i="8" s="1"/>
  <c r="E22" i="2"/>
  <c r="A23" i="9" s="1"/>
  <c r="E21" i="2"/>
  <c r="A22" i="9" s="1"/>
  <c r="E20" i="2"/>
  <c r="E19" i="2"/>
  <c r="E18" i="2"/>
  <c r="A19" i="9" s="1"/>
  <c r="E17" i="2"/>
  <c r="A18" i="9" s="1"/>
  <c r="E16" i="2"/>
  <c r="E15" i="2"/>
  <c r="E14" i="2"/>
  <c r="A15" i="9" s="1"/>
  <c r="H15" i="9" s="1"/>
  <c r="E13" i="2"/>
  <c r="E12" i="2"/>
  <c r="E11" i="2"/>
  <c r="E10" i="2"/>
  <c r="A11" i="9" s="1"/>
  <c r="D11" i="9" s="1"/>
  <c r="E9" i="2"/>
  <c r="A10" i="9" s="1"/>
  <c r="E8" i="2"/>
  <c r="G549" i="8" s="1"/>
  <c r="E7" i="2"/>
  <c r="A8" i="9" s="1"/>
  <c r="E6" i="2"/>
  <c r="A7" i="9" s="1"/>
  <c r="E5" i="2"/>
  <c r="E4" i="2"/>
  <c r="Q675" i="8"/>
  <c r="P675" i="8"/>
  <c r="O675" i="8"/>
  <c r="N675" i="8"/>
  <c r="M675" i="8"/>
  <c r="I675" i="8" s="1"/>
  <c r="L675" i="8"/>
  <c r="H675" i="8" s="1"/>
  <c r="J675" i="8"/>
  <c r="K675" i="8" s="1"/>
  <c r="G675" i="8"/>
  <c r="F675" i="8"/>
  <c r="A675" i="8"/>
  <c r="Q674" i="8"/>
  <c r="P674" i="8"/>
  <c r="O674" i="8"/>
  <c r="N674" i="8"/>
  <c r="M674" i="8"/>
  <c r="I674" i="8" s="1"/>
  <c r="L674" i="8"/>
  <c r="H674" i="8" s="1"/>
  <c r="J674" i="8"/>
  <c r="K674" i="8" s="1"/>
  <c r="G674" i="8"/>
  <c r="F674" i="8"/>
  <c r="A674" i="8"/>
  <c r="Q673" i="8"/>
  <c r="P673" i="8"/>
  <c r="O673" i="8"/>
  <c r="N673" i="8"/>
  <c r="M673" i="8"/>
  <c r="I673" i="8" s="1"/>
  <c r="L673" i="8"/>
  <c r="H673" i="8" s="1"/>
  <c r="J673" i="8"/>
  <c r="K673" i="8" s="1"/>
  <c r="G673" i="8"/>
  <c r="F673" i="8"/>
  <c r="A673" i="8"/>
  <c r="Q672" i="8"/>
  <c r="P672" i="8"/>
  <c r="O672" i="8"/>
  <c r="N672" i="8"/>
  <c r="M672" i="8"/>
  <c r="I672" i="8" s="1"/>
  <c r="L672" i="8"/>
  <c r="H672" i="8" s="1"/>
  <c r="J672" i="8"/>
  <c r="K672" i="8" s="1"/>
  <c r="G672" i="8"/>
  <c r="F672" i="8"/>
  <c r="A672" i="8"/>
  <c r="Q671" i="8"/>
  <c r="P671" i="8"/>
  <c r="O671" i="8"/>
  <c r="N671" i="8"/>
  <c r="M671" i="8"/>
  <c r="I671" i="8" s="1"/>
  <c r="L671" i="8"/>
  <c r="H671" i="8" s="1"/>
  <c r="J671" i="8"/>
  <c r="K671" i="8" s="1"/>
  <c r="G671" i="8"/>
  <c r="F671" i="8"/>
  <c r="A671" i="8"/>
  <c r="J670" i="8"/>
  <c r="B670" i="8"/>
  <c r="A670" i="8"/>
  <c r="N669" i="8"/>
  <c r="M669" i="8"/>
  <c r="I669" i="8" s="1"/>
  <c r="J669" i="8"/>
  <c r="B669" i="8"/>
  <c r="A669" i="8"/>
  <c r="Q668" i="8"/>
  <c r="B668" i="8"/>
  <c r="A668" i="8"/>
  <c r="Q667" i="8"/>
  <c r="P667" i="8"/>
  <c r="N667" i="8"/>
  <c r="M667" i="8"/>
  <c r="I667" i="8" s="1"/>
  <c r="J667" i="8"/>
  <c r="B667" i="8"/>
  <c r="A667" i="8"/>
  <c r="P666" i="8"/>
  <c r="N666" i="8"/>
  <c r="M666" i="8"/>
  <c r="I666" i="8" s="1"/>
  <c r="L666" i="8"/>
  <c r="B666" i="8"/>
  <c r="A666" i="8"/>
  <c r="N665" i="8"/>
  <c r="M665" i="8"/>
  <c r="I665" i="8" s="1"/>
  <c r="B665" i="8"/>
  <c r="A665" i="8"/>
  <c r="L665" i="8" s="1"/>
  <c r="H665" i="8" s="1"/>
  <c r="Q664" i="8"/>
  <c r="P664" i="8"/>
  <c r="J664" i="8"/>
  <c r="K664" i="8" s="1"/>
  <c r="B664" i="8"/>
  <c r="A664" i="8"/>
  <c r="A663" i="8"/>
  <c r="A662" i="8"/>
  <c r="A661" i="8"/>
  <c r="J660" i="8"/>
  <c r="B660" i="8"/>
  <c r="A660" i="8"/>
  <c r="A659" i="8"/>
  <c r="B658" i="8"/>
  <c r="A658" i="8"/>
  <c r="A657" i="8"/>
  <c r="B656" i="8"/>
  <c r="A656" i="8"/>
  <c r="A655" i="8"/>
  <c r="A654" i="8"/>
  <c r="B653" i="8"/>
  <c r="A653" i="8"/>
  <c r="Q652" i="8"/>
  <c r="J652" i="8"/>
  <c r="K652" i="8" s="1"/>
  <c r="A652" i="8"/>
  <c r="Q651" i="8"/>
  <c r="P651" i="8"/>
  <c r="O651" i="8"/>
  <c r="N651" i="8"/>
  <c r="M651" i="8"/>
  <c r="I651" i="8" s="1"/>
  <c r="L651" i="8"/>
  <c r="H651" i="8" s="1"/>
  <c r="J651" i="8"/>
  <c r="K651" i="8" s="1"/>
  <c r="G651" i="8"/>
  <c r="F651" i="8"/>
  <c r="A651" i="8"/>
  <c r="Q650" i="8"/>
  <c r="P650" i="8"/>
  <c r="O650" i="8"/>
  <c r="N650" i="8"/>
  <c r="M650" i="8"/>
  <c r="I650" i="8" s="1"/>
  <c r="L650" i="8"/>
  <c r="H650" i="8" s="1"/>
  <c r="J650" i="8"/>
  <c r="K650" i="8" s="1"/>
  <c r="G650" i="8"/>
  <c r="F650" i="8"/>
  <c r="A650" i="8"/>
  <c r="Q649" i="8"/>
  <c r="P649" i="8"/>
  <c r="O649" i="8"/>
  <c r="N649" i="8"/>
  <c r="M649" i="8"/>
  <c r="I649" i="8" s="1"/>
  <c r="L649" i="8"/>
  <c r="H649" i="8" s="1"/>
  <c r="J649" i="8"/>
  <c r="K649" i="8" s="1"/>
  <c r="G649" i="8"/>
  <c r="F649" i="8"/>
  <c r="A649" i="8"/>
  <c r="Q648" i="8"/>
  <c r="P648" i="8"/>
  <c r="O648" i="8"/>
  <c r="N648" i="8"/>
  <c r="M648" i="8"/>
  <c r="I648" i="8" s="1"/>
  <c r="L648" i="8"/>
  <c r="H648" i="8" s="1"/>
  <c r="J648" i="8"/>
  <c r="K648" i="8" s="1"/>
  <c r="G648" i="8"/>
  <c r="F648" i="8"/>
  <c r="A648" i="8"/>
  <c r="Q647" i="8"/>
  <c r="P647" i="8"/>
  <c r="O647" i="8"/>
  <c r="N647" i="8"/>
  <c r="M647" i="8"/>
  <c r="I647" i="8" s="1"/>
  <c r="L647" i="8"/>
  <c r="H647" i="8" s="1"/>
  <c r="J647" i="8"/>
  <c r="K647" i="8" s="1"/>
  <c r="G647" i="8"/>
  <c r="F647" i="8"/>
  <c r="A647" i="8"/>
  <c r="Q646" i="8"/>
  <c r="P646" i="8"/>
  <c r="N646" i="8"/>
  <c r="M646" i="8"/>
  <c r="I646" i="8" s="1"/>
  <c r="L646" i="8"/>
  <c r="J646" i="8"/>
  <c r="K646" i="8" s="1"/>
  <c r="B646" i="8"/>
  <c r="A646" i="8"/>
  <c r="N645" i="8"/>
  <c r="B645" i="8"/>
  <c r="A645" i="8"/>
  <c r="Q644" i="8"/>
  <c r="P644" i="8"/>
  <c r="N644" i="8"/>
  <c r="M644" i="8"/>
  <c r="I644" i="8" s="1"/>
  <c r="L644" i="8"/>
  <c r="J644" i="8"/>
  <c r="B644" i="8"/>
  <c r="A644" i="8"/>
  <c r="J643" i="8"/>
  <c r="B643" i="8"/>
  <c r="A643" i="8"/>
  <c r="A642" i="8"/>
  <c r="Q641" i="8"/>
  <c r="P641" i="8"/>
  <c r="J641" i="8"/>
  <c r="A641" i="8"/>
  <c r="Q640" i="8"/>
  <c r="P640" i="8"/>
  <c r="A640" i="8"/>
  <c r="A639" i="8"/>
  <c r="Q638" i="8"/>
  <c r="B638" i="8"/>
  <c r="A638" i="8"/>
  <c r="A637" i="8"/>
  <c r="B636" i="8"/>
  <c r="A636" i="8"/>
  <c r="A635" i="8"/>
  <c r="B634" i="8"/>
  <c r="A634" i="8"/>
  <c r="Q633" i="8"/>
  <c r="B633" i="8"/>
  <c r="A633" i="8"/>
  <c r="A632" i="8"/>
  <c r="A631" i="8"/>
  <c r="A630" i="8"/>
  <c r="P629" i="8"/>
  <c r="N629" i="8"/>
  <c r="M629" i="8"/>
  <c r="I629" i="8" s="1"/>
  <c r="L629" i="8"/>
  <c r="J629" i="8"/>
  <c r="K629" i="8" s="1"/>
  <c r="A629" i="8"/>
  <c r="Q628" i="8"/>
  <c r="B628" i="8"/>
  <c r="A628" i="8"/>
  <c r="Q627" i="8"/>
  <c r="P627" i="8"/>
  <c r="O627" i="8"/>
  <c r="N627" i="8"/>
  <c r="M627" i="8"/>
  <c r="I627" i="8" s="1"/>
  <c r="L627" i="8"/>
  <c r="H627" i="8" s="1"/>
  <c r="J627" i="8"/>
  <c r="K627" i="8" s="1"/>
  <c r="G627" i="8"/>
  <c r="F627" i="8"/>
  <c r="A627" i="8"/>
  <c r="Q626" i="8"/>
  <c r="P626" i="8"/>
  <c r="O626" i="8"/>
  <c r="N626" i="8"/>
  <c r="M626" i="8"/>
  <c r="I626" i="8" s="1"/>
  <c r="L626" i="8"/>
  <c r="H626" i="8" s="1"/>
  <c r="J626" i="8"/>
  <c r="K626" i="8" s="1"/>
  <c r="G626" i="8"/>
  <c r="F626" i="8"/>
  <c r="A626" i="8"/>
  <c r="Q625" i="8"/>
  <c r="P625" i="8"/>
  <c r="O625" i="8"/>
  <c r="N625" i="8"/>
  <c r="M625" i="8"/>
  <c r="I625" i="8" s="1"/>
  <c r="L625" i="8"/>
  <c r="H625" i="8" s="1"/>
  <c r="J625" i="8"/>
  <c r="K625" i="8" s="1"/>
  <c r="G625" i="8"/>
  <c r="F625" i="8"/>
  <c r="A625" i="8"/>
  <c r="Q624" i="8"/>
  <c r="P624" i="8"/>
  <c r="O624" i="8"/>
  <c r="N624" i="8"/>
  <c r="M624" i="8"/>
  <c r="I624" i="8" s="1"/>
  <c r="L624" i="8"/>
  <c r="H624" i="8" s="1"/>
  <c r="J624" i="8"/>
  <c r="K624" i="8" s="1"/>
  <c r="G624" i="8"/>
  <c r="F624" i="8"/>
  <c r="A624" i="8"/>
  <c r="Q623" i="8"/>
  <c r="P623" i="8"/>
  <c r="O623" i="8"/>
  <c r="N623" i="8"/>
  <c r="M623" i="8"/>
  <c r="I623" i="8" s="1"/>
  <c r="L623" i="8"/>
  <c r="H623" i="8" s="1"/>
  <c r="J623" i="8"/>
  <c r="K623" i="8" s="1"/>
  <c r="G623" i="8"/>
  <c r="F623" i="8"/>
  <c r="A623" i="8"/>
  <c r="L622" i="8"/>
  <c r="J622" i="8"/>
  <c r="B622" i="8"/>
  <c r="A622" i="8"/>
  <c r="L621" i="8"/>
  <c r="H621" i="8" s="1"/>
  <c r="B621" i="8"/>
  <c r="A621" i="8"/>
  <c r="Q620" i="8"/>
  <c r="M620" i="8"/>
  <c r="I620" i="8" s="1"/>
  <c r="B620" i="8"/>
  <c r="A620" i="8"/>
  <c r="P619" i="8"/>
  <c r="B619" i="8"/>
  <c r="A619" i="8"/>
  <c r="Q618" i="8"/>
  <c r="P618" i="8"/>
  <c r="N618" i="8"/>
  <c r="B618" i="8"/>
  <c r="A618" i="8"/>
  <c r="L618" i="8" s="1"/>
  <c r="H618" i="8" s="1"/>
  <c r="Q617" i="8"/>
  <c r="P617" i="8"/>
  <c r="B617" i="8"/>
  <c r="A617" i="8"/>
  <c r="Q616" i="8"/>
  <c r="M616" i="8"/>
  <c r="I616" i="8" s="1"/>
  <c r="B616" i="8"/>
  <c r="A616" i="8"/>
  <c r="A615" i="8"/>
  <c r="A614" i="8"/>
  <c r="A613" i="8"/>
  <c r="M612" i="8"/>
  <c r="I612" i="8" s="1"/>
  <c r="J612" i="8"/>
  <c r="K612" i="8" s="1"/>
  <c r="B612" i="8"/>
  <c r="A612" i="8"/>
  <c r="A611" i="8"/>
  <c r="B610" i="8"/>
  <c r="A610" i="8"/>
  <c r="B609" i="8"/>
  <c r="A609" i="8"/>
  <c r="A608" i="8"/>
  <c r="N607" i="8"/>
  <c r="B607" i="8"/>
  <c r="A607" i="8"/>
  <c r="A606" i="8"/>
  <c r="Q605" i="8"/>
  <c r="P605" i="8"/>
  <c r="M605" i="8"/>
  <c r="I605" i="8" s="1"/>
  <c r="L605" i="8"/>
  <c r="H605" i="8" s="1"/>
  <c r="J605" i="8"/>
  <c r="B605" i="8"/>
  <c r="A605" i="8"/>
  <c r="Q604" i="8"/>
  <c r="B604" i="8"/>
  <c r="A604" i="8"/>
  <c r="Q603" i="8"/>
  <c r="P603" i="8"/>
  <c r="O603" i="8"/>
  <c r="N603" i="8"/>
  <c r="M603" i="8"/>
  <c r="I603" i="8" s="1"/>
  <c r="L603" i="8"/>
  <c r="H603" i="8" s="1"/>
  <c r="J603" i="8"/>
  <c r="K603" i="8" s="1"/>
  <c r="G603" i="8"/>
  <c r="F603" i="8"/>
  <c r="A603" i="8"/>
  <c r="Q602" i="8"/>
  <c r="P602" i="8"/>
  <c r="O602" i="8"/>
  <c r="N602" i="8"/>
  <c r="M602" i="8"/>
  <c r="I602" i="8" s="1"/>
  <c r="L602" i="8"/>
  <c r="H602" i="8" s="1"/>
  <c r="J602" i="8"/>
  <c r="K602" i="8" s="1"/>
  <c r="G602" i="8"/>
  <c r="F602" i="8"/>
  <c r="A602" i="8"/>
  <c r="Q601" i="8"/>
  <c r="P601" i="8"/>
  <c r="O601" i="8"/>
  <c r="N601" i="8"/>
  <c r="M601" i="8"/>
  <c r="I601" i="8" s="1"/>
  <c r="L601" i="8"/>
  <c r="H601" i="8" s="1"/>
  <c r="J601" i="8"/>
  <c r="K601" i="8" s="1"/>
  <c r="G601" i="8"/>
  <c r="F601" i="8"/>
  <c r="A601" i="8"/>
  <c r="Q600" i="8"/>
  <c r="P600" i="8"/>
  <c r="O600" i="8"/>
  <c r="N600" i="8"/>
  <c r="M600" i="8"/>
  <c r="I600" i="8" s="1"/>
  <c r="L600" i="8"/>
  <c r="H600" i="8" s="1"/>
  <c r="J600" i="8"/>
  <c r="K600" i="8" s="1"/>
  <c r="G600" i="8"/>
  <c r="F600" i="8"/>
  <c r="A600" i="8"/>
  <c r="Q599" i="8"/>
  <c r="P599" i="8"/>
  <c r="O599" i="8"/>
  <c r="N599" i="8"/>
  <c r="M599" i="8"/>
  <c r="I599" i="8" s="1"/>
  <c r="L599" i="8"/>
  <c r="H599" i="8" s="1"/>
  <c r="J599" i="8"/>
  <c r="K599" i="8" s="1"/>
  <c r="G599" i="8"/>
  <c r="F599" i="8"/>
  <c r="A599" i="8"/>
  <c r="B598" i="8"/>
  <c r="A598" i="8"/>
  <c r="Q597" i="8"/>
  <c r="P597" i="8"/>
  <c r="J597" i="8"/>
  <c r="G597" i="8"/>
  <c r="B597" i="8"/>
  <c r="A597" i="8"/>
  <c r="P596" i="8"/>
  <c r="N596" i="8"/>
  <c r="L596" i="8"/>
  <c r="H596" i="8" s="1"/>
  <c r="B596" i="8"/>
  <c r="A596" i="8"/>
  <c r="A595" i="8"/>
  <c r="A594" i="8"/>
  <c r="M593" i="8"/>
  <c r="I593" i="8" s="1"/>
  <c r="L593" i="8"/>
  <c r="H593" i="8" s="1"/>
  <c r="B593" i="8"/>
  <c r="A593" i="8"/>
  <c r="N592" i="8"/>
  <c r="B592" i="8"/>
  <c r="A592" i="8"/>
  <c r="A591" i="8"/>
  <c r="Q590" i="8"/>
  <c r="B590" i="8"/>
  <c r="A590" i="8"/>
  <c r="A589" i="8"/>
  <c r="Q588" i="8"/>
  <c r="P588" i="8"/>
  <c r="B588" i="8"/>
  <c r="A588" i="8"/>
  <c r="A587" i="8"/>
  <c r="Q586" i="8"/>
  <c r="P586" i="8"/>
  <c r="N586" i="8"/>
  <c r="M586" i="8"/>
  <c r="I586" i="8" s="1"/>
  <c r="L586" i="8"/>
  <c r="J586" i="8"/>
  <c r="K586" i="8" s="1"/>
  <c r="B586" i="8"/>
  <c r="A586" i="8"/>
  <c r="A585" i="8"/>
  <c r="A584" i="8"/>
  <c r="A583" i="8"/>
  <c r="B582" i="8"/>
  <c r="A582" i="8"/>
  <c r="B581" i="8"/>
  <c r="A581" i="8"/>
  <c r="B580" i="8"/>
  <c r="A580" i="8"/>
  <c r="Q579" i="8"/>
  <c r="P579" i="8"/>
  <c r="O579" i="8"/>
  <c r="N579" i="8"/>
  <c r="M579" i="8"/>
  <c r="I579" i="8" s="1"/>
  <c r="L579" i="8"/>
  <c r="H579" i="8" s="1"/>
  <c r="J579" i="8"/>
  <c r="K579" i="8" s="1"/>
  <c r="G579" i="8"/>
  <c r="F579" i="8"/>
  <c r="A579" i="8"/>
  <c r="Q578" i="8"/>
  <c r="P578" i="8"/>
  <c r="O578" i="8"/>
  <c r="N578" i="8"/>
  <c r="M578" i="8"/>
  <c r="I578" i="8" s="1"/>
  <c r="L578" i="8"/>
  <c r="H578" i="8" s="1"/>
  <c r="J578" i="8"/>
  <c r="K578" i="8" s="1"/>
  <c r="G578" i="8"/>
  <c r="F578" i="8"/>
  <c r="A578" i="8"/>
  <c r="Q577" i="8"/>
  <c r="P577" i="8"/>
  <c r="O577" i="8"/>
  <c r="N577" i="8"/>
  <c r="M577" i="8"/>
  <c r="I577" i="8" s="1"/>
  <c r="L577" i="8"/>
  <c r="H577" i="8" s="1"/>
  <c r="J577" i="8"/>
  <c r="K577" i="8" s="1"/>
  <c r="G577" i="8"/>
  <c r="F577" i="8"/>
  <c r="A577" i="8"/>
  <c r="Q576" i="8"/>
  <c r="P576" i="8"/>
  <c r="O576" i="8"/>
  <c r="N576" i="8"/>
  <c r="M576" i="8"/>
  <c r="I576" i="8" s="1"/>
  <c r="L576" i="8"/>
  <c r="H576" i="8" s="1"/>
  <c r="J576" i="8"/>
  <c r="K576" i="8" s="1"/>
  <c r="G576" i="8"/>
  <c r="F576" i="8"/>
  <c r="A576" i="8"/>
  <c r="Q575" i="8"/>
  <c r="P575" i="8"/>
  <c r="O575" i="8"/>
  <c r="N575" i="8"/>
  <c r="M575" i="8"/>
  <c r="I575" i="8" s="1"/>
  <c r="L575" i="8"/>
  <c r="H575" i="8" s="1"/>
  <c r="J575" i="8"/>
  <c r="K575" i="8" s="1"/>
  <c r="G575" i="8"/>
  <c r="F575" i="8"/>
  <c r="A575" i="8"/>
  <c r="B574" i="8"/>
  <c r="A574" i="8"/>
  <c r="Q573" i="8"/>
  <c r="P573" i="8"/>
  <c r="M573" i="8"/>
  <c r="I573" i="8" s="1"/>
  <c r="L573" i="8"/>
  <c r="H573" i="8" s="1"/>
  <c r="J573" i="8"/>
  <c r="K573" i="8" s="1"/>
  <c r="B573" i="8"/>
  <c r="A573" i="8"/>
  <c r="Q572" i="8"/>
  <c r="P572" i="8"/>
  <c r="N572" i="8"/>
  <c r="M572" i="8"/>
  <c r="I572" i="8" s="1"/>
  <c r="L572" i="8"/>
  <c r="J572" i="8"/>
  <c r="K572" i="8" s="1"/>
  <c r="B572" i="8"/>
  <c r="A572" i="8"/>
  <c r="P571" i="8"/>
  <c r="N571" i="8"/>
  <c r="M571" i="8"/>
  <c r="I571" i="8" s="1"/>
  <c r="J571" i="8"/>
  <c r="B571" i="8"/>
  <c r="A571" i="8"/>
  <c r="L570" i="8"/>
  <c r="H570" i="8" s="1"/>
  <c r="B570" i="8"/>
  <c r="A570" i="8"/>
  <c r="M569" i="8"/>
  <c r="I569" i="8" s="1"/>
  <c r="J569" i="8"/>
  <c r="K569" i="8" s="1"/>
  <c r="B569" i="8"/>
  <c r="A569" i="8"/>
  <c r="J568" i="8"/>
  <c r="K568" i="8" s="1"/>
  <c r="G568" i="8"/>
  <c r="B568" i="8"/>
  <c r="A568" i="8"/>
  <c r="A567" i="8"/>
  <c r="N566" i="8"/>
  <c r="M566" i="8"/>
  <c r="I566" i="8" s="1"/>
  <c r="B566" i="8"/>
  <c r="A566" i="8"/>
  <c r="B565" i="8"/>
  <c r="A565" i="8"/>
  <c r="Q564" i="8"/>
  <c r="P564" i="8"/>
  <c r="N564" i="8"/>
  <c r="M564" i="8"/>
  <c r="I564" i="8" s="1"/>
  <c r="L564" i="8"/>
  <c r="H564" i="8" s="1"/>
  <c r="B564" i="8"/>
  <c r="A564" i="8"/>
  <c r="M563" i="8"/>
  <c r="I563" i="8" s="1"/>
  <c r="G563" i="8"/>
  <c r="B563" i="8"/>
  <c r="A563" i="8"/>
  <c r="N562" i="8"/>
  <c r="B562" i="8"/>
  <c r="A562" i="8"/>
  <c r="Q561" i="8"/>
  <c r="M561" i="8"/>
  <c r="I561" i="8" s="1"/>
  <c r="B561" i="8"/>
  <c r="A561" i="8"/>
  <c r="N560" i="8"/>
  <c r="J560" i="8"/>
  <c r="K560" i="8" s="1"/>
  <c r="G560" i="8"/>
  <c r="B560" i="8"/>
  <c r="A560" i="8"/>
  <c r="A559" i="8"/>
  <c r="P558" i="8"/>
  <c r="L558" i="8"/>
  <c r="H558" i="8" s="1"/>
  <c r="J558" i="8"/>
  <c r="K558" i="8" s="1"/>
  <c r="B558" i="8"/>
  <c r="A558" i="8"/>
  <c r="Q557" i="8"/>
  <c r="M557" i="8"/>
  <c r="I557" i="8" s="1"/>
  <c r="L557" i="8"/>
  <c r="H557" i="8" s="1"/>
  <c r="J557" i="8"/>
  <c r="K557" i="8" s="1"/>
  <c r="B557" i="8"/>
  <c r="A557" i="8"/>
  <c r="G556" i="8"/>
  <c r="B556" i="8"/>
  <c r="A556" i="8"/>
  <c r="L556" i="8" s="1"/>
  <c r="H556" i="8" s="1"/>
  <c r="Q555" i="8"/>
  <c r="P555" i="8"/>
  <c r="O555" i="8"/>
  <c r="N555" i="8"/>
  <c r="M555" i="8"/>
  <c r="I555" i="8" s="1"/>
  <c r="L555" i="8"/>
  <c r="H555" i="8" s="1"/>
  <c r="J555" i="8"/>
  <c r="K555" i="8" s="1"/>
  <c r="G555" i="8"/>
  <c r="F555" i="8"/>
  <c r="A555" i="8"/>
  <c r="Q554" i="8"/>
  <c r="P554" i="8"/>
  <c r="O554" i="8"/>
  <c r="N554" i="8"/>
  <c r="M554" i="8"/>
  <c r="I554" i="8" s="1"/>
  <c r="L554" i="8"/>
  <c r="H554" i="8" s="1"/>
  <c r="J554" i="8"/>
  <c r="K554" i="8" s="1"/>
  <c r="G554" i="8"/>
  <c r="F554" i="8"/>
  <c r="A554" i="8"/>
  <c r="Q553" i="8"/>
  <c r="P553" i="8"/>
  <c r="O553" i="8"/>
  <c r="N553" i="8"/>
  <c r="M553" i="8"/>
  <c r="I553" i="8" s="1"/>
  <c r="L553" i="8"/>
  <c r="H553" i="8" s="1"/>
  <c r="J553" i="8"/>
  <c r="K553" i="8" s="1"/>
  <c r="G553" i="8"/>
  <c r="F553" i="8"/>
  <c r="A553" i="8"/>
  <c r="Q552" i="8"/>
  <c r="P552" i="8"/>
  <c r="O552" i="8"/>
  <c r="N552" i="8"/>
  <c r="M552" i="8"/>
  <c r="I552" i="8" s="1"/>
  <c r="L552" i="8"/>
  <c r="H552" i="8" s="1"/>
  <c r="J552" i="8"/>
  <c r="K552" i="8" s="1"/>
  <c r="G552" i="8"/>
  <c r="F552" i="8"/>
  <c r="A552" i="8"/>
  <c r="Q551" i="8"/>
  <c r="P551" i="8"/>
  <c r="O551" i="8"/>
  <c r="N551" i="8"/>
  <c r="M551" i="8"/>
  <c r="I551" i="8" s="1"/>
  <c r="L551" i="8"/>
  <c r="H551" i="8" s="1"/>
  <c r="J551" i="8"/>
  <c r="K551" i="8" s="1"/>
  <c r="G551" i="8"/>
  <c r="F551" i="8"/>
  <c r="A551" i="8"/>
  <c r="Q550" i="8"/>
  <c r="P550" i="8"/>
  <c r="L550" i="8"/>
  <c r="H550" i="8" s="1"/>
  <c r="J550" i="8"/>
  <c r="K550" i="8" s="1"/>
  <c r="B550" i="8"/>
  <c r="A550" i="8"/>
  <c r="P549" i="8"/>
  <c r="M549" i="8"/>
  <c r="I549" i="8" s="1"/>
  <c r="B549" i="8"/>
  <c r="N549" i="8" s="1"/>
  <c r="A549" i="8"/>
  <c r="Q548" i="8"/>
  <c r="P548" i="8"/>
  <c r="N548" i="8"/>
  <c r="B548" i="8"/>
  <c r="A548" i="8"/>
  <c r="Q547" i="8"/>
  <c r="P547" i="8"/>
  <c r="N547" i="8"/>
  <c r="M547" i="8"/>
  <c r="I547" i="8" s="1"/>
  <c r="L547" i="8"/>
  <c r="J547" i="8"/>
  <c r="K547" i="8" s="1"/>
  <c r="B547" i="8"/>
  <c r="A547" i="8"/>
  <c r="Q546" i="8"/>
  <c r="P546" i="8"/>
  <c r="L546" i="8"/>
  <c r="H546" i="8" s="1"/>
  <c r="J546" i="8"/>
  <c r="B546" i="8"/>
  <c r="A546" i="8"/>
  <c r="P545" i="8"/>
  <c r="N545" i="8"/>
  <c r="M545" i="8"/>
  <c r="I545" i="8" s="1"/>
  <c r="L545" i="8"/>
  <c r="H545" i="8" s="1"/>
  <c r="J545" i="8"/>
  <c r="K545" i="8" s="1"/>
  <c r="G545" i="8"/>
  <c r="B545" i="8"/>
  <c r="A545" i="8"/>
  <c r="M544" i="8"/>
  <c r="I544" i="8" s="1"/>
  <c r="L544" i="8"/>
  <c r="H544" i="8" s="1"/>
  <c r="B544" i="8"/>
  <c r="J544" i="8" s="1"/>
  <c r="A544" i="8"/>
  <c r="A543" i="8"/>
  <c r="J542" i="8"/>
  <c r="G542" i="8"/>
  <c r="B542" i="8"/>
  <c r="A542" i="8"/>
  <c r="A541" i="8"/>
  <c r="B540" i="8"/>
  <c r="A540" i="8"/>
  <c r="J539" i="8"/>
  <c r="K539" i="8" s="1"/>
  <c r="B539" i="8"/>
  <c r="A539" i="8"/>
  <c r="Q538" i="8"/>
  <c r="P538" i="8"/>
  <c r="J538" i="8"/>
  <c r="K538" i="8" s="1"/>
  <c r="B538" i="8"/>
  <c r="A538" i="8"/>
  <c r="P537" i="8"/>
  <c r="M537" i="8"/>
  <c r="I537" i="8" s="1"/>
  <c r="G537" i="8"/>
  <c r="B537" i="8"/>
  <c r="A537" i="8"/>
  <c r="N537" i="8" s="1"/>
  <c r="B536" i="8"/>
  <c r="A536" i="8"/>
  <c r="N535" i="8"/>
  <c r="J535" i="8"/>
  <c r="G535" i="8"/>
  <c r="B535" i="8"/>
  <c r="M535" i="8" s="1"/>
  <c r="I535" i="8" s="1"/>
  <c r="A535" i="8"/>
  <c r="Q534" i="8"/>
  <c r="N534" i="8"/>
  <c r="L534" i="8"/>
  <c r="H534" i="8" s="1"/>
  <c r="J534" i="8"/>
  <c r="G534" i="8"/>
  <c r="B534" i="8"/>
  <c r="A534" i="8"/>
  <c r="P533" i="8"/>
  <c r="J533" i="8"/>
  <c r="G533" i="8"/>
  <c r="B533" i="8"/>
  <c r="A533" i="8"/>
  <c r="L532" i="8"/>
  <c r="H532" i="8" s="1"/>
  <c r="B532" i="8"/>
  <c r="A532" i="8"/>
  <c r="Q531" i="8"/>
  <c r="P531" i="8"/>
  <c r="O531" i="8"/>
  <c r="N531" i="8"/>
  <c r="M531" i="8"/>
  <c r="I531" i="8" s="1"/>
  <c r="L531" i="8"/>
  <c r="H531" i="8" s="1"/>
  <c r="J531" i="8"/>
  <c r="K531" i="8" s="1"/>
  <c r="G531" i="8"/>
  <c r="F531" i="8"/>
  <c r="A531" i="8"/>
  <c r="Q530" i="8"/>
  <c r="P530" i="8"/>
  <c r="O530" i="8"/>
  <c r="N530" i="8"/>
  <c r="M530" i="8"/>
  <c r="I530" i="8" s="1"/>
  <c r="L530" i="8"/>
  <c r="H530" i="8" s="1"/>
  <c r="J530" i="8"/>
  <c r="K530" i="8" s="1"/>
  <c r="G530" i="8"/>
  <c r="F530" i="8"/>
  <c r="A530" i="8"/>
  <c r="Q529" i="8"/>
  <c r="P529" i="8"/>
  <c r="O529" i="8"/>
  <c r="N529" i="8"/>
  <c r="M529" i="8"/>
  <c r="I529" i="8" s="1"/>
  <c r="L529" i="8"/>
  <c r="H529" i="8" s="1"/>
  <c r="J529" i="8"/>
  <c r="K529" i="8" s="1"/>
  <c r="G529" i="8"/>
  <c r="F529" i="8"/>
  <c r="A529" i="8"/>
  <c r="Q528" i="8"/>
  <c r="P528" i="8"/>
  <c r="O528" i="8"/>
  <c r="N528" i="8"/>
  <c r="M528" i="8"/>
  <c r="I528" i="8" s="1"/>
  <c r="L528" i="8"/>
  <c r="H528" i="8" s="1"/>
  <c r="J528" i="8"/>
  <c r="K528" i="8" s="1"/>
  <c r="G528" i="8"/>
  <c r="F528" i="8"/>
  <c r="A528" i="8"/>
  <c r="Q527" i="8"/>
  <c r="P527" i="8"/>
  <c r="O527" i="8"/>
  <c r="N527" i="8"/>
  <c r="M527" i="8"/>
  <c r="I527" i="8" s="1"/>
  <c r="L527" i="8"/>
  <c r="H527" i="8" s="1"/>
  <c r="J527" i="8"/>
  <c r="K527" i="8" s="1"/>
  <c r="G527" i="8"/>
  <c r="F527" i="8"/>
  <c r="A527" i="8"/>
  <c r="Q526" i="8"/>
  <c r="N526" i="8"/>
  <c r="B526" i="8"/>
  <c r="A526" i="8"/>
  <c r="Q525" i="8"/>
  <c r="B525" i="8"/>
  <c r="A525" i="8"/>
  <c r="J524" i="8"/>
  <c r="B524" i="8"/>
  <c r="Q524" i="8" s="1"/>
  <c r="A524" i="8"/>
  <c r="Q523" i="8"/>
  <c r="J523" i="8"/>
  <c r="G523" i="8"/>
  <c r="B523" i="8"/>
  <c r="A523" i="8"/>
  <c r="N522" i="8"/>
  <c r="M522" i="8"/>
  <c r="L522" i="8"/>
  <c r="H522" i="8" s="1"/>
  <c r="G522" i="8"/>
  <c r="B522" i="8"/>
  <c r="A522" i="8"/>
  <c r="Q521" i="8"/>
  <c r="M521" i="8"/>
  <c r="I521" i="8" s="1"/>
  <c r="B521" i="8"/>
  <c r="N521" i="8" s="1"/>
  <c r="A521" i="8"/>
  <c r="N520" i="8"/>
  <c r="J520" i="8"/>
  <c r="K520" i="8" s="1"/>
  <c r="G520" i="8"/>
  <c r="B520" i="8"/>
  <c r="A520" i="8"/>
  <c r="B519" i="8"/>
  <c r="A519" i="8"/>
  <c r="B518" i="8"/>
  <c r="A518" i="8"/>
  <c r="L517" i="8"/>
  <c r="H517" i="8" s="1"/>
  <c r="B517" i="8"/>
  <c r="A517" i="8"/>
  <c r="A516" i="8"/>
  <c r="A515" i="8"/>
  <c r="Q514" i="8"/>
  <c r="P514" i="8"/>
  <c r="N514" i="8"/>
  <c r="L514" i="8"/>
  <c r="J514" i="8"/>
  <c r="K514" i="8" s="1"/>
  <c r="G514" i="8"/>
  <c r="B514" i="8"/>
  <c r="A514" i="8"/>
  <c r="M514" i="8" s="1"/>
  <c r="I514" i="8" s="1"/>
  <c r="B513" i="8"/>
  <c r="A513" i="8"/>
  <c r="A512" i="8"/>
  <c r="P511" i="8"/>
  <c r="N511" i="8"/>
  <c r="B511" i="8"/>
  <c r="A511" i="8"/>
  <c r="B510" i="8"/>
  <c r="A510" i="8"/>
  <c r="N509" i="8"/>
  <c r="L509" i="8"/>
  <c r="H509" i="8" s="1"/>
  <c r="J509" i="8"/>
  <c r="B509" i="8"/>
  <c r="A509" i="8"/>
  <c r="M508" i="8"/>
  <c r="I508" i="8" s="1"/>
  <c r="B508" i="8"/>
  <c r="A508" i="8"/>
  <c r="Q507" i="8"/>
  <c r="P507" i="8"/>
  <c r="O507" i="8"/>
  <c r="N507" i="8"/>
  <c r="M507" i="8"/>
  <c r="I507" i="8" s="1"/>
  <c r="L507" i="8"/>
  <c r="H507" i="8" s="1"/>
  <c r="J507" i="8"/>
  <c r="K507" i="8" s="1"/>
  <c r="G507" i="8"/>
  <c r="F507" i="8"/>
  <c r="A507" i="8"/>
  <c r="Q506" i="8"/>
  <c r="P506" i="8"/>
  <c r="O506" i="8"/>
  <c r="N506" i="8"/>
  <c r="M506" i="8"/>
  <c r="I506" i="8" s="1"/>
  <c r="L506" i="8"/>
  <c r="H506" i="8" s="1"/>
  <c r="J506" i="8"/>
  <c r="K506" i="8" s="1"/>
  <c r="G506" i="8"/>
  <c r="F506" i="8"/>
  <c r="A506" i="8"/>
  <c r="Q505" i="8"/>
  <c r="P505" i="8"/>
  <c r="O505" i="8"/>
  <c r="N505" i="8"/>
  <c r="M505" i="8"/>
  <c r="I505" i="8" s="1"/>
  <c r="L505" i="8"/>
  <c r="H505" i="8" s="1"/>
  <c r="J505" i="8"/>
  <c r="K505" i="8" s="1"/>
  <c r="G505" i="8"/>
  <c r="F505" i="8"/>
  <c r="A505" i="8"/>
  <c r="Q504" i="8"/>
  <c r="P504" i="8"/>
  <c r="O504" i="8"/>
  <c r="N504" i="8"/>
  <c r="M504" i="8"/>
  <c r="I504" i="8" s="1"/>
  <c r="L504" i="8"/>
  <c r="H504" i="8" s="1"/>
  <c r="J504" i="8"/>
  <c r="K504" i="8" s="1"/>
  <c r="G504" i="8"/>
  <c r="F504" i="8"/>
  <c r="A504" i="8"/>
  <c r="Q503" i="8"/>
  <c r="P503" i="8"/>
  <c r="O503" i="8"/>
  <c r="N503" i="8"/>
  <c r="M503" i="8"/>
  <c r="I503" i="8" s="1"/>
  <c r="L503" i="8"/>
  <c r="H503" i="8" s="1"/>
  <c r="J503" i="8"/>
  <c r="K503" i="8" s="1"/>
  <c r="G503" i="8"/>
  <c r="F503" i="8"/>
  <c r="A503" i="8"/>
  <c r="Q502" i="8"/>
  <c r="P502" i="8"/>
  <c r="N502" i="8"/>
  <c r="M502" i="8"/>
  <c r="L502" i="8"/>
  <c r="H502" i="8" s="1"/>
  <c r="J502" i="8"/>
  <c r="K502" i="8" s="1"/>
  <c r="G502" i="8"/>
  <c r="B502" i="8"/>
  <c r="A502" i="8"/>
  <c r="P501" i="8"/>
  <c r="N501" i="8"/>
  <c r="G501" i="8"/>
  <c r="B501" i="8"/>
  <c r="A501" i="8"/>
  <c r="P500" i="8"/>
  <c r="N500" i="8"/>
  <c r="L500" i="8"/>
  <c r="J500" i="8"/>
  <c r="B500" i="8"/>
  <c r="A500" i="8"/>
  <c r="Q499" i="8"/>
  <c r="J499" i="8"/>
  <c r="K499" i="8" s="1"/>
  <c r="B499" i="8"/>
  <c r="A499" i="8"/>
  <c r="P498" i="8"/>
  <c r="B498" i="8"/>
  <c r="A498" i="8"/>
  <c r="P497" i="8"/>
  <c r="N497" i="8"/>
  <c r="J497" i="8"/>
  <c r="K497" i="8" s="1"/>
  <c r="G497" i="8"/>
  <c r="B497" i="8"/>
  <c r="Q497" i="8" s="1"/>
  <c r="A497" i="8"/>
  <c r="M496" i="8"/>
  <c r="I496" i="8" s="1"/>
  <c r="L496" i="8"/>
  <c r="H496" i="8" s="1"/>
  <c r="B496" i="8"/>
  <c r="A496" i="8"/>
  <c r="A495" i="8"/>
  <c r="Q494" i="8"/>
  <c r="P494" i="8"/>
  <c r="N494" i="8"/>
  <c r="L494" i="8"/>
  <c r="J494" i="8"/>
  <c r="K494" i="8" s="1"/>
  <c r="G494" i="8"/>
  <c r="B494" i="8"/>
  <c r="A494" i="8"/>
  <c r="A493" i="8"/>
  <c r="N492" i="8"/>
  <c r="M492" i="8"/>
  <c r="I492" i="8" s="1"/>
  <c r="G492" i="8"/>
  <c r="B492" i="8"/>
  <c r="A492" i="8"/>
  <c r="P491" i="8"/>
  <c r="N491" i="8"/>
  <c r="L491" i="8"/>
  <c r="H491" i="8" s="1"/>
  <c r="B491" i="8"/>
  <c r="A491" i="8"/>
  <c r="B490" i="8"/>
  <c r="A490" i="8"/>
  <c r="Q489" i="8"/>
  <c r="M489" i="8"/>
  <c r="I489" i="8" s="1"/>
  <c r="G489" i="8"/>
  <c r="B489" i="8"/>
  <c r="A489" i="8"/>
  <c r="L489" i="8" s="1"/>
  <c r="H489" i="8" s="1"/>
  <c r="N488" i="8"/>
  <c r="J488" i="8"/>
  <c r="K488" i="8" s="1"/>
  <c r="B488" i="8"/>
  <c r="A488" i="8"/>
  <c r="L488" i="8" s="1"/>
  <c r="H488" i="8" s="1"/>
  <c r="G487" i="8"/>
  <c r="B487" i="8"/>
  <c r="A487" i="8"/>
  <c r="A486" i="8"/>
  <c r="Q485" i="8"/>
  <c r="P485" i="8"/>
  <c r="B485" i="8"/>
  <c r="A485" i="8"/>
  <c r="G484" i="8"/>
  <c r="B484" i="8"/>
  <c r="A484" i="8"/>
  <c r="Q483" i="8"/>
  <c r="P483" i="8"/>
  <c r="O483" i="8"/>
  <c r="N483" i="8"/>
  <c r="M483" i="8"/>
  <c r="I483" i="8" s="1"/>
  <c r="L483" i="8"/>
  <c r="H483" i="8" s="1"/>
  <c r="J483" i="8"/>
  <c r="K483" i="8" s="1"/>
  <c r="G483" i="8"/>
  <c r="F483" i="8"/>
  <c r="A483" i="8"/>
  <c r="Q482" i="8"/>
  <c r="P482" i="8"/>
  <c r="O482" i="8"/>
  <c r="N482" i="8"/>
  <c r="M482" i="8"/>
  <c r="I482" i="8" s="1"/>
  <c r="L482" i="8"/>
  <c r="H482" i="8" s="1"/>
  <c r="J482" i="8"/>
  <c r="K482" i="8" s="1"/>
  <c r="G482" i="8"/>
  <c r="F482" i="8"/>
  <c r="A482" i="8"/>
  <c r="Q481" i="8"/>
  <c r="P481" i="8"/>
  <c r="O481" i="8"/>
  <c r="N481" i="8"/>
  <c r="M481" i="8"/>
  <c r="I481" i="8" s="1"/>
  <c r="L481" i="8"/>
  <c r="H481" i="8" s="1"/>
  <c r="J481" i="8"/>
  <c r="K481" i="8" s="1"/>
  <c r="G481" i="8"/>
  <c r="F481" i="8"/>
  <c r="A481" i="8"/>
  <c r="Q480" i="8"/>
  <c r="P480" i="8"/>
  <c r="O480" i="8"/>
  <c r="N480" i="8"/>
  <c r="M480" i="8"/>
  <c r="I480" i="8" s="1"/>
  <c r="L480" i="8"/>
  <c r="H480" i="8" s="1"/>
  <c r="J480" i="8"/>
  <c r="K480" i="8" s="1"/>
  <c r="G480" i="8"/>
  <c r="F480" i="8"/>
  <c r="A480" i="8"/>
  <c r="Q479" i="8"/>
  <c r="P479" i="8"/>
  <c r="O479" i="8"/>
  <c r="N479" i="8"/>
  <c r="M479" i="8"/>
  <c r="I479" i="8" s="1"/>
  <c r="L479" i="8"/>
  <c r="H479" i="8" s="1"/>
  <c r="J479" i="8"/>
  <c r="K479" i="8" s="1"/>
  <c r="G479" i="8"/>
  <c r="F479" i="8"/>
  <c r="A479" i="8"/>
  <c r="B478" i="8"/>
  <c r="A478" i="8"/>
  <c r="M477" i="8"/>
  <c r="I477" i="8" s="1"/>
  <c r="L477" i="8"/>
  <c r="J477" i="8"/>
  <c r="K477" i="8" s="1"/>
  <c r="G477" i="8"/>
  <c r="B477" i="8"/>
  <c r="A477" i="8"/>
  <c r="Q476" i="8"/>
  <c r="P476" i="8"/>
  <c r="M476" i="8"/>
  <c r="L476" i="8"/>
  <c r="H476" i="8" s="1"/>
  <c r="J476" i="8"/>
  <c r="K476" i="8" s="1"/>
  <c r="G476" i="8"/>
  <c r="B476" i="8"/>
  <c r="A476" i="8"/>
  <c r="Q475" i="8"/>
  <c r="P475" i="8"/>
  <c r="N475" i="8"/>
  <c r="M475" i="8"/>
  <c r="I475" i="8" s="1"/>
  <c r="L475" i="8"/>
  <c r="G475" i="8"/>
  <c r="B475" i="8"/>
  <c r="A475" i="8"/>
  <c r="Q474" i="8"/>
  <c r="P474" i="8"/>
  <c r="N474" i="8"/>
  <c r="M474" i="8"/>
  <c r="I474" i="8" s="1"/>
  <c r="L474" i="8"/>
  <c r="H474" i="8" s="1"/>
  <c r="J474" i="8"/>
  <c r="K474" i="8" s="1"/>
  <c r="B474" i="8"/>
  <c r="A474" i="8"/>
  <c r="Q473" i="8"/>
  <c r="P473" i="8"/>
  <c r="M473" i="8"/>
  <c r="I473" i="8" s="1"/>
  <c r="L473" i="8"/>
  <c r="H473" i="8" s="1"/>
  <c r="J473" i="8"/>
  <c r="K473" i="8" s="1"/>
  <c r="G473" i="8"/>
  <c r="B473" i="8"/>
  <c r="A473" i="8"/>
  <c r="P472" i="8"/>
  <c r="M472" i="8"/>
  <c r="I472" i="8" s="1"/>
  <c r="J472" i="8"/>
  <c r="B472" i="8"/>
  <c r="A472" i="8"/>
  <c r="P471" i="8"/>
  <c r="L471" i="8"/>
  <c r="H471" i="8" s="1"/>
  <c r="J471" i="8"/>
  <c r="B471" i="8"/>
  <c r="A471" i="8"/>
  <c r="P470" i="8"/>
  <c r="M470" i="8"/>
  <c r="I470" i="8" s="1"/>
  <c r="L470" i="8"/>
  <c r="H470" i="8" s="1"/>
  <c r="B470" i="8"/>
  <c r="A470" i="8"/>
  <c r="N469" i="8"/>
  <c r="B469" i="8"/>
  <c r="A469" i="8"/>
  <c r="Q468" i="8"/>
  <c r="P468" i="8"/>
  <c r="M468" i="8"/>
  <c r="I468" i="8" s="1"/>
  <c r="J468" i="8"/>
  <c r="K468" i="8" s="1"/>
  <c r="B468" i="8"/>
  <c r="A468" i="8"/>
  <c r="P467" i="8"/>
  <c r="B467" i="8"/>
  <c r="A467" i="8"/>
  <c r="B466" i="8"/>
  <c r="A466" i="8"/>
  <c r="N465" i="8"/>
  <c r="B465" i="8"/>
  <c r="A465" i="8"/>
  <c r="J464" i="8"/>
  <c r="G464" i="8"/>
  <c r="B464" i="8"/>
  <c r="A464" i="8"/>
  <c r="Q463" i="8"/>
  <c r="B463" i="8"/>
  <c r="A463" i="8"/>
  <c r="Q462" i="8"/>
  <c r="B462" i="8"/>
  <c r="A462" i="8"/>
  <c r="B461" i="8"/>
  <c r="A461" i="8"/>
  <c r="Q460" i="8"/>
  <c r="P460" i="8"/>
  <c r="N460" i="8"/>
  <c r="M460" i="8"/>
  <c r="I460" i="8" s="1"/>
  <c r="L460" i="8"/>
  <c r="J460" i="8"/>
  <c r="K460" i="8" s="1"/>
  <c r="B460" i="8"/>
  <c r="A460" i="8"/>
  <c r="Q459" i="8"/>
  <c r="P459" i="8"/>
  <c r="O459" i="8"/>
  <c r="N459" i="8"/>
  <c r="M459" i="8"/>
  <c r="I459" i="8" s="1"/>
  <c r="L459" i="8"/>
  <c r="H459" i="8" s="1"/>
  <c r="J459" i="8"/>
  <c r="K459" i="8" s="1"/>
  <c r="G459" i="8"/>
  <c r="F459" i="8"/>
  <c r="A459" i="8"/>
  <c r="Q458" i="8"/>
  <c r="P458" i="8"/>
  <c r="O458" i="8"/>
  <c r="N458" i="8"/>
  <c r="M458" i="8"/>
  <c r="I458" i="8" s="1"/>
  <c r="L458" i="8"/>
  <c r="H458" i="8" s="1"/>
  <c r="J458" i="8"/>
  <c r="K458" i="8" s="1"/>
  <c r="G458" i="8"/>
  <c r="F458" i="8"/>
  <c r="A458" i="8"/>
  <c r="Q457" i="8"/>
  <c r="P457" i="8"/>
  <c r="O457" i="8"/>
  <c r="N457" i="8"/>
  <c r="M457" i="8"/>
  <c r="I457" i="8" s="1"/>
  <c r="L457" i="8"/>
  <c r="H457" i="8" s="1"/>
  <c r="J457" i="8"/>
  <c r="K457" i="8" s="1"/>
  <c r="G457" i="8"/>
  <c r="F457" i="8"/>
  <c r="A457" i="8"/>
  <c r="Q456" i="8"/>
  <c r="P456" i="8"/>
  <c r="O456" i="8"/>
  <c r="N456" i="8"/>
  <c r="M456" i="8"/>
  <c r="I456" i="8" s="1"/>
  <c r="L456" i="8"/>
  <c r="H456" i="8" s="1"/>
  <c r="J456" i="8"/>
  <c r="K456" i="8" s="1"/>
  <c r="G456" i="8"/>
  <c r="F456" i="8"/>
  <c r="A456" i="8"/>
  <c r="Q455" i="8"/>
  <c r="P455" i="8"/>
  <c r="O455" i="8"/>
  <c r="N455" i="8"/>
  <c r="M455" i="8"/>
  <c r="I455" i="8" s="1"/>
  <c r="L455" i="8"/>
  <c r="H455" i="8" s="1"/>
  <c r="J455" i="8"/>
  <c r="K455" i="8" s="1"/>
  <c r="G455" i="8"/>
  <c r="F455" i="8"/>
  <c r="A455" i="8"/>
  <c r="P454" i="8"/>
  <c r="N454" i="8"/>
  <c r="B454" i="8"/>
  <c r="A454" i="8"/>
  <c r="Q453" i="8"/>
  <c r="P453" i="8"/>
  <c r="M453" i="8"/>
  <c r="I453" i="8" s="1"/>
  <c r="J453" i="8"/>
  <c r="K453" i="8" s="1"/>
  <c r="B453" i="8"/>
  <c r="A453" i="8"/>
  <c r="B452" i="8"/>
  <c r="A452" i="8"/>
  <c r="Q451" i="8"/>
  <c r="P451" i="8"/>
  <c r="J451" i="8"/>
  <c r="K451" i="8" s="1"/>
  <c r="B451" i="8"/>
  <c r="A451" i="8"/>
  <c r="P450" i="8"/>
  <c r="N450" i="8"/>
  <c r="J450" i="8"/>
  <c r="K450" i="8" s="1"/>
  <c r="G450" i="8"/>
  <c r="B450" i="8"/>
  <c r="Q450" i="8" s="1"/>
  <c r="A450" i="8"/>
  <c r="P449" i="8"/>
  <c r="N449" i="8"/>
  <c r="L449" i="8"/>
  <c r="H449" i="8" s="1"/>
  <c r="G449" i="8"/>
  <c r="B449" i="8"/>
  <c r="A449" i="8"/>
  <c r="G448" i="8"/>
  <c r="B448" i="8"/>
  <c r="A448" i="8"/>
  <c r="P447" i="8"/>
  <c r="L447" i="8"/>
  <c r="H447" i="8" s="1"/>
  <c r="G447" i="8"/>
  <c r="B447" i="8"/>
  <c r="A447" i="8"/>
  <c r="Q446" i="8"/>
  <c r="N446" i="8"/>
  <c r="L446" i="8"/>
  <c r="H446" i="8" s="1"/>
  <c r="B446" i="8"/>
  <c r="P446" i="8" s="1"/>
  <c r="A446" i="8"/>
  <c r="B445" i="8"/>
  <c r="A445" i="8"/>
  <c r="P444" i="8"/>
  <c r="J444" i="8"/>
  <c r="K444" i="8" s="1"/>
  <c r="B444" i="8"/>
  <c r="A444" i="8"/>
  <c r="M443" i="8"/>
  <c r="I443" i="8" s="1"/>
  <c r="B443" i="8"/>
  <c r="A443" i="8"/>
  <c r="B442" i="8"/>
  <c r="A442" i="8"/>
  <c r="Q441" i="8"/>
  <c r="P441" i="8"/>
  <c r="L441" i="8"/>
  <c r="H441" i="8" s="1"/>
  <c r="J441" i="8"/>
  <c r="K441" i="8" s="1"/>
  <c r="G441" i="8"/>
  <c r="B441" i="8"/>
  <c r="A441" i="8"/>
  <c r="Q440" i="8"/>
  <c r="M440" i="8"/>
  <c r="I440" i="8" s="1"/>
  <c r="L440" i="8"/>
  <c r="H440" i="8" s="1"/>
  <c r="J440" i="8"/>
  <c r="B440" i="8"/>
  <c r="A440" i="8"/>
  <c r="A439" i="8"/>
  <c r="P438" i="8"/>
  <c r="B438" i="8"/>
  <c r="A438" i="8"/>
  <c r="Q437" i="8"/>
  <c r="M437" i="8"/>
  <c r="I437" i="8" s="1"/>
  <c r="J437" i="8"/>
  <c r="K437" i="8" s="1"/>
  <c r="B437" i="8"/>
  <c r="A437" i="8"/>
  <c r="B436" i="8"/>
  <c r="A436" i="8"/>
  <c r="Q435" i="8"/>
  <c r="P435" i="8"/>
  <c r="O435" i="8"/>
  <c r="N435" i="8"/>
  <c r="M435" i="8"/>
  <c r="I435" i="8" s="1"/>
  <c r="L435" i="8"/>
  <c r="H435" i="8" s="1"/>
  <c r="J435" i="8"/>
  <c r="K435" i="8" s="1"/>
  <c r="G435" i="8"/>
  <c r="F435" i="8"/>
  <c r="A435" i="8"/>
  <c r="Q434" i="8"/>
  <c r="P434" i="8"/>
  <c r="O434" i="8"/>
  <c r="N434" i="8"/>
  <c r="M434" i="8"/>
  <c r="I434" i="8" s="1"/>
  <c r="L434" i="8"/>
  <c r="H434" i="8" s="1"/>
  <c r="J434" i="8"/>
  <c r="K434" i="8" s="1"/>
  <c r="G434" i="8"/>
  <c r="F434" i="8"/>
  <c r="A434" i="8"/>
  <c r="Q433" i="8"/>
  <c r="P433" i="8"/>
  <c r="O433" i="8"/>
  <c r="N433" i="8"/>
  <c r="M433" i="8"/>
  <c r="I433" i="8" s="1"/>
  <c r="L433" i="8"/>
  <c r="H433" i="8" s="1"/>
  <c r="J433" i="8"/>
  <c r="K433" i="8" s="1"/>
  <c r="G433" i="8"/>
  <c r="F433" i="8"/>
  <c r="A433" i="8"/>
  <c r="Q432" i="8"/>
  <c r="P432" i="8"/>
  <c r="O432" i="8"/>
  <c r="N432" i="8"/>
  <c r="M432" i="8"/>
  <c r="I432" i="8" s="1"/>
  <c r="L432" i="8"/>
  <c r="H432" i="8" s="1"/>
  <c r="J432" i="8"/>
  <c r="K432" i="8" s="1"/>
  <c r="G432" i="8"/>
  <c r="F432" i="8"/>
  <c r="A432" i="8"/>
  <c r="Q431" i="8"/>
  <c r="P431" i="8"/>
  <c r="O431" i="8"/>
  <c r="N431" i="8"/>
  <c r="M431" i="8"/>
  <c r="I431" i="8" s="1"/>
  <c r="L431" i="8"/>
  <c r="H431" i="8" s="1"/>
  <c r="J431" i="8"/>
  <c r="K431" i="8" s="1"/>
  <c r="G431" i="8"/>
  <c r="F431" i="8"/>
  <c r="A431" i="8"/>
  <c r="Q430" i="8"/>
  <c r="P430" i="8"/>
  <c r="M430" i="8"/>
  <c r="I430" i="8" s="1"/>
  <c r="L430" i="8"/>
  <c r="H430" i="8" s="1"/>
  <c r="G430" i="8"/>
  <c r="B430" i="8"/>
  <c r="A430" i="8"/>
  <c r="N430" i="8" s="1"/>
  <c r="Q429" i="8"/>
  <c r="P429" i="8"/>
  <c r="N429" i="8"/>
  <c r="M429" i="8"/>
  <c r="I429" i="8" s="1"/>
  <c r="L429" i="8"/>
  <c r="H429" i="8" s="1"/>
  <c r="B429" i="8"/>
  <c r="A429" i="8"/>
  <c r="Q428" i="8"/>
  <c r="P428" i="8"/>
  <c r="G428" i="8"/>
  <c r="B428" i="8"/>
  <c r="A428" i="8"/>
  <c r="Q427" i="8"/>
  <c r="P427" i="8"/>
  <c r="N427" i="8"/>
  <c r="M427" i="8"/>
  <c r="I427" i="8" s="1"/>
  <c r="J427" i="8"/>
  <c r="K427" i="8" s="1"/>
  <c r="B427" i="8"/>
  <c r="A427" i="8"/>
  <c r="L426" i="8"/>
  <c r="H426" i="8" s="1"/>
  <c r="B426" i="8"/>
  <c r="A426" i="8"/>
  <c r="Q425" i="8"/>
  <c r="N425" i="8"/>
  <c r="M425" i="8"/>
  <c r="I425" i="8" s="1"/>
  <c r="L425" i="8"/>
  <c r="H425" i="8" s="1"/>
  <c r="J425" i="8"/>
  <c r="K425" i="8" s="1"/>
  <c r="G425" i="8"/>
  <c r="B425" i="8"/>
  <c r="A425" i="8"/>
  <c r="Q424" i="8"/>
  <c r="P424" i="8"/>
  <c r="N424" i="8"/>
  <c r="J424" i="8"/>
  <c r="K424" i="8" s="1"/>
  <c r="B424" i="8"/>
  <c r="A424" i="8"/>
  <c r="A423" i="8"/>
  <c r="Q422" i="8"/>
  <c r="J422" i="8"/>
  <c r="K422" i="8" s="1"/>
  <c r="G422" i="8"/>
  <c r="B422" i="8"/>
  <c r="A422" i="8"/>
  <c r="A421" i="8"/>
  <c r="P420" i="8"/>
  <c r="N420" i="8"/>
  <c r="M420" i="8"/>
  <c r="I420" i="8" s="1"/>
  <c r="L420" i="8"/>
  <c r="H420" i="8" s="1"/>
  <c r="G420" i="8"/>
  <c r="B420" i="8"/>
  <c r="A420" i="8"/>
  <c r="A419" i="8"/>
  <c r="P418" i="8"/>
  <c r="G418" i="8"/>
  <c r="B418" i="8"/>
  <c r="A418" i="8"/>
  <c r="B417" i="8"/>
  <c r="A417" i="8"/>
  <c r="B416" i="8"/>
  <c r="A416" i="8"/>
  <c r="Q415" i="8"/>
  <c r="B415" i="8"/>
  <c r="A415" i="8"/>
  <c r="P414" i="8"/>
  <c r="M414" i="8"/>
  <c r="I414" i="8" s="1"/>
  <c r="J414" i="8"/>
  <c r="K414" i="8" s="1"/>
  <c r="G414" i="8"/>
  <c r="B414" i="8"/>
  <c r="A414" i="8"/>
  <c r="B413" i="8"/>
  <c r="A413" i="8"/>
  <c r="J412" i="8"/>
  <c r="K412" i="8" s="1"/>
  <c r="B412" i="8"/>
  <c r="A412" i="8"/>
  <c r="Q411" i="8"/>
  <c r="P411" i="8"/>
  <c r="O411" i="8"/>
  <c r="N411" i="8"/>
  <c r="M411" i="8"/>
  <c r="I411" i="8" s="1"/>
  <c r="L411" i="8"/>
  <c r="H411" i="8" s="1"/>
  <c r="J411" i="8"/>
  <c r="K411" i="8" s="1"/>
  <c r="G411" i="8"/>
  <c r="F411" i="8"/>
  <c r="A411" i="8"/>
  <c r="Q410" i="8"/>
  <c r="P410" i="8"/>
  <c r="O410" i="8"/>
  <c r="N410" i="8"/>
  <c r="M410" i="8"/>
  <c r="I410" i="8" s="1"/>
  <c r="L410" i="8"/>
  <c r="H410" i="8" s="1"/>
  <c r="J410" i="8"/>
  <c r="K410" i="8" s="1"/>
  <c r="G410" i="8"/>
  <c r="F410" i="8"/>
  <c r="A410" i="8"/>
  <c r="Q409" i="8"/>
  <c r="P409" i="8"/>
  <c r="O409" i="8"/>
  <c r="N409" i="8"/>
  <c r="M409" i="8"/>
  <c r="I409" i="8" s="1"/>
  <c r="L409" i="8"/>
  <c r="H409" i="8" s="1"/>
  <c r="J409" i="8"/>
  <c r="K409" i="8" s="1"/>
  <c r="G409" i="8"/>
  <c r="F409" i="8"/>
  <c r="A409" i="8"/>
  <c r="Q408" i="8"/>
  <c r="P408" i="8"/>
  <c r="O408" i="8"/>
  <c r="N408" i="8"/>
  <c r="M408" i="8"/>
  <c r="I408" i="8" s="1"/>
  <c r="L408" i="8"/>
  <c r="H408" i="8" s="1"/>
  <c r="J408" i="8"/>
  <c r="K408" i="8" s="1"/>
  <c r="G408" i="8"/>
  <c r="F408" i="8"/>
  <c r="A408" i="8"/>
  <c r="Q407" i="8"/>
  <c r="P407" i="8"/>
  <c r="O407" i="8"/>
  <c r="N407" i="8"/>
  <c r="M407" i="8"/>
  <c r="I407" i="8" s="1"/>
  <c r="L407" i="8"/>
  <c r="H407" i="8" s="1"/>
  <c r="J407" i="8"/>
  <c r="K407" i="8" s="1"/>
  <c r="G407" i="8"/>
  <c r="F407" i="8"/>
  <c r="A407" i="8"/>
  <c r="Q406" i="8"/>
  <c r="P406" i="8"/>
  <c r="J406" i="8"/>
  <c r="K406" i="8" s="1"/>
  <c r="B406" i="8"/>
  <c r="A406" i="8"/>
  <c r="P405" i="8"/>
  <c r="L405" i="8"/>
  <c r="H405" i="8" s="1"/>
  <c r="G405" i="8"/>
  <c r="B405" i="8"/>
  <c r="A405" i="8"/>
  <c r="Q404" i="8"/>
  <c r="P404" i="8"/>
  <c r="M404" i="8"/>
  <c r="I404" i="8" s="1"/>
  <c r="J404" i="8"/>
  <c r="K404" i="8" s="1"/>
  <c r="G404" i="8"/>
  <c r="B404" i="8"/>
  <c r="A404" i="8"/>
  <c r="P403" i="8"/>
  <c r="J403" i="8"/>
  <c r="B403" i="8"/>
  <c r="A403" i="8"/>
  <c r="Q402" i="8"/>
  <c r="P402" i="8"/>
  <c r="N402" i="8"/>
  <c r="J402" i="8"/>
  <c r="G402" i="8"/>
  <c r="B402" i="8"/>
  <c r="A402" i="8"/>
  <c r="N401" i="8"/>
  <c r="B401" i="8"/>
  <c r="A401" i="8"/>
  <c r="Q400" i="8"/>
  <c r="J400" i="8"/>
  <c r="K400" i="8" s="1"/>
  <c r="G400" i="8"/>
  <c r="B400" i="8"/>
  <c r="A400" i="8"/>
  <c r="Q399" i="8"/>
  <c r="N399" i="8"/>
  <c r="M399" i="8"/>
  <c r="I399" i="8" s="1"/>
  <c r="J399" i="8"/>
  <c r="K399" i="8" s="1"/>
  <c r="G399" i="8"/>
  <c r="B399" i="8"/>
  <c r="A399" i="8"/>
  <c r="J398" i="8"/>
  <c r="K398" i="8" s="1"/>
  <c r="G398" i="8"/>
  <c r="B398" i="8"/>
  <c r="A398" i="8"/>
  <c r="A397" i="8"/>
  <c r="P396" i="8"/>
  <c r="N396" i="8"/>
  <c r="M396" i="8"/>
  <c r="I396" i="8" s="1"/>
  <c r="L396" i="8"/>
  <c r="J396" i="8"/>
  <c r="K396" i="8" s="1"/>
  <c r="G396" i="8"/>
  <c r="B396" i="8"/>
  <c r="A396" i="8"/>
  <c r="A395" i="8"/>
  <c r="Q394" i="8"/>
  <c r="N394" i="8"/>
  <c r="L394" i="8"/>
  <c r="H394" i="8" s="1"/>
  <c r="J394" i="8"/>
  <c r="B394" i="8"/>
  <c r="A394" i="8"/>
  <c r="Q393" i="8"/>
  <c r="J393" i="8"/>
  <c r="B393" i="8"/>
  <c r="A393" i="8"/>
  <c r="N393" i="8" s="1"/>
  <c r="A392" i="8"/>
  <c r="Q391" i="8"/>
  <c r="P391" i="8"/>
  <c r="N391" i="8"/>
  <c r="M391" i="8"/>
  <c r="I391" i="8" s="1"/>
  <c r="G391" i="8"/>
  <c r="B391" i="8"/>
  <c r="A391" i="8"/>
  <c r="B390" i="8"/>
  <c r="A390" i="8"/>
  <c r="Q389" i="8"/>
  <c r="B389" i="8"/>
  <c r="A389" i="8"/>
  <c r="P388" i="8"/>
  <c r="L388" i="8"/>
  <c r="B388" i="8"/>
  <c r="A388" i="8"/>
  <c r="Q387" i="8"/>
  <c r="P387" i="8"/>
  <c r="O387" i="8"/>
  <c r="N387" i="8"/>
  <c r="M387" i="8"/>
  <c r="I387" i="8" s="1"/>
  <c r="L387" i="8"/>
  <c r="H387" i="8" s="1"/>
  <c r="J387" i="8"/>
  <c r="K387" i="8" s="1"/>
  <c r="G387" i="8"/>
  <c r="F387" i="8"/>
  <c r="A387" i="8"/>
  <c r="Q386" i="8"/>
  <c r="P386" i="8"/>
  <c r="O386" i="8"/>
  <c r="N386" i="8"/>
  <c r="M386" i="8"/>
  <c r="I386" i="8" s="1"/>
  <c r="L386" i="8"/>
  <c r="H386" i="8" s="1"/>
  <c r="J386" i="8"/>
  <c r="K386" i="8" s="1"/>
  <c r="G386" i="8"/>
  <c r="F386" i="8"/>
  <c r="A386" i="8"/>
  <c r="Q385" i="8"/>
  <c r="P385" i="8"/>
  <c r="O385" i="8"/>
  <c r="N385" i="8"/>
  <c r="M385" i="8"/>
  <c r="I385" i="8" s="1"/>
  <c r="L385" i="8"/>
  <c r="H385" i="8" s="1"/>
  <c r="J385" i="8"/>
  <c r="K385" i="8" s="1"/>
  <c r="G385" i="8"/>
  <c r="F385" i="8"/>
  <c r="A385" i="8"/>
  <c r="Q384" i="8"/>
  <c r="P384" i="8"/>
  <c r="O384" i="8"/>
  <c r="N384" i="8"/>
  <c r="M384" i="8"/>
  <c r="I384" i="8" s="1"/>
  <c r="L384" i="8"/>
  <c r="H384" i="8" s="1"/>
  <c r="J384" i="8"/>
  <c r="K384" i="8" s="1"/>
  <c r="G384" i="8"/>
  <c r="F384" i="8"/>
  <c r="A384" i="8"/>
  <c r="Q383" i="8"/>
  <c r="P383" i="8"/>
  <c r="O383" i="8"/>
  <c r="N383" i="8"/>
  <c r="M383" i="8"/>
  <c r="I383" i="8" s="1"/>
  <c r="L383" i="8"/>
  <c r="H383" i="8" s="1"/>
  <c r="J383" i="8"/>
  <c r="K383" i="8" s="1"/>
  <c r="G383" i="8"/>
  <c r="F383" i="8"/>
  <c r="A383" i="8"/>
  <c r="M382" i="8"/>
  <c r="I382" i="8" s="1"/>
  <c r="B382" i="8"/>
  <c r="A382" i="8"/>
  <c r="P381" i="8"/>
  <c r="L381" i="8"/>
  <c r="H381" i="8" s="1"/>
  <c r="G381" i="8"/>
  <c r="B381" i="8"/>
  <c r="A381" i="8"/>
  <c r="P380" i="8"/>
  <c r="B380" i="8"/>
  <c r="A380" i="8"/>
  <c r="B379" i="8"/>
  <c r="A379" i="8"/>
  <c r="N378" i="8"/>
  <c r="G378" i="8"/>
  <c r="B378" i="8"/>
  <c r="A378" i="8"/>
  <c r="P377" i="8"/>
  <c r="N377" i="8"/>
  <c r="M377" i="8"/>
  <c r="I377" i="8" s="1"/>
  <c r="G377" i="8"/>
  <c r="B377" i="8"/>
  <c r="A377" i="8"/>
  <c r="Q376" i="8"/>
  <c r="L376" i="8"/>
  <c r="H376" i="8" s="1"/>
  <c r="J376" i="8"/>
  <c r="K376" i="8" s="1"/>
  <c r="B376" i="8"/>
  <c r="A376" i="8"/>
  <c r="J375" i="8"/>
  <c r="B375" i="8"/>
  <c r="A375" i="8"/>
  <c r="Q374" i="8"/>
  <c r="N374" i="8"/>
  <c r="J374" i="8"/>
  <c r="K374" i="8" s="1"/>
  <c r="G374" i="8"/>
  <c r="B374" i="8"/>
  <c r="A374" i="8"/>
  <c r="M373" i="8"/>
  <c r="I373" i="8" s="1"/>
  <c r="B373" i="8"/>
  <c r="A373" i="8"/>
  <c r="Q372" i="8"/>
  <c r="J372" i="8"/>
  <c r="K372" i="8" s="1"/>
  <c r="G372" i="8"/>
  <c r="B372" i="8"/>
  <c r="P372" i="8" s="1"/>
  <c r="A372" i="8"/>
  <c r="A371" i="8"/>
  <c r="Q370" i="8"/>
  <c r="P370" i="8"/>
  <c r="N370" i="8"/>
  <c r="M370" i="8"/>
  <c r="I370" i="8" s="1"/>
  <c r="L370" i="8"/>
  <c r="J370" i="8"/>
  <c r="K370" i="8" s="1"/>
  <c r="G370" i="8"/>
  <c r="B370" i="8"/>
  <c r="A370" i="8"/>
  <c r="B369" i="8"/>
  <c r="A369" i="8"/>
  <c r="A368" i="8"/>
  <c r="Q367" i="8"/>
  <c r="B367" i="8"/>
  <c r="A367" i="8"/>
  <c r="Q366" i="8"/>
  <c r="P366" i="8"/>
  <c r="M366" i="8"/>
  <c r="I366" i="8" s="1"/>
  <c r="L366" i="8"/>
  <c r="J366" i="8"/>
  <c r="B366" i="8"/>
  <c r="A366" i="8"/>
  <c r="Q365" i="8"/>
  <c r="P365" i="8"/>
  <c r="N365" i="8"/>
  <c r="G365" i="8"/>
  <c r="B365" i="8"/>
  <c r="A365" i="8"/>
  <c r="J364" i="8"/>
  <c r="K364" i="8" s="1"/>
  <c r="B364" i="8"/>
  <c r="A364" i="8"/>
  <c r="M364" i="8" s="1"/>
  <c r="I364" i="8" s="1"/>
  <c r="Q363" i="8"/>
  <c r="P363" i="8"/>
  <c r="O363" i="8"/>
  <c r="N363" i="8"/>
  <c r="M363" i="8"/>
  <c r="I363" i="8" s="1"/>
  <c r="L363" i="8"/>
  <c r="H363" i="8" s="1"/>
  <c r="J363" i="8"/>
  <c r="K363" i="8" s="1"/>
  <c r="G363" i="8"/>
  <c r="F363" i="8"/>
  <c r="A363" i="8"/>
  <c r="Q362" i="8"/>
  <c r="P362" i="8"/>
  <c r="O362" i="8"/>
  <c r="N362" i="8"/>
  <c r="M362" i="8"/>
  <c r="I362" i="8" s="1"/>
  <c r="L362" i="8"/>
  <c r="H362" i="8" s="1"/>
  <c r="J362" i="8"/>
  <c r="K362" i="8" s="1"/>
  <c r="G362" i="8"/>
  <c r="F362" i="8"/>
  <c r="A362" i="8"/>
  <c r="Q361" i="8"/>
  <c r="P361" i="8"/>
  <c r="O361" i="8"/>
  <c r="N361" i="8"/>
  <c r="M361" i="8"/>
  <c r="I361" i="8" s="1"/>
  <c r="L361" i="8"/>
  <c r="H361" i="8" s="1"/>
  <c r="J361" i="8"/>
  <c r="K361" i="8" s="1"/>
  <c r="G361" i="8"/>
  <c r="F361" i="8"/>
  <c r="A361" i="8"/>
  <c r="Q360" i="8"/>
  <c r="P360" i="8"/>
  <c r="O360" i="8"/>
  <c r="N360" i="8"/>
  <c r="M360" i="8"/>
  <c r="I360" i="8" s="1"/>
  <c r="L360" i="8"/>
  <c r="H360" i="8" s="1"/>
  <c r="J360" i="8"/>
  <c r="K360" i="8" s="1"/>
  <c r="G360" i="8"/>
  <c r="F360" i="8"/>
  <c r="A360" i="8"/>
  <c r="Q359" i="8"/>
  <c r="P359" i="8"/>
  <c r="O359" i="8"/>
  <c r="N359" i="8"/>
  <c r="M359" i="8"/>
  <c r="I359" i="8" s="1"/>
  <c r="L359" i="8"/>
  <c r="H359" i="8" s="1"/>
  <c r="J359" i="8"/>
  <c r="K359" i="8" s="1"/>
  <c r="G359" i="8"/>
  <c r="F359" i="8"/>
  <c r="A359" i="8"/>
  <c r="Q358" i="8"/>
  <c r="P358" i="8"/>
  <c r="J358" i="8"/>
  <c r="K358" i="8" s="1"/>
  <c r="G358" i="8"/>
  <c r="B358" i="8"/>
  <c r="A358" i="8"/>
  <c r="Q357" i="8"/>
  <c r="P357" i="8"/>
  <c r="J357" i="8"/>
  <c r="K357" i="8" s="1"/>
  <c r="G357" i="8"/>
  <c r="B357" i="8"/>
  <c r="A357" i="8"/>
  <c r="Q356" i="8"/>
  <c r="P356" i="8"/>
  <c r="M356" i="8"/>
  <c r="I356" i="8" s="1"/>
  <c r="B356" i="8"/>
  <c r="A356" i="8"/>
  <c r="L356" i="8" s="1"/>
  <c r="H356" i="8" s="1"/>
  <c r="M355" i="8"/>
  <c r="I355" i="8" s="1"/>
  <c r="J355" i="8"/>
  <c r="K355" i="8" s="1"/>
  <c r="G355" i="8"/>
  <c r="B355" i="8"/>
  <c r="A355" i="8"/>
  <c r="Q354" i="8"/>
  <c r="P354" i="8"/>
  <c r="M354" i="8"/>
  <c r="I354" i="8" s="1"/>
  <c r="L354" i="8"/>
  <c r="J354" i="8"/>
  <c r="K354" i="8" s="1"/>
  <c r="G354" i="8"/>
  <c r="B354" i="8"/>
  <c r="A354" i="8"/>
  <c r="N354" i="8" s="1"/>
  <c r="B353" i="8"/>
  <c r="A353" i="8"/>
  <c r="B352" i="8"/>
  <c r="A352" i="8"/>
  <c r="J351" i="8"/>
  <c r="B351" i="8"/>
  <c r="A351" i="8"/>
  <c r="Q350" i="8"/>
  <c r="N350" i="8"/>
  <c r="J350" i="8"/>
  <c r="B350" i="8"/>
  <c r="A350" i="8"/>
  <c r="Q349" i="8"/>
  <c r="P349" i="8"/>
  <c r="M349" i="8"/>
  <c r="I349" i="8" s="1"/>
  <c r="L349" i="8"/>
  <c r="J349" i="8"/>
  <c r="G349" i="8"/>
  <c r="B349" i="8"/>
  <c r="A349" i="8"/>
  <c r="B348" i="8"/>
  <c r="A348" i="8"/>
  <c r="A347" i="8"/>
  <c r="B346" i="8"/>
  <c r="A346" i="8"/>
  <c r="A345" i="8"/>
  <c r="B344" i="8"/>
  <c r="A344" i="8"/>
  <c r="B343" i="8"/>
  <c r="A343" i="8"/>
  <c r="B342" i="8"/>
  <c r="Q342" i="8" s="1"/>
  <c r="A342" i="8"/>
  <c r="Q341" i="8"/>
  <c r="G341" i="8"/>
  <c r="B341" i="8"/>
  <c r="A341" i="8"/>
  <c r="Q340" i="8"/>
  <c r="P340" i="8"/>
  <c r="L340" i="8"/>
  <c r="H340" i="8" s="1"/>
  <c r="J340" i="8"/>
  <c r="B340" i="8"/>
  <c r="A340" i="8"/>
  <c r="Q339" i="8"/>
  <c r="P339" i="8"/>
  <c r="O339" i="8"/>
  <c r="N339" i="8"/>
  <c r="M339" i="8"/>
  <c r="I339" i="8" s="1"/>
  <c r="L339" i="8"/>
  <c r="H339" i="8" s="1"/>
  <c r="J339" i="8"/>
  <c r="K339" i="8" s="1"/>
  <c r="G339" i="8"/>
  <c r="F339" i="8"/>
  <c r="A339" i="8"/>
  <c r="Q338" i="8"/>
  <c r="P338" i="8"/>
  <c r="O338" i="8"/>
  <c r="N338" i="8"/>
  <c r="M338" i="8"/>
  <c r="I338" i="8" s="1"/>
  <c r="L338" i="8"/>
  <c r="H338" i="8" s="1"/>
  <c r="J338" i="8"/>
  <c r="K338" i="8" s="1"/>
  <c r="G338" i="8"/>
  <c r="F338" i="8"/>
  <c r="A338" i="8"/>
  <c r="Q337" i="8"/>
  <c r="P337" i="8"/>
  <c r="O337" i="8"/>
  <c r="N337" i="8"/>
  <c r="M337" i="8"/>
  <c r="I337" i="8" s="1"/>
  <c r="L337" i="8"/>
  <c r="H337" i="8" s="1"/>
  <c r="J337" i="8"/>
  <c r="K337" i="8" s="1"/>
  <c r="G337" i="8"/>
  <c r="F337" i="8"/>
  <c r="A337" i="8"/>
  <c r="Q336" i="8"/>
  <c r="P336" i="8"/>
  <c r="O336" i="8"/>
  <c r="N336" i="8"/>
  <c r="M336" i="8"/>
  <c r="I336" i="8" s="1"/>
  <c r="L336" i="8"/>
  <c r="H336" i="8" s="1"/>
  <c r="J336" i="8"/>
  <c r="K336" i="8" s="1"/>
  <c r="G336" i="8"/>
  <c r="F336" i="8"/>
  <c r="A336" i="8"/>
  <c r="Q335" i="8"/>
  <c r="P335" i="8"/>
  <c r="O335" i="8"/>
  <c r="N335" i="8"/>
  <c r="M335" i="8"/>
  <c r="I335" i="8" s="1"/>
  <c r="L335" i="8"/>
  <c r="H335" i="8" s="1"/>
  <c r="J335" i="8"/>
  <c r="K335" i="8" s="1"/>
  <c r="G335" i="8"/>
  <c r="F335" i="8"/>
  <c r="A335" i="8"/>
  <c r="Q334" i="8"/>
  <c r="P334" i="8"/>
  <c r="N334" i="8"/>
  <c r="M334" i="8"/>
  <c r="I334" i="8" s="1"/>
  <c r="L334" i="8"/>
  <c r="H334" i="8" s="1"/>
  <c r="G334" i="8"/>
  <c r="B334" i="8"/>
  <c r="A334" i="8"/>
  <c r="P333" i="8"/>
  <c r="M333" i="8"/>
  <c r="I333" i="8" s="1"/>
  <c r="L333" i="8"/>
  <c r="H333" i="8" s="1"/>
  <c r="J333" i="8"/>
  <c r="K333" i="8" s="1"/>
  <c r="G333" i="8"/>
  <c r="B333" i="8"/>
  <c r="A333" i="8"/>
  <c r="Q332" i="8"/>
  <c r="P332" i="8"/>
  <c r="M332" i="8"/>
  <c r="I332" i="8" s="1"/>
  <c r="L332" i="8"/>
  <c r="J332" i="8"/>
  <c r="K332" i="8" s="1"/>
  <c r="G332" i="8"/>
  <c r="B332" i="8"/>
  <c r="A332" i="8"/>
  <c r="Q331" i="8"/>
  <c r="P331" i="8"/>
  <c r="N331" i="8"/>
  <c r="M331" i="8"/>
  <c r="I331" i="8" s="1"/>
  <c r="L331" i="8"/>
  <c r="J331" i="8"/>
  <c r="K331" i="8" s="1"/>
  <c r="G331" i="8"/>
  <c r="B331" i="8"/>
  <c r="A331" i="8"/>
  <c r="N330" i="8"/>
  <c r="L330" i="8"/>
  <c r="H330" i="8" s="1"/>
  <c r="B330" i="8"/>
  <c r="A330" i="8"/>
  <c r="Q329" i="8"/>
  <c r="P329" i="8"/>
  <c r="J329" i="8"/>
  <c r="K329" i="8" s="1"/>
  <c r="G329" i="8"/>
  <c r="B329" i="8"/>
  <c r="A329" i="8"/>
  <c r="Q328" i="8"/>
  <c r="N328" i="8"/>
  <c r="M328" i="8"/>
  <c r="I328" i="8" s="1"/>
  <c r="L328" i="8"/>
  <c r="H328" i="8" s="1"/>
  <c r="G328" i="8"/>
  <c r="B328" i="8"/>
  <c r="A328" i="8"/>
  <c r="A327" i="8"/>
  <c r="B326" i="8"/>
  <c r="A326" i="8"/>
  <c r="G325" i="8"/>
  <c r="B325" i="8"/>
  <c r="A325" i="8"/>
  <c r="Q324" i="8"/>
  <c r="P324" i="8"/>
  <c r="M324" i="8"/>
  <c r="I324" i="8" s="1"/>
  <c r="L324" i="8"/>
  <c r="H324" i="8" s="1"/>
  <c r="J324" i="8"/>
  <c r="K324" i="8" s="1"/>
  <c r="G324" i="8"/>
  <c r="B324" i="8"/>
  <c r="A324" i="8"/>
  <c r="N323" i="8"/>
  <c r="M323" i="8"/>
  <c r="I323" i="8" s="1"/>
  <c r="B323" i="8"/>
  <c r="A323" i="8"/>
  <c r="G322" i="8"/>
  <c r="B322" i="8"/>
  <c r="A322" i="8"/>
  <c r="A321" i="8"/>
  <c r="P320" i="8"/>
  <c r="J320" i="8"/>
  <c r="K320" i="8" s="1"/>
  <c r="G320" i="8"/>
  <c r="B320" i="8"/>
  <c r="A320" i="8"/>
  <c r="J319" i="8"/>
  <c r="K319" i="8" s="1"/>
  <c r="B319" i="8"/>
  <c r="A319" i="8"/>
  <c r="L318" i="8"/>
  <c r="H318" i="8" s="1"/>
  <c r="B318" i="8"/>
  <c r="A318" i="8"/>
  <c r="G317" i="8"/>
  <c r="B317" i="8"/>
  <c r="A317" i="8"/>
  <c r="M317" i="8" s="1"/>
  <c r="I317" i="8" s="1"/>
  <c r="P316" i="8"/>
  <c r="N316" i="8"/>
  <c r="B316" i="8"/>
  <c r="A316" i="8"/>
  <c r="Q315" i="8"/>
  <c r="P315" i="8"/>
  <c r="O315" i="8"/>
  <c r="N315" i="8"/>
  <c r="M315" i="8"/>
  <c r="I315" i="8" s="1"/>
  <c r="L315" i="8"/>
  <c r="H315" i="8" s="1"/>
  <c r="J315" i="8"/>
  <c r="K315" i="8" s="1"/>
  <c r="G315" i="8"/>
  <c r="F315" i="8"/>
  <c r="A315" i="8"/>
  <c r="Q314" i="8"/>
  <c r="P314" i="8"/>
  <c r="O314" i="8"/>
  <c r="N314" i="8"/>
  <c r="M314" i="8"/>
  <c r="I314" i="8" s="1"/>
  <c r="L314" i="8"/>
  <c r="H314" i="8" s="1"/>
  <c r="J314" i="8"/>
  <c r="K314" i="8" s="1"/>
  <c r="G314" i="8"/>
  <c r="F314" i="8"/>
  <c r="A314" i="8"/>
  <c r="Q313" i="8"/>
  <c r="P313" i="8"/>
  <c r="O313" i="8"/>
  <c r="N313" i="8"/>
  <c r="M313" i="8"/>
  <c r="I313" i="8" s="1"/>
  <c r="L313" i="8"/>
  <c r="H313" i="8" s="1"/>
  <c r="J313" i="8"/>
  <c r="K313" i="8" s="1"/>
  <c r="G313" i="8"/>
  <c r="F313" i="8"/>
  <c r="A313" i="8"/>
  <c r="Q312" i="8"/>
  <c r="P312" i="8"/>
  <c r="O312" i="8"/>
  <c r="N312" i="8"/>
  <c r="M312" i="8"/>
  <c r="I312" i="8" s="1"/>
  <c r="L312" i="8"/>
  <c r="H312" i="8" s="1"/>
  <c r="J312" i="8"/>
  <c r="K312" i="8" s="1"/>
  <c r="G312" i="8"/>
  <c r="F312" i="8"/>
  <c r="A312" i="8"/>
  <c r="Q311" i="8"/>
  <c r="P311" i="8"/>
  <c r="O311" i="8"/>
  <c r="N311" i="8"/>
  <c r="M311" i="8"/>
  <c r="I311" i="8" s="1"/>
  <c r="L311" i="8"/>
  <c r="H311" i="8" s="1"/>
  <c r="J311" i="8"/>
  <c r="K311" i="8" s="1"/>
  <c r="G311" i="8"/>
  <c r="F311" i="8"/>
  <c r="A311" i="8"/>
  <c r="Q310" i="8"/>
  <c r="P310" i="8"/>
  <c r="N310" i="8"/>
  <c r="M310" i="8"/>
  <c r="L310" i="8"/>
  <c r="H310" i="8" s="1"/>
  <c r="J310" i="8"/>
  <c r="K310" i="8" s="1"/>
  <c r="G310" i="8"/>
  <c r="B310" i="8"/>
  <c r="A310" i="8"/>
  <c r="Q309" i="8"/>
  <c r="P309" i="8"/>
  <c r="N309" i="8"/>
  <c r="J309" i="8"/>
  <c r="K309" i="8" s="1"/>
  <c r="B309" i="8"/>
  <c r="A309" i="8"/>
  <c r="Q308" i="8"/>
  <c r="J308" i="8"/>
  <c r="B308" i="8"/>
  <c r="A308" i="8"/>
  <c r="N307" i="8"/>
  <c r="M307" i="8"/>
  <c r="I307" i="8" s="1"/>
  <c r="G307" i="8"/>
  <c r="B307" i="8"/>
  <c r="A307" i="8"/>
  <c r="Q306" i="8"/>
  <c r="P306" i="8"/>
  <c r="J306" i="8"/>
  <c r="G306" i="8"/>
  <c r="B306" i="8"/>
  <c r="A306" i="8"/>
  <c r="Q305" i="8"/>
  <c r="P305" i="8"/>
  <c r="J305" i="8"/>
  <c r="G305" i="8"/>
  <c r="B305" i="8"/>
  <c r="A305" i="8"/>
  <c r="P304" i="8"/>
  <c r="N304" i="8"/>
  <c r="M304" i="8"/>
  <c r="I304" i="8" s="1"/>
  <c r="L304" i="8"/>
  <c r="G304" i="8"/>
  <c r="B304" i="8"/>
  <c r="A304" i="8"/>
  <c r="Q303" i="8"/>
  <c r="N303" i="8"/>
  <c r="J303" i="8"/>
  <c r="B303" i="8"/>
  <c r="A303" i="8"/>
  <c r="L303" i="8" s="1"/>
  <c r="H303" i="8" s="1"/>
  <c r="A302" i="8"/>
  <c r="Q301" i="8"/>
  <c r="P301" i="8"/>
  <c r="N301" i="8"/>
  <c r="G301" i="8"/>
  <c r="B301" i="8"/>
  <c r="A301" i="8"/>
  <c r="M300" i="8"/>
  <c r="I300" i="8" s="1"/>
  <c r="B300" i="8"/>
  <c r="A300" i="8"/>
  <c r="P299" i="8"/>
  <c r="N299" i="8"/>
  <c r="M299" i="8"/>
  <c r="I299" i="8" s="1"/>
  <c r="L299" i="8"/>
  <c r="G299" i="8"/>
  <c r="B299" i="8"/>
  <c r="A299" i="8"/>
  <c r="Q298" i="8"/>
  <c r="P298" i="8"/>
  <c r="N298" i="8"/>
  <c r="M298" i="8"/>
  <c r="I298" i="8" s="1"/>
  <c r="L298" i="8"/>
  <c r="J298" i="8"/>
  <c r="K298" i="8" s="1"/>
  <c r="G298" i="8"/>
  <c r="B298" i="8"/>
  <c r="A298" i="8"/>
  <c r="A297" i="8"/>
  <c r="Q296" i="8"/>
  <c r="L296" i="8"/>
  <c r="H296" i="8" s="1"/>
  <c r="J296" i="8"/>
  <c r="B296" i="8"/>
  <c r="A296" i="8"/>
  <c r="M296" i="8" s="1"/>
  <c r="I296" i="8" s="1"/>
  <c r="Q295" i="8"/>
  <c r="N295" i="8"/>
  <c r="L295" i="8"/>
  <c r="H295" i="8" s="1"/>
  <c r="B295" i="8"/>
  <c r="A295" i="8"/>
  <c r="Q294" i="8"/>
  <c r="N294" i="8"/>
  <c r="L294" i="8"/>
  <c r="H294" i="8" s="1"/>
  <c r="J294" i="8"/>
  <c r="G294" i="8"/>
  <c r="B294" i="8"/>
  <c r="A294" i="8"/>
  <c r="B293" i="8"/>
  <c r="A293" i="8"/>
  <c r="B292" i="8"/>
  <c r="A292" i="8"/>
  <c r="Q291" i="8"/>
  <c r="P291" i="8"/>
  <c r="O291" i="8"/>
  <c r="N291" i="8"/>
  <c r="M291" i="8"/>
  <c r="I291" i="8" s="1"/>
  <c r="L291" i="8"/>
  <c r="H291" i="8" s="1"/>
  <c r="J291" i="8"/>
  <c r="K291" i="8" s="1"/>
  <c r="G291" i="8"/>
  <c r="F291" i="8"/>
  <c r="A291" i="8"/>
  <c r="Q290" i="8"/>
  <c r="P290" i="8"/>
  <c r="O290" i="8"/>
  <c r="N290" i="8"/>
  <c r="M290" i="8"/>
  <c r="I290" i="8" s="1"/>
  <c r="L290" i="8"/>
  <c r="H290" i="8" s="1"/>
  <c r="J290" i="8"/>
  <c r="K290" i="8" s="1"/>
  <c r="G290" i="8"/>
  <c r="F290" i="8"/>
  <c r="A290" i="8"/>
  <c r="Q289" i="8"/>
  <c r="P289" i="8"/>
  <c r="O289" i="8"/>
  <c r="N289" i="8"/>
  <c r="M289" i="8"/>
  <c r="I289" i="8" s="1"/>
  <c r="L289" i="8"/>
  <c r="H289" i="8" s="1"/>
  <c r="J289" i="8"/>
  <c r="K289" i="8" s="1"/>
  <c r="G289" i="8"/>
  <c r="F289" i="8"/>
  <c r="A289" i="8"/>
  <c r="Q288" i="8"/>
  <c r="P288" i="8"/>
  <c r="O288" i="8"/>
  <c r="N288" i="8"/>
  <c r="M288" i="8"/>
  <c r="I288" i="8" s="1"/>
  <c r="L288" i="8"/>
  <c r="H288" i="8" s="1"/>
  <c r="J288" i="8"/>
  <c r="K288" i="8" s="1"/>
  <c r="G288" i="8"/>
  <c r="F288" i="8"/>
  <c r="A288" i="8"/>
  <c r="Q287" i="8"/>
  <c r="P287" i="8"/>
  <c r="O287" i="8"/>
  <c r="N287" i="8"/>
  <c r="M287" i="8"/>
  <c r="I287" i="8" s="1"/>
  <c r="L287" i="8"/>
  <c r="H287" i="8" s="1"/>
  <c r="J287" i="8"/>
  <c r="K287" i="8" s="1"/>
  <c r="G287" i="8"/>
  <c r="F287" i="8"/>
  <c r="A287" i="8"/>
  <c r="Q286" i="8"/>
  <c r="P286" i="8"/>
  <c r="N286" i="8"/>
  <c r="M286" i="8"/>
  <c r="I286" i="8" s="1"/>
  <c r="L286" i="8"/>
  <c r="J286" i="8"/>
  <c r="K286" i="8" s="1"/>
  <c r="G286" i="8"/>
  <c r="B286" i="8"/>
  <c r="A286" i="8"/>
  <c r="P285" i="8"/>
  <c r="M285" i="8"/>
  <c r="I285" i="8" s="1"/>
  <c r="L285" i="8"/>
  <c r="H285" i="8" s="1"/>
  <c r="J285" i="8"/>
  <c r="K285" i="8" s="1"/>
  <c r="G285" i="8"/>
  <c r="B285" i="8"/>
  <c r="A285" i="8"/>
  <c r="Q284" i="8"/>
  <c r="P284" i="8"/>
  <c r="N284" i="8"/>
  <c r="M284" i="8"/>
  <c r="I284" i="8" s="1"/>
  <c r="L284" i="8"/>
  <c r="H284" i="8" s="1"/>
  <c r="J284" i="8"/>
  <c r="K284" i="8" s="1"/>
  <c r="G284" i="8"/>
  <c r="B284" i="8"/>
  <c r="A284" i="8"/>
  <c r="Q283" i="8"/>
  <c r="P283" i="8"/>
  <c r="M283" i="8"/>
  <c r="I283" i="8" s="1"/>
  <c r="J283" i="8"/>
  <c r="K283" i="8" s="1"/>
  <c r="G283" i="8"/>
  <c r="B283" i="8"/>
  <c r="A283" i="8"/>
  <c r="Q282" i="8"/>
  <c r="P282" i="8"/>
  <c r="B282" i="8"/>
  <c r="A282" i="8"/>
  <c r="M282" i="8" s="1"/>
  <c r="I282" i="8" s="1"/>
  <c r="P281" i="8"/>
  <c r="N281" i="8"/>
  <c r="M281" i="8"/>
  <c r="I281" i="8" s="1"/>
  <c r="L281" i="8"/>
  <c r="H281" i="8" s="1"/>
  <c r="J281" i="8"/>
  <c r="K281" i="8" s="1"/>
  <c r="G281" i="8"/>
  <c r="B281" i="8"/>
  <c r="A281" i="8"/>
  <c r="P280" i="8"/>
  <c r="M280" i="8"/>
  <c r="I280" i="8" s="1"/>
  <c r="G280" i="8"/>
  <c r="B280" i="8"/>
  <c r="A280" i="8"/>
  <c r="N280" i="8" s="1"/>
  <c r="M279" i="8"/>
  <c r="I279" i="8" s="1"/>
  <c r="B279" i="8"/>
  <c r="L279" i="8" s="1"/>
  <c r="H279" i="8" s="1"/>
  <c r="A279" i="8"/>
  <c r="B278" i="8"/>
  <c r="A278" i="8"/>
  <c r="A277" i="8"/>
  <c r="L276" i="8"/>
  <c r="H276" i="8" s="1"/>
  <c r="J276" i="8"/>
  <c r="B276" i="8"/>
  <c r="A276" i="8"/>
  <c r="A275" i="8"/>
  <c r="Q274" i="8"/>
  <c r="G274" i="8"/>
  <c r="B274" i="8"/>
  <c r="A274" i="8"/>
  <c r="B273" i="8"/>
  <c r="A273" i="8"/>
  <c r="N272" i="8"/>
  <c r="L272" i="8"/>
  <c r="H272" i="8" s="1"/>
  <c r="B272" i="8"/>
  <c r="A272" i="8"/>
  <c r="Q271" i="8"/>
  <c r="P271" i="8"/>
  <c r="N271" i="8"/>
  <c r="M271" i="8"/>
  <c r="I271" i="8" s="1"/>
  <c r="J271" i="8"/>
  <c r="K271" i="8" s="1"/>
  <c r="B271" i="8"/>
  <c r="A271" i="8"/>
  <c r="B270" i="8"/>
  <c r="A270" i="8"/>
  <c r="M269" i="8"/>
  <c r="I269" i="8" s="1"/>
  <c r="L269" i="8"/>
  <c r="H269" i="8" s="1"/>
  <c r="J269" i="8"/>
  <c r="G269" i="8"/>
  <c r="B269" i="8"/>
  <c r="A269" i="8"/>
  <c r="Q268" i="8"/>
  <c r="P268" i="8"/>
  <c r="B268" i="8"/>
  <c r="A268" i="8"/>
  <c r="Q267" i="8"/>
  <c r="P267" i="8"/>
  <c r="O267" i="8"/>
  <c r="N267" i="8"/>
  <c r="M267" i="8"/>
  <c r="I267" i="8" s="1"/>
  <c r="L267" i="8"/>
  <c r="H267" i="8" s="1"/>
  <c r="J267" i="8"/>
  <c r="K267" i="8" s="1"/>
  <c r="G267" i="8"/>
  <c r="F267" i="8"/>
  <c r="A267" i="8"/>
  <c r="Q266" i="8"/>
  <c r="P266" i="8"/>
  <c r="O266" i="8"/>
  <c r="N266" i="8"/>
  <c r="M266" i="8"/>
  <c r="I266" i="8" s="1"/>
  <c r="L266" i="8"/>
  <c r="H266" i="8" s="1"/>
  <c r="J266" i="8"/>
  <c r="K266" i="8" s="1"/>
  <c r="G266" i="8"/>
  <c r="F266" i="8"/>
  <c r="A266" i="8"/>
  <c r="Q265" i="8"/>
  <c r="P265" i="8"/>
  <c r="O265" i="8"/>
  <c r="N265" i="8"/>
  <c r="M265" i="8"/>
  <c r="I265" i="8" s="1"/>
  <c r="L265" i="8"/>
  <c r="H265" i="8" s="1"/>
  <c r="J265" i="8"/>
  <c r="K265" i="8" s="1"/>
  <c r="G265" i="8"/>
  <c r="F265" i="8"/>
  <c r="A265" i="8"/>
  <c r="Q264" i="8"/>
  <c r="P264" i="8"/>
  <c r="O264" i="8"/>
  <c r="N264" i="8"/>
  <c r="M264" i="8"/>
  <c r="I264" i="8" s="1"/>
  <c r="L264" i="8"/>
  <c r="H264" i="8" s="1"/>
  <c r="J264" i="8"/>
  <c r="K264" i="8" s="1"/>
  <c r="G264" i="8"/>
  <c r="F264" i="8"/>
  <c r="A264" i="8"/>
  <c r="Q263" i="8"/>
  <c r="P263" i="8"/>
  <c r="O263" i="8"/>
  <c r="N263" i="8"/>
  <c r="M263" i="8"/>
  <c r="I263" i="8" s="1"/>
  <c r="L263" i="8"/>
  <c r="H263" i="8" s="1"/>
  <c r="J263" i="8"/>
  <c r="K263" i="8" s="1"/>
  <c r="G263" i="8"/>
  <c r="F263" i="8"/>
  <c r="A263" i="8"/>
  <c r="Q262" i="8"/>
  <c r="P262" i="8"/>
  <c r="N262" i="8"/>
  <c r="M262" i="8"/>
  <c r="I262" i="8" s="1"/>
  <c r="L262" i="8"/>
  <c r="H262" i="8" s="1"/>
  <c r="G262" i="8"/>
  <c r="B262" i="8"/>
  <c r="A262" i="8"/>
  <c r="L261" i="8"/>
  <c r="H261" i="8" s="1"/>
  <c r="J261" i="8"/>
  <c r="K261" i="8" s="1"/>
  <c r="B261" i="8"/>
  <c r="G261" i="8" s="1"/>
  <c r="A261" i="8"/>
  <c r="Q260" i="8"/>
  <c r="P260" i="8"/>
  <c r="M260" i="8"/>
  <c r="I260" i="8" s="1"/>
  <c r="L260" i="8"/>
  <c r="J260" i="8"/>
  <c r="K260" i="8" s="1"/>
  <c r="G260" i="8"/>
  <c r="B260" i="8"/>
  <c r="A260" i="8"/>
  <c r="Q259" i="8"/>
  <c r="B259" i="8"/>
  <c r="A259" i="8"/>
  <c r="B258" i="8"/>
  <c r="A258" i="8"/>
  <c r="P257" i="8"/>
  <c r="G257" i="8"/>
  <c r="B257" i="8"/>
  <c r="A257" i="8"/>
  <c r="Q256" i="8"/>
  <c r="P256" i="8"/>
  <c r="N256" i="8"/>
  <c r="M256" i="8"/>
  <c r="I256" i="8" s="1"/>
  <c r="L256" i="8"/>
  <c r="J256" i="8"/>
  <c r="K256" i="8" s="1"/>
  <c r="B256" i="8"/>
  <c r="G256" i="8" s="1"/>
  <c r="A256" i="8"/>
  <c r="M255" i="8"/>
  <c r="I255" i="8" s="1"/>
  <c r="J255" i="8"/>
  <c r="B255" i="8"/>
  <c r="A255" i="8"/>
  <c r="B254" i="8"/>
  <c r="A254" i="8"/>
  <c r="P253" i="8"/>
  <c r="M253" i="8"/>
  <c r="I253" i="8" s="1"/>
  <c r="J253" i="8"/>
  <c r="G253" i="8"/>
  <c r="B253" i="8"/>
  <c r="A253" i="8"/>
  <c r="Q252" i="8"/>
  <c r="P252" i="8"/>
  <c r="N252" i="8"/>
  <c r="L252" i="8"/>
  <c r="H252" i="8" s="1"/>
  <c r="G252" i="8"/>
  <c r="B252" i="8"/>
  <c r="A252" i="8"/>
  <c r="J251" i="8"/>
  <c r="B251" i="8"/>
  <c r="A251" i="8"/>
  <c r="J250" i="8"/>
  <c r="B250" i="8"/>
  <c r="A250" i="8"/>
  <c r="M250" i="8" s="1"/>
  <c r="I250" i="8" s="1"/>
  <c r="A249" i="8"/>
  <c r="B248" i="8"/>
  <c r="A248" i="8"/>
  <c r="P247" i="8"/>
  <c r="M247" i="8"/>
  <c r="I247" i="8" s="1"/>
  <c r="L247" i="8"/>
  <c r="J247" i="8"/>
  <c r="K247" i="8" s="1"/>
  <c r="G247" i="8"/>
  <c r="B247" i="8"/>
  <c r="A247" i="8"/>
  <c r="Q246" i="8"/>
  <c r="P246" i="8"/>
  <c r="L246" i="8"/>
  <c r="H246" i="8" s="1"/>
  <c r="J246" i="8"/>
  <c r="K246" i="8" s="1"/>
  <c r="G246" i="8"/>
  <c r="B246" i="8"/>
  <c r="A246" i="8"/>
  <c r="B245" i="8"/>
  <c r="A245" i="8"/>
  <c r="Q244" i="8"/>
  <c r="P244" i="8"/>
  <c r="J244" i="8"/>
  <c r="K244" i="8" s="1"/>
  <c r="G244" i="8"/>
  <c r="B244" i="8"/>
  <c r="A244" i="8"/>
  <c r="Q243" i="8"/>
  <c r="P243" i="8"/>
  <c r="O243" i="8"/>
  <c r="N243" i="8"/>
  <c r="M243" i="8"/>
  <c r="I243" i="8" s="1"/>
  <c r="L243" i="8"/>
  <c r="H243" i="8" s="1"/>
  <c r="J243" i="8"/>
  <c r="K243" i="8" s="1"/>
  <c r="G243" i="8"/>
  <c r="F243" i="8"/>
  <c r="A243" i="8"/>
  <c r="Q242" i="8"/>
  <c r="P242" i="8"/>
  <c r="O242" i="8"/>
  <c r="N242" i="8"/>
  <c r="M242" i="8"/>
  <c r="I242" i="8" s="1"/>
  <c r="L242" i="8"/>
  <c r="H242" i="8" s="1"/>
  <c r="J242" i="8"/>
  <c r="K242" i="8" s="1"/>
  <c r="G242" i="8"/>
  <c r="F242" i="8"/>
  <c r="A242" i="8"/>
  <c r="Q241" i="8"/>
  <c r="P241" i="8"/>
  <c r="O241" i="8"/>
  <c r="N241" i="8"/>
  <c r="M241" i="8"/>
  <c r="I241" i="8" s="1"/>
  <c r="L241" i="8"/>
  <c r="H241" i="8" s="1"/>
  <c r="J241" i="8"/>
  <c r="K241" i="8" s="1"/>
  <c r="G241" i="8"/>
  <c r="F241" i="8"/>
  <c r="A241" i="8"/>
  <c r="Q240" i="8"/>
  <c r="P240" i="8"/>
  <c r="O240" i="8"/>
  <c r="N240" i="8"/>
  <c r="M240" i="8"/>
  <c r="I240" i="8" s="1"/>
  <c r="L240" i="8"/>
  <c r="H240" i="8" s="1"/>
  <c r="J240" i="8"/>
  <c r="K240" i="8" s="1"/>
  <c r="G240" i="8"/>
  <c r="F240" i="8"/>
  <c r="A240" i="8"/>
  <c r="Q239" i="8"/>
  <c r="P239" i="8"/>
  <c r="O239" i="8"/>
  <c r="N239" i="8"/>
  <c r="M239" i="8"/>
  <c r="I239" i="8" s="1"/>
  <c r="L239" i="8"/>
  <c r="H239" i="8" s="1"/>
  <c r="J239" i="8"/>
  <c r="K239" i="8" s="1"/>
  <c r="G239" i="8"/>
  <c r="F239" i="8"/>
  <c r="A239" i="8"/>
  <c r="Q238" i="8"/>
  <c r="P238" i="8"/>
  <c r="M238" i="8"/>
  <c r="I238" i="8" s="1"/>
  <c r="L238" i="8"/>
  <c r="B238" i="8"/>
  <c r="A238" i="8"/>
  <c r="Q237" i="8"/>
  <c r="P237" i="8"/>
  <c r="N237" i="8"/>
  <c r="M237" i="8"/>
  <c r="I237" i="8" s="1"/>
  <c r="L237" i="8"/>
  <c r="H237" i="8" s="1"/>
  <c r="J237" i="8"/>
  <c r="K237" i="8" s="1"/>
  <c r="G237" i="8"/>
  <c r="B237" i="8"/>
  <c r="A237" i="8"/>
  <c r="Q236" i="8"/>
  <c r="P236" i="8"/>
  <c r="J236" i="8"/>
  <c r="K236" i="8" s="1"/>
  <c r="G236" i="8"/>
  <c r="B236" i="8"/>
  <c r="A236" i="8"/>
  <c r="Q235" i="8"/>
  <c r="P235" i="8"/>
  <c r="M235" i="8"/>
  <c r="I235" i="8" s="1"/>
  <c r="J235" i="8"/>
  <c r="K235" i="8" s="1"/>
  <c r="B235" i="8"/>
  <c r="A235" i="8"/>
  <c r="B234" i="8"/>
  <c r="A234" i="8"/>
  <c r="Q233" i="8"/>
  <c r="P233" i="8"/>
  <c r="M233" i="8"/>
  <c r="I233" i="8" s="1"/>
  <c r="L233" i="8"/>
  <c r="J233" i="8"/>
  <c r="K233" i="8" s="1"/>
  <c r="G233" i="8"/>
  <c r="B233" i="8"/>
  <c r="A233" i="8"/>
  <c r="N233" i="8" s="1"/>
  <c r="N232" i="8"/>
  <c r="L232" i="8"/>
  <c r="H232" i="8" s="1"/>
  <c r="J232" i="8"/>
  <c r="K232" i="8" s="1"/>
  <c r="B232" i="8"/>
  <c r="A232" i="8"/>
  <c r="B231" i="8"/>
  <c r="N231" i="8" s="1"/>
  <c r="A231" i="8"/>
  <c r="B230" i="8"/>
  <c r="A230" i="8"/>
  <c r="Q229" i="8"/>
  <c r="P229" i="8"/>
  <c r="N229" i="8"/>
  <c r="B229" i="8"/>
  <c r="A229" i="8"/>
  <c r="M229" i="8" s="1"/>
  <c r="I229" i="8" s="1"/>
  <c r="J228" i="8"/>
  <c r="G228" i="8"/>
  <c r="B228" i="8"/>
  <c r="A228" i="8"/>
  <c r="N228" i="8" s="1"/>
  <c r="P227" i="8"/>
  <c r="G227" i="8"/>
  <c r="B227" i="8"/>
  <c r="A227" i="8"/>
  <c r="N226" i="8"/>
  <c r="M226" i="8"/>
  <c r="I226" i="8" s="1"/>
  <c r="L226" i="8"/>
  <c r="H226" i="8" s="1"/>
  <c r="B226" i="8"/>
  <c r="A226" i="8"/>
  <c r="M225" i="8"/>
  <c r="I225" i="8" s="1"/>
  <c r="J225" i="8"/>
  <c r="B225" i="8"/>
  <c r="A225" i="8"/>
  <c r="A224" i="8"/>
  <c r="N223" i="8"/>
  <c r="M223" i="8"/>
  <c r="I223" i="8" s="1"/>
  <c r="L223" i="8"/>
  <c r="H223" i="8" s="1"/>
  <c r="B223" i="8"/>
  <c r="A223" i="8"/>
  <c r="M222" i="8"/>
  <c r="I222" i="8" s="1"/>
  <c r="J222" i="8"/>
  <c r="G222" i="8"/>
  <c r="B222" i="8"/>
  <c r="A222" i="8"/>
  <c r="Q221" i="8"/>
  <c r="N221" i="8"/>
  <c r="M221" i="8"/>
  <c r="I221" i="8" s="1"/>
  <c r="J221" i="8"/>
  <c r="K221" i="8" s="1"/>
  <c r="B221" i="8"/>
  <c r="P221" i="8" s="1"/>
  <c r="A221" i="8"/>
  <c r="G220" i="8"/>
  <c r="B220" i="8"/>
  <c r="A220" i="8"/>
  <c r="Q219" i="8"/>
  <c r="P219" i="8"/>
  <c r="O219" i="8"/>
  <c r="N219" i="8"/>
  <c r="M219" i="8"/>
  <c r="I219" i="8" s="1"/>
  <c r="L219" i="8"/>
  <c r="H219" i="8" s="1"/>
  <c r="J219" i="8"/>
  <c r="K219" i="8" s="1"/>
  <c r="G219" i="8"/>
  <c r="F219" i="8"/>
  <c r="A219" i="8"/>
  <c r="Q218" i="8"/>
  <c r="P218" i="8"/>
  <c r="O218" i="8"/>
  <c r="N218" i="8"/>
  <c r="M218" i="8"/>
  <c r="I218" i="8" s="1"/>
  <c r="L218" i="8"/>
  <c r="H218" i="8" s="1"/>
  <c r="J218" i="8"/>
  <c r="K218" i="8" s="1"/>
  <c r="G218" i="8"/>
  <c r="F218" i="8"/>
  <c r="A218" i="8"/>
  <c r="Q217" i="8"/>
  <c r="P217" i="8"/>
  <c r="O217" i="8"/>
  <c r="N217" i="8"/>
  <c r="M217" i="8"/>
  <c r="I217" i="8" s="1"/>
  <c r="L217" i="8"/>
  <c r="H217" i="8" s="1"/>
  <c r="J217" i="8"/>
  <c r="K217" i="8" s="1"/>
  <c r="G217" i="8"/>
  <c r="F217" i="8"/>
  <c r="A217" i="8"/>
  <c r="Q216" i="8"/>
  <c r="P216" i="8"/>
  <c r="O216" i="8"/>
  <c r="N216" i="8"/>
  <c r="M216" i="8"/>
  <c r="I216" i="8" s="1"/>
  <c r="L216" i="8"/>
  <c r="H216" i="8" s="1"/>
  <c r="J216" i="8"/>
  <c r="K216" i="8" s="1"/>
  <c r="G216" i="8"/>
  <c r="F216" i="8"/>
  <c r="A216" i="8"/>
  <c r="Q215" i="8"/>
  <c r="P215" i="8"/>
  <c r="O215" i="8"/>
  <c r="N215" i="8"/>
  <c r="M215" i="8"/>
  <c r="I215" i="8" s="1"/>
  <c r="L215" i="8"/>
  <c r="H215" i="8" s="1"/>
  <c r="J215" i="8"/>
  <c r="K215" i="8" s="1"/>
  <c r="G215" i="8"/>
  <c r="F215" i="8"/>
  <c r="A215" i="8"/>
  <c r="G214" i="8"/>
  <c r="B214" i="8"/>
  <c r="A214" i="8"/>
  <c r="Q213" i="8"/>
  <c r="P213" i="8"/>
  <c r="N213" i="8"/>
  <c r="M213" i="8"/>
  <c r="I213" i="8" s="1"/>
  <c r="L213" i="8"/>
  <c r="H213" i="8" s="1"/>
  <c r="G213" i="8"/>
  <c r="B213" i="8"/>
  <c r="J213" i="8" s="1"/>
  <c r="K213" i="8" s="1"/>
  <c r="A213" i="8"/>
  <c r="N212" i="8"/>
  <c r="B212" i="8"/>
  <c r="A212" i="8"/>
  <c r="Q211" i="8"/>
  <c r="P211" i="8"/>
  <c r="M211" i="8"/>
  <c r="I211" i="8" s="1"/>
  <c r="L211" i="8"/>
  <c r="J211" i="8"/>
  <c r="K211" i="8" s="1"/>
  <c r="G211" i="8"/>
  <c r="B211" i="8"/>
  <c r="N211" i="8" s="1"/>
  <c r="A211" i="8"/>
  <c r="P210" i="8"/>
  <c r="N210" i="8"/>
  <c r="M210" i="8"/>
  <c r="L210" i="8"/>
  <c r="H210" i="8" s="1"/>
  <c r="J210" i="8"/>
  <c r="K210" i="8" s="1"/>
  <c r="G210" i="8"/>
  <c r="B210" i="8"/>
  <c r="Q210" i="8" s="1"/>
  <c r="A210" i="8"/>
  <c r="Q209" i="8"/>
  <c r="P209" i="8"/>
  <c r="J209" i="8"/>
  <c r="K209" i="8" s="1"/>
  <c r="G209" i="8"/>
  <c r="B209" i="8"/>
  <c r="A209" i="8"/>
  <c r="M208" i="8"/>
  <c r="I208" i="8" s="1"/>
  <c r="B208" i="8"/>
  <c r="A208" i="8"/>
  <c r="Q207" i="8"/>
  <c r="P207" i="8"/>
  <c r="N207" i="8"/>
  <c r="L207" i="8"/>
  <c r="H207" i="8" s="1"/>
  <c r="J207" i="8"/>
  <c r="K207" i="8" s="1"/>
  <c r="B207" i="8"/>
  <c r="A207" i="8"/>
  <c r="M207" i="8" s="1"/>
  <c r="I207" i="8" s="1"/>
  <c r="Q206" i="8"/>
  <c r="P206" i="8"/>
  <c r="N206" i="8"/>
  <c r="M206" i="8"/>
  <c r="J206" i="8"/>
  <c r="K206" i="8" s="1"/>
  <c r="G206" i="8"/>
  <c r="B206" i="8"/>
  <c r="L206" i="8" s="1"/>
  <c r="A206" i="8"/>
  <c r="N205" i="8"/>
  <c r="J205" i="8"/>
  <c r="B205" i="8"/>
  <c r="A205" i="8"/>
  <c r="Q204" i="8"/>
  <c r="J204" i="8"/>
  <c r="K204" i="8" s="1"/>
  <c r="B204" i="8"/>
  <c r="A204" i="8"/>
  <c r="Q203" i="8"/>
  <c r="P203" i="8"/>
  <c r="L203" i="8"/>
  <c r="H203" i="8" s="1"/>
  <c r="J203" i="8"/>
  <c r="K203" i="8" s="1"/>
  <c r="B203" i="8"/>
  <c r="A203" i="8"/>
  <c r="Q202" i="8"/>
  <c r="P202" i="8"/>
  <c r="N202" i="8"/>
  <c r="M202" i="8"/>
  <c r="I202" i="8" s="1"/>
  <c r="G202" i="8"/>
  <c r="B202" i="8"/>
  <c r="A202" i="8"/>
  <c r="Q201" i="8"/>
  <c r="P201" i="8"/>
  <c r="M201" i="8"/>
  <c r="I201" i="8" s="1"/>
  <c r="L201" i="8"/>
  <c r="H201" i="8" s="1"/>
  <c r="G201" i="8"/>
  <c r="B201" i="8"/>
  <c r="A201" i="8"/>
  <c r="N201" i="8" s="1"/>
  <c r="Q200" i="8"/>
  <c r="P200" i="8"/>
  <c r="L200" i="8"/>
  <c r="H200" i="8" s="1"/>
  <c r="B200" i="8"/>
  <c r="A200" i="8"/>
  <c r="P199" i="8"/>
  <c r="G199" i="8"/>
  <c r="B199" i="8"/>
  <c r="A199" i="8"/>
  <c r="Q198" i="8"/>
  <c r="N198" i="8"/>
  <c r="M198" i="8"/>
  <c r="I198" i="8" s="1"/>
  <c r="L198" i="8"/>
  <c r="H198" i="8" s="1"/>
  <c r="J198" i="8"/>
  <c r="K198" i="8" s="1"/>
  <c r="G198" i="8"/>
  <c r="B198" i="8"/>
  <c r="P198" i="8" s="1"/>
  <c r="A198" i="8"/>
  <c r="Q197" i="8"/>
  <c r="P197" i="8"/>
  <c r="J197" i="8"/>
  <c r="K197" i="8" s="1"/>
  <c r="B197" i="8"/>
  <c r="A197" i="8"/>
  <c r="N197" i="8" s="1"/>
  <c r="B196" i="8"/>
  <c r="A196" i="8"/>
  <c r="Q195" i="8"/>
  <c r="P195" i="8"/>
  <c r="O195" i="8"/>
  <c r="N195" i="8"/>
  <c r="M195" i="8"/>
  <c r="I195" i="8" s="1"/>
  <c r="L195" i="8"/>
  <c r="H195" i="8" s="1"/>
  <c r="J195" i="8"/>
  <c r="K195" i="8" s="1"/>
  <c r="G195" i="8"/>
  <c r="F195" i="8"/>
  <c r="A195" i="8"/>
  <c r="Q194" i="8"/>
  <c r="P194" i="8"/>
  <c r="O194" i="8"/>
  <c r="N194" i="8"/>
  <c r="M194" i="8"/>
  <c r="I194" i="8" s="1"/>
  <c r="L194" i="8"/>
  <c r="H194" i="8" s="1"/>
  <c r="J194" i="8"/>
  <c r="K194" i="8" s="1"/>
  <c r="G194" i="8"/>
  <c r="F194" i="8"/>
  <c r="A194" i="8"/>
  <c r="Q193" i="8"/>
  <c r="P193" i="8"/>
  <c r="O193" i="8"/>
  <c r="N193" i="8"/>
  <c r="M193" i="8"/>
  <c r="I193" i="8" s="1"/>
  <c r="L193" i="8"/>
  <c r="H193" i="8" s="1"/>
  <c r="J193" i="8"/>
  <c r="K193" i="8" s="1"/>
  <c r="G193" i="8"/>
  <c r="F193" i="8"/>
  <c r="A193" i="8"/>
  <c r="Q192" i="8"/>
  <c r="P192" i="8"/>
  <c r="O192" i="8"/>
  <c r="N192" i="8"/>
  <c r="M192" i="8"/>
  <c r="I192" i="8" s="1"/>
  <c r="L192" i="8"/>
  <c r="H192" i="8" s="1"/>
  <c r="J192" i="8"/>
  <c r="K192" i="8" s="1"/>
  <c r="G192" i="8"/>
  <c r="F192" i="8"/>
  <c r="A192" i="8"/>
  <c r="Q191" i="8"/>
  <c r="P191" i="8"/>
  <c r="O191" i="8"/>
  <c r="N191" i="8"/>
  <c r="M191" i="8"/>
  <c r="I191" i="8" s="1"/>
  <c r="L191" i="8"/>
  <c r="H191" i="8" s="1"/>
  <c r="J191" i="8"/>
  <c r="K191" i="8" s="1"/>
  <c r="G191" i="8"/>
  <c r="F191" i="8"/>
  <c r="A191" i="8"/>
  <c r="P190" i="8"/>
  <c r="M190" i="8"/>
  <c r="I190" i="8" s="1"/>
  <c r="B190" i="8"/>
  <c r="L190" i="8" s="1"/>
  <c r="H190" i="8" s="1"/>
  <c r="A190" i="8"/>
  <c r="N190" i="8" s="1"/>
  <c r="Q189" i="8"/>
  <c r="P189" i="8"/>
  <c r="M189" i="8"/>
  <c r="I189" i="8" s="1"/>
  <c r="L189" i="8"/>
  <c r="H189" i="8" s="1"/>
  <c r="J189" i="8"/>
  <c r="K189" i="8" s="1"/>
  <c r="G189" i="8"/>
  <c r="B189" i="8"/>
  <c r="A189" i="8"/>
  <c r="Q188" i="8"/>
  <c r="P188" i="8"/>
  <c r="M188" i="8"/>
  <c r="I188" i="8" s="1"/>
  <c r="L188" i="8"/>
  <c r="H188" i="8" s="1"/>
  <c r="J188" i="8"/>
  <c r="K188" i="8" s="1"/>
  <c r="B188" i="8"/>
  <c r="A188" i="8"/>
  <c r="Q187" i="8"/>
  <c r="P187" i="8"/>
  <c r="N187" i="8"/>
  <c r="J187" i="8"/>
  <c r="K187" i="8" s="1"/>
  <c r="G187" i="8"/>
  <c r="B187" i="8"/>
  <c r="A187" i="8"/>
  <c r="P186" i="8"/>
  <c r="J186" i="8"/>
  <c r="K186" i="8" s="1"/>
  <c r="B186" i="8"/>
  <c r="A186" i="8"/>
  <c r="L186" i="8" s="1"/>
  <c r="H186" i="8" s="1"/>
  <c r="Q185" i="8"/>
  <c r="P185" i="8"/>
  <c r="J185" i="8"/>
  <c r="K185" i="8" s="1"/>
  <c r="G185" i="8"/>
  <c r="B185" i="8"/>
  <c r="A185" i="8"/>
  <c r="G184" i="8"/>
  <c r="B184" i="8"/>
  <c r="A184" i="8"/>
  <c r="L184" i="8" s="1"/>
  <c r="H184" i="8" s="1"/>
  <c r="P183" i="8"/>
  <c r="M183" i="8"/>
  <c r="I183" i="8" s="1"/>
  <c r="L183" i="8"/>
  <c r="H183" i="8" s="1"/>
  <c r="J183" i="8"/>
  <c r="K183" i="8" s="1"/>
  <c r="B183" i="8"/>
  <c r="A183" i="8"/>
  <c r="P182" i="8"/>
  <c r="N182" i="8"/>
  <c r="L182" i="8"/>
  <c r="H182" i="8" s="1"/>
  <c r="B182" i="8"/>
  <c r="A182" i="8"/>
  <c r="B181" i="8"/>
  <c r="A181" i="8"/>
  <c r="B180" i="8"/>
  <c r="A180" i="8"/>
  <c r="N179" i="8"/>
  <c r="M179" i="8"/>
  <c r="I179" i="8" s="1"/>
  <c r="J179" i="8"/>
  <c r="B179" i="8"/>
  <c r="A179" i="8"/>
  <c r="Q178" i="8"/>
  <c r="P178" i="8"/>
  <c r="N178" i="8"/>
  <c r="M178" i="8"/>
  <c r="I178" i="8" s="1"/>
  <c r="L178" i="8"/>
  <c r="H178" i="8" s="1"/>
  <c r="J178" i="8"/>
  <c r="K178" i="8" s="1"/>
  <c r="G178" i="8"/>
  <c r="B178" i="8"/>
  <c r="A178" i="8"/>
  <c r="A177" i="8"/>
  <c r="B176" i="8"/>
  <c r="A176" i="8"/>
  <c r="J175" i="8"/>
  <c r="G175" i="8"/>
  <c r="B175" i="8"/>
  <c r="A175" i="8"/>
  <c r="Q174" i="8"/>
  <c r="P174" i="8"/>
  <c r="N174" i="8"/>
  <c r="M174" i="8"/>
  <c r="I174" i="8" s="1"/>
  <c r="L174" i="8"/>
  <c r="J174" i="8"/>
  <c r="G174" i="8"/>
  <c r="B174" i="8"/>
  <c r="A174" i="8"/>
  <c r="Q173" i="8"/>
  <c r="J173" i="8"/>
  <c r="K173" i="8" s="1"/>
  <c r="G173" i="8"/>
  <c r="B173" i="8"/>
  <c r="A173" i="8"/>
  <c r="Q172" i="8"/>
  <c r="P172" i="8"/>
  <c r="N172" i="8"/>
  <c r="M172" i="8"/>
  <c r="I172" i="8" s="1"/>
  <c r="B172" i="8"/>
  <c r="A172" i="8"/>
  <c r="Q171" i="8"/>
  <c r="P171" i="8"/>
  <c r="O171" i="8"/>
  <c r="N171" i="8"/>
  <c r="M171" i="8"/>
  <c r="I171" i="8" s="1"/>
  <c r="L171" i="8"/>
  <c r="H171" i="8" s="1"/>
  <c r="J171" i="8"/>
  <c r="K171" i="8" s="1"/>
  <c r="G171" i="8"/>
  <c r="F171" i="8"/>
  <c r="A171" i="8"/>
  <c r="Q170" i="8"/>
  <c r="P170" i="8"/>
  <c r="O170" i="8"/>
  <c r="N170" i="8"/>
  <c r="M170" i="8"/>
  <c r="I170" i="8" s="1"/>
  <c r="L170" i="8"/>
  <c r="H170" i="8" s="1"/>
  <c r="J170" i="8"/>
  <c r="K170" i="8" s="1"/>
  <c r="G170" i="8"/>
  <c r="F170" i="8"/>
  <c r="A170" i="8"/>
  <c r="Q169" i="8"/>
  <c r="P169" i="8"/>
  <c r="O169" i="8"/>
  <c r="N169" i="8"/>
  <c r="M169" i="8"/>
  <c r="I169" i="8" s="1"/>
  <c r="L169" i="8"/>
  <c r="H169" i="8" s="1"/>
  <c r="J169" i="8"/>
  <c r="K169" i="8" s="1"/>
  <c r="G169" i="8"/>
  <c r="F169" i="8"/>
  <c r="A169" i="8"/>
  <c r="Q168" i="8"/>
  <c r="P168" i="8"/>
  <c r="O168" i="8"/>
  <c r="N168" i="8"/>
  <c r="M168" i="8"/>
  <c r="I168" i="8" s="1"/>
  <c r="L168" i="8"/>
  <c r="H168" i="8" s="1"/>
  <c r="J168" i="8"/>
  <c r="K168" i="8" s="1"/>
  <c r="G168" i="8"/>
  <c r="F168" i="8"/>
  <c r="A168" i="8"/>
  <c r="Q167" i="8"/>
  <c r="P167" i="8"/>
  <c r="O167" i="8"/>
  <c r="N167" i="8"/>
  <c r="M167" i="8"/>
  <c r="I167" i="8" s="1"/>
  <c r="L167" i="8"/>
  <c r="H167" i="8" s="1"/>
  <c r="J167" i="8"/>
  <c r="K167" i="8" s="1"/>
  <c r="G167" i="8"/>
  <c r="F167" i="8"/>
  <c r="A167" i="8"/>
  <c r="L166" i="8"/>
  <c r="H166" i="8" s="1"/>
  <c r="B166" i="8"/>
  <c r="A166" i="8"/>
  <c r="Q165" i="8"/>
  <c r="P165" i="8"/>
  <c r="L165" i="8"/>
  <c r="B165" i="8"/>
  <c r="A165" i="8"/>
  <c r="B164" i="8"/>
  <c r="A164" i="8"/>
  <c r="Q163" i="8"/>
  <c r="P163" i="8"/>
  <c r="N163" i="8"/>
  <c r="M163" i="8"/>
  <c r="I163" i="8" s="1"/>
  <c r="L163" i="8"/>
  <c r="H163" i="8" s="1"/>
  <c r="J163" i="8"/>
  <c r="K163" i="8" s="1"/>
  <c r="B163" i="8"/>
  <c r="G163" i="8" s="1"/>
  <c r="A163" i="8"/>
  <c r="G162" i="8"/>
  <c r="B162" i="8"/>
  <c r="A162" i="8"/>
  <c r="B161" i="8"/>
  <c r="P161" i="8" s="1"/>
  <c r="A161" i="8"/>
  <c r="Q160" i="8"/>
  <c r="P160" i="8"/>
  <c r="N160" i="8"/>
  <c r="M160" i="8"/>
  <c r="I160" i="8" s="1"/>
  <c r="B160" i="8"/>
  <c r="L160" i="8" s="1"/>
  <c r="H160" i="8" s="1"/>
  <c r="A160" i="8"/>
  <c r="M159" i="8"/>
  <c r="I159" i="8" s="1"/>
  <c r="G159" i="8"/>
  <c r="B159" i="8"/>
  <c r="A159" i="8"/>
  <c r="Q158" i="8"/>
  <c r="P158" i="8"/>
  <c r="N158" i="8"/>
  <c r="M158" i="8"/>
  <c r="I158" i="8" s="1"/>
  <c r="L158" i="8"/>
  <c r="H158" i="8" s="1"/>
  <c r="B158" i="8"/>
  <c r="J158" i="8" s="1"/>
  <c r="K158" i="8" s="1"/>
  <c r="A158" i="8"/>
  <c r="B157" i="8"/>
  <c r="N157" i="8" s="1"/>
  <c r="A157" i="8"/>
  <c r="Q156" i="8"/>
  <c r="P156" i="8"/>
  <c r="L156" i="8"/>
  <c r="H156" i="8" s="1"/>
  <c r="J156" i="8"/>
  <c r="K156" i="8" s="1"/>
  <c r="G156" i="8"/>
  <c r="B156" i="8"/>
  <c r="A156" i="8"/>
  <c r="Q155" i="8"/>
  <c r="P155" i="8"/>
  <c r="M155" i="8"/>
  <c r="I155" i="8" s="1"/>
  <c r="L155" i="8"/>
  <c r="H155" i="8" s="1"/>
  <c r="J155" i="8"/>
  <c r="K155" i="8" s="1"/>
  <c r="G155" i="8"/>
  <c r="B155" i="8"/>
  <c r="A155" i="8"/>
  <c r="B154" i="8"/>
  <c r="A154" i="8"/>
  <c r="L154" i="8" s="1"/>
  <c r="H154" i="8" s="1"/>
  <c r="N153" i="8"/>
  <c r="M153" i="8"/>
  <c r="I153" i="8" s="1"/>
  <c r="L153" i="8"/>
  <c r="J153" i="8"/>
  <c r="K153" i="8" s="1"/>
  <c r="B153" i="8"/>
  <c r="A153" i="8"/>
  <c r="Q152" i="8"/>
  <c r="P152" i="8"/>
  <c r="M152" i="8"/>
  <c r="L152" i="8"/>
  <c r="H152" i="8" s="1"/>
  <c r="J152" i="8"/>
  <c r="G152" i="8"/>
  <c r="B152" i="8"/>
  <c r="A152" i="8"/>
  <c r="Q151" i="8"/>
  <c r="P151" i="8"/>
  <c r="N151" i="8"/>
  <c r="M151" i="8"/>
  <c r="I151" i="8" s="1"/>
  <c r="L151" i="8"/>
  <c r="J151" i="8"/>
  <c r="K151" i="8" s="1"/>
  <c r="G151" i="8"/>
  <c r="B151" i="8"/>
  <c r="A151" i="8"/>
  <c r="Q150" i="8"/>
  <c r="P150" i="8"/>
  <c r="B150" i="8"/>
  <c r="N150" i="8" s="1"/>
  <c r="A150" i="8"/>
  <c r="G149" i="8"/>
  <c r="B149" i="8"/>
  <c r="A149" i="8"/>
  <c r="Q148" i="8"/>
  <c r="N148" i="8"/>
  <c r="M148" i="8"/>
  <c r="I148" i="8" s="1"/>
  <c r="L148" i="8"/>
  <c r="H148" i="8" s="1"/>
  <c r="G148" i="8"/>
  <c r="B148" i="8"/>
  <c r="A148" i="8"/>
  <c r="Q147" i="8"/>
  <c r="P147" i="8"/>
  <c r="O147" i="8"/>
  <c r="N147" i="8"/>
  <c r="M147" i="8"/>
  <c r="I147" i="8" s="1"/>
  <c r="L147" i="8"/>
  <c r="H147" i="8" s="1"/>
  <c r="J147" i="8"/>
  <c r="K147" i="8" s="1"/>
  <c r="G147" i="8"/>
  <c r="F147" i="8"/>
  <c r="A147" i="8"/>
  <c r="Q146" i="8"/>
  <c r="P146" i="8"/>
  <c r="O146" i="8"/>
  <c r="N146" i="8"/>
  <c r="M146" i="8"/>
  <c r="I146" i="8" s="1"/>
  <c r="L146" i="8"/>
  <c r="H146" i="8" s="1"/>
  <c r="J146" i="8"/>
  <c r="K146" i="8" s="1"/>
  <c r="G146" i="8"/>
  <c r="F146" i="8"/>
  <c r="A146" i="8"/>
  <c r="Q145" i="8"/>
  <c r="P145" i="8"/>
  <c r="O145" i="8"/>
  <c r="N145" i="8"/>
  <c r="M145" i="8"/>
  <c r="I145" i="8" s="1"/>
  <c r="L145" i="8"/>
  <c r="H145" i="8" s="1"/>
  <c r="J145" i="8"/>
  <c r="K145" i="8" s="1"/>
  <c r="G145" i="8"/>
  <c r="F145" i="8"/>
  <c r="A145" i="8"/>
  <c r="Q144" i="8"/>
  <c r="P144" i="8"/>
  <c r="O144" i="8"/>
  <c r="N144" i="8"/>
  <c r="M144" i="8"/>
  <c r="I144" i="8" s="1"/>
  <c r="L144" i="8"/>
  <c r="H144" i="8" s="1"/>
  <c r="J144" i="8"/>
  <c r="K144" i="8" s="1"/>
  <c r="G144" i="8"/>
  <c r="F144" i="8"/>
  <c r="A144" i="8"/>
  <c r="Q143" i="8"/>
  <c r="P143" i="8"/>
  <c r="O143" i="8"/>
  <c r="N143" i="8"/>
  <c r="M143" i="8"/>
  <c r="I143" i="8" s="1"/>
  <c r="L143" i="8"/>
  <c r="H143" i="8" s="1"/>
  <c r="J143" i="8"/>
  <c r="K143" i="8" s="1"/>
  <c r="G143" i="8"/>
  <c r="F143" i="8"/>
  <c r="A143" i="8"/>
  <c r="Q142" i="8"/>
  <c r="P142" i="8"/>
  <c r="N142" i="8"/>
  <c r="L142" i="8"/>
  <c r="H142" i="8" s="1"/>
  <c r="J142" i="8"/>
  <c r="K142" i="8" s="1"/>
  <c r="G142" i="8"/>
  <c r="B142" i="8"/>
  <c r="A142" i="8"/>
  <c r="B141" i="8"/>
  <c r="A141" i="8"/>
  <c r="P140" i="8"/>
  <c r="N140" i="8"/>
  <c r="J140" i="8"/>
  <c r="K140" i="8" s="1"/>
  <c r="G140" i="8"/>
  <c r="B140" i="8"/>
  <c r="A140" i="8"/>
  <c r="B139" i="8"/>
  <c r="Q139" i="8" s="1"/>
  <c r="A139" i="8"/>
  <c r="J138" i="8"/>
  <c r="K138" i="8" s="1"/>
  <c r="B138" i="8"/>
  <c r="A138" i="8"/>
  <c r="Q137" i="8"/>
  <c r="P137" i="8"/>
  <c r="N137" i="8"/>
  <c r="M137" i="8"/>
  <c r="I137" i="8" s="1"/>
  <c r="B137" i="8"/>
  <c r="J137" i="8" s="1"/>
  <c r="A137" i="8"/>
  <c r="P136" i="8"/>
  <c r="G136" i="8"/>
  <c r="B136" i="8"/>
  <c r="A136" i="8"/>
  <c r="Q135" i="8"/>
  <c r="P135" i="8"/>
  <c r="L135" i="8"/>
  <c r="H135" i="8" s="1"/>
  <c r="B135" i="8"/>
  <c r="A135" i="8"/>
  <c r="G134" i="8"/>
  <c r="B134" i="8"/>
  <c r="A134" i="8"/>
  <c r="Q133" i="8"/>
  <c r="B133" i="8"/>
  <c r="A133" i="8"/>
  <c r="L133" i="8" s="1"/>
  <c r="H133" i="8" s="1"/>
  <c r="M132" i="8"/>
  <c r="I132" i="8" s="1"/>
  <c r="L132" i="8"/>
  <c r="H132" i="8" s="1"/>
  <c r="B132" i="8"/>
  <c r="A132" i="8"/>
  <c r="Q131" i="8"/>
  <c r="P131" i="8"/>
  <c r="N131" i="8"/>
  <c r="M131" i="8"/>
  <c r="I131" i="8" s="1"/>
  <c r="L131" i="8"/>
  <c r="H131" i="8" s="1"/>
  <c r="J131" i="8"/>
  <c r="K131" i="8" s="1"/>
  <c r="G131" i="8"/>
  <c r="B131" i="8"/>
  <c r="A131" i="8"/>
  <c r="Q130" i="8"/>
  <c r="P130" i="8"/>
  <c r="N130" i="8"/>
  <c r="L130" i="8"/>
  <c r="H130" i="8" s="1"/>
  <c r="J130" i="8"/>
  <c r="K130" i="8" s="1"/>
  <c r="G130" i="8"/>
  <c r="B130" i="8"/>
  <c r="A130" i="8"/>
  <c r="B129" i="8"/>
  <c r="A129" i="8"/>
  <c r="B128" i="8"/>
  <c r="A128" i="8"/>
  <c r="B127" i="8"/>
  <c r="A127" i="8"/>
  <c r="B126" i="8"/>
  <c r="A126" i="8"/>
  <c r="Q125" i="8"/>
  <c r="P125" i="8"/>
  <c r="N125" i="8"/>
  <c r="M125" i="8"/>
  <c r="I125" i="8" s="1"/>
  <c r="L125" i="8"/>
  <c r="H125" i="8" s="1"/>
  <c r="J125" i="8"/>
  <c r="K125" i="8" s="1"/>
  <c r="B125" i="8"/>
  <c r="A125" i="8"/>
  <c r="J124" i="8"/>
  <c r="G124" i="8"/>
  <c r="B124" i="8"/>
  <c r="A124" i="8"/>
  <c r="Q123" i="8"/>
  <c r="P123" i="8"/>
  <c r="O123" i="8"/>
  <c r="N123" i="8"/>
  <c r="M123" i="8"/>
  <c r="I123" i="8" s="1"/>
  <c r="L123" i="8"/>
  <c r="H123" i="8" s="1"/>
  <c r="J123" i="8"/>
  <c r="K123" i="8" s="1"/>
  <c r="G123" i="8"/>
  <c r="F123" i="8"/>
  <c r="A123" i="8"/>
  <c r="Q122" i="8"/>
  <c r="P122" i="8"/>
  <c r="O122" i="8"/>
  <c r="N122" i="8"/>
  <c r="M122" i="8"/>
  <c r="I122" i="8" s="1"/>
  <c r="L122" i="8"/>
  <c r="H122" i="8" s="1"/>
  <c r="J122" i="8"/>
  <c r="K122" i="8" s="1"/>
  <c r="G122" i="8"/>
  <c r="F122" i="8"/>
  <c r="A122" i="8"/>
  <c r="Q121" i="8"/>
  <c r="P121" i="8"/>
  <c r="O121" i="8"/>
  <c r="N121" i="8"/>
  <c r="M121" i="8"/>
  <c r="I121" i="8" s="1"/>
  <c r="L121" i="8"/>
  <c r="H121" i="8" s="1"/>
  <c r="J121" i="8"/>
  <c r="K121" i="8" s="1"/>
  <c r="G121" i="8"/>
  <c r="F121" i="8"/>
  <c r="A121" i="8"/>
  <c r="Q120" i="8"/>
  <c r="P120" i="8"/>
  <c r="O120" i="8"/>
  <c r="N120" i="8"/>
  <c r="M120" i="8"/>
  <c r="I120" i="8" s="1"/>
  <c r="L120" i="8"/>
  <c r="H120" i="8" s="1"/>
  <c r="J120" i="8"/>
  <c r="K120" i="8" s="1"/>
  <c r="G120" i="8"/>
  <c r="F120" i="8"/>
  <c r="A120" i="8"/>
  <c r="Q119" i="8"/>
  <c r="P119" i="8"/>
  <c r="O119" i="8"/>
  <c r="N119" i="8"/>
  <c r="M119" i="8"/>
  <c r="I119" i="8" s="1"/>
  <c r="L119" i="8"/>
  <c r="H119" i="8" s="1"/>
  <c r="J119" i="8"/>
  <c r="K119" i="8" s="1"/>
  <c r="G119" i="8"/>
  <c r="F119" i="8"/>
  <c r="A119" i="8"/>
  <c r="J118" i="8"/>
  <c r="K118" i="8" s="1"/>
  <c r="G118" i="8"/>
  <c r="B118" i="8"/>
  <c r="A118" i="8"/>
  <c r="Q117" i="8"/>
  <c r="P117" i="8"/>
  <c r="M117" i="8"/>
  <c r="I117" i="8" s="1"/>
  <c r="L117" i="8"/>
  <c r="J117" i="8"/>
  <c r="K117" i="8" s="1"/>
  <c r="G117" i="8"/>
  <c r="B117" i="8"/>
  <c r="A117" i="8"/>
  <c r="Q116" i="8"/>
  <c r="P116" i="8"/>
  <c r="N116" i="8"/>
  <c r="M116" i="8"/>
  <c r="J116" i="8"/>
  <c r="K116" i="8" s="1"/>
  <c r="G116" i="8"/>
  <c r="B116" i="8"/>
  <c r="L116" i="8" s="1"/>
  <c r="A116" i="8"/>
  <c r="P115" i="8"/>
  <c r="J115" i="8"/>
  <c r="B115" i="8"/>
  <c r="A115" i="8"/>
  <c r="Q114" i="8"/>
  <c r="N114" i="8"/>
  <c r="M114" i="8"/>
  <c r="I114" i="8" s="1"/>
  <c r="L114" i="8"/>
  <c r="H114" i="8" s="1"/>
  <c r="J114" i="8"/>
  <c r="K114" i="8" s="1"/>
  <c r="G114" i="8"/>
  <c r="B114" i="8"/>
  <c r="P114" i="8" s="1"/>
  <c r="A114" i="8"/>
  <c r="Q113" i="8"/>
  <c r="P113" i="8"/>
  <c r="L113" i="8"/>
  <c r="H113" i="8" s="1"/>
  <c r="J113" i="8"/>
  <c r="K113" i="8" s="1"/>
  <c r="G113" i="8"/>
  <c r="B113" i="8"/>
  <c r="A113" i="8"/>
  <c r="Q112" i="8"/>
  <c r="P112" i="8"/>
  <c r="N112" i="8"/>
  <c r="M112" i="8"/>
  <c r="I112" i="8" s="1"/>
  <c r="G112" i="8"/>
  <c r="B112" i="8"/>
  <c r="A112" i="8"/>
  <c r="G111" i="8"/>
  <c r="B111" i="8"/>
  <c r="A111" i="8"/>
  <c r="Q110" i="8"/>
  <c r="M110" i="8"/>
  <c r="I110" i="8" s="1"/>
  <c r="L110" i="8"/>
  <c r="H110" i="8" s="1"/>
  <c r="J110" i="8"/>
  <c r="K110" i="8" s="1"/>
  <c r="G110" i="8"/>
  <c r="B110" i="8"/>
  <c r="A110" i="8"/>
  <c r="B109" i="8"/>
  <c r="J109" i="8" s="1"/>
  <c r="A109" i="8"/>
  <c r="G108" i="8"/>
  <c r="B108" i="8"/>
  <c r="A108" i="8"/>
  <c r="P107" i="8"/>
  <c r="N107" i="8"/>
  <c r="L107" i="8"/>
  <c r="H107" i="8" s="1"/>
  <c r="B107" i="8"/>
  <c r="A107" i="8"/>
  <c r="B106" i="8"/>
  <c r="A106" i="8"/>
  <c r="Q105" i="8"/>
  <c r="P105" i="8"/>
  <c r="L105" i="8"/>
  <c r="H105" i="8" s="1"/>
  <c r="J105" i="8"/>
  <c r="K105" i="8" s="1"/>
  <c r="B105" i="8"/>
  <c r="A105" i="8"/>
  <c r="B104" i="8"/>
  <c r="A104" i="8"/>
  <c r="Q103" i="8"/>
  <c r="P103" i="8"/>
  <c r="N103" i="8"/>
  <c r="M103" i="8"/>
  <c r="L103" i="8"/>
  <c r="H103" i="8" s="1"/>
  <c r="J103" i="8"/>
  <c r="K103" i="8" s="1"/>
  <c r="B103" i="8"/>
  <c r="A103" i="8"/>
  <c r="G102" i="8"/>
  <c r="B102" i="8"/>
  <c r="A102" i="8"/>
  <c r="J101" i="8"/>
  <c r="B101" i="8"/>
  <c r="Q101" i="8" s="1"/>
  <c r="A101" i="8"/>
  <c r="B100" i="8"/>
  <c r="J100" i="8" s="1"/>
  <c r="A100" i="8"/>
  <c r="Q99" i="8"/>
  <c r="P99" i="8"/>
  <c r="O99" i="8"/>
  <c r="N99" i="8"/>
  <c r="M99" i="8"/>
  <c r="I99" i="8" s="1"/>
  <c r="L99" i="8"/>
  <c r="H99" i="8" s="1"/>
  <c r="J99" i="8"/>
  <c r="K99" i="8" s="1"/>
  <c r="G99" i="8"/>
  <c r="F99" i="8"/>
  <c r="A99" i="8"/>
  <c r="Q98" i="8"/>
  <c r="P98" i="8"/>
  <c r="O98" i="8"/>
  <c r="N98" i="8"/>
  <c r="M98" i="8"/>
  <c r="I98" i="8" s="1"/>
  <c r="L98" i="8"/>
  <c r="H98" i="8" s="1"/>
  <c r="J98" i="8"/>
  <c r="K98" i="8" s="1"/>
  <c r="G98" i="8"/>
  <c r="F98" i="8"/>
  <c r="A98" i="8"/>
  <c r="Q97" i="8"/>
  <c r="P97" i="8"/>
  <c r="O97" i="8"/>
  <c r="N97" i="8"/>
  <c r="M97" i="8"/>
  <c r="I97" i="8" s="1"/>
  <c r="L97" i="8"/>
  <c r="H97" i="8" s="1"/>
  <c r="J97" i="8"/>
  <c r="K97" i="8" s="1"/>
  <c r="G97" i="8"/>
  <c r="F97" i="8"/>
  <c r="A97" i="8"/>
  <c r="Q96" i="8"/>
  <c r="P96" i="8"/>
  <c r="O96" i="8"/>
  <c r="N96" i="8"/>
  <c r="M96" i="8"/>
  <c r="I96" i="8" s="1"/>
  <c r="L96" i="8"/>
  <c r="H96" i="8" s="1"/>
  <c r="J96" i="8"/>
  <c r="K96" i="8" s="1"/>
  <c r="G96" i="8"/>
  <c r="F96" i="8"/>
  <c r="A96" i="8"/>
  <c r="Q95" i="8"/>
  <c r="P95" i="8"/>
  <c r="O95" i="8"/>
  <c r="N95" i="8"/>
  <c r="M95" i="8"/>
  <c r="I95" i="8" s="1"/>
  <c r="L95" i="8"/>
  <c r="H95" i="8" s="1"/>
  <c r="J95" i="8"/>
  <c r="K95" i="8" s="1"/>
  <c r="G95" i="8"/>
  <c r="F95" i="8"/>
  <c r="A95" i="8"/>
  <c r="B94" i="8"/>
  <c r="A94" i="8"/>
  <c r="Q93" i="8"/>
  <c r="P93" i="8"/>
  <c r="J93" i="8"/>
  <c r="K93" i="8" s="1"/>
  <c r="G93" i="8"/>
  <c r="B93" i="8"/>
  <c r="A93" i="8"/>
  <c r="N93" i="8" s="1"/>
  <c r="Q92" i="8"/>
  <c r="N92" i="8"/>
  <c r="B92" i="8"/>
  <c r="A92" i="8"/>
  <c r="L92" i="8" s="1"/>
  <c r="H92" i="8" s="1"/>
  <c r="Q91" i="8"/>
  <c r="J91" i="8"/>
  <c r="K91" i="8" s="1"/>
  <c r="G91" i="8"/>
  <c r="B91" i="8"/>
  <c r="A91" i="8"/>
  <c r="Q90" i="8"/>
  <c r="P90" i="8"/>
  <c r="M90" i="8"/>
  <c r="I90" i="8" s="1"/>
  <c r="J90" i="8"/>
  <c r="K90" i="8" s="1"/>
  <c r="G90" i="8"/>
  <c r="B90" i="8"/>
  <c r="A90" i="8"/>
  <c r="N90" i="8" s="1"/>
  <c r="J89" i="8"/>
  <c r="G89" i="8"/>
  <c r="B89" i="8"/>
  <c r="A89" i="8"/>
  <c r="Q88" i="8"/>
  <c r="M88" i="8"/>
  <c r="I88" i="8" s="1"/>
  <c r="L88" i="8"/>
  <c r="H88" i="8" s="1"/>
  <c r="B88" i="8"/>
  <c r="A88" i="8"/>
  <c r="B87" i="8"/>
  <c r="A87" i="8"/>
  <c r="Q86" i="8"/>
  <c r="N86" i="8"/>
  <c r="M86" i="8"/>
  <c r="I86" i="8" s="1"/>
  <c r="L86" i="8"/>
  <c r="H86" i="8" s="1"/>
  <c r="B86" i="8"/>
  <c r="A86" i="8"/>
  <c r="N85" i="8"/>
  <c r="J85" i="8"/>
  <c r="G85" i="8"/>
  <c r="B85" i="8"/>
  <c r="A85" i="8"/>
  <c r="Q84" i="8"/>
  <c r="N84" i="8"/>
  <c r="L84" i="8"/>
  <c r="H84" i="8" s="1"/>
  <c r="J84" i="8"/>
  <c r="K84" i="8" s="1"/>
  <c r="B84" i="8"/>
  <c r="A84" i="8"/>
  <c r="A83" i="8"/>
  <c r="Q82" i="8"/>
  <c r="M82" i="8"/>
  <c r="I82" i="8" s="1"/>
  <c r="L82" i="8"/>
  <c r="J82" i="8"/>
  <c r="K82" i="8" s="1"/>
  <c r="G82" i="8"/>
  <c r="B82" i="8"/>
  <c r="A82" i="8"/>
  <c r="Q81" i="8"/>
  <c r="P81" i="8"/>
  <c r="M81" i="8"/>
  <c r="I81" i="8" s="1"/>
  <c r="J81" i="8"/>
  <c r="K81" i="8" s="1"/>
  <c r="G81" i="8"/>
  <c r="B81" i="8"/>
  <c r="A81" i="8"/>
  <c r="Q80" i="8"/>
  <c r="N80" i="8"/>
  <c r="M80" i="8"/>
  <c r="I80" i="8" s="1"/>
  <c r="L80" i="8"/>
  <c r="H80" i="8" s="1"/>
  <c r="J80" i="8"/>
  <c r="K80" i="8" s="1"/>
  <c r="B80" i="8"/>
  <c r="P80" i="8" s="1"/>
  <c r="A80" i="8"/>
  <c r="L79" i="8"/>
  <c r="H79" i="8" s="1"/>
  <c r="G79" i="8"/>
  <c r="B79" i="8"/>
  <c r="A79" i="8"/>
  <c r="Q78" i="8"/>
  <c r="N78" i="8"/>
  <c r="M78" i="8"/>
  <c r="I78" i="8" s="1"/>
  <c r="L78" i="8"/>
  <c r="J78" i="8"/>
  <c r="K78" i="8" s="1"/>
  <c r="G78" i="8"/>
  <c r="B78" i="8"/>
  <c r="P78" i="8" s="1"/>
  <c r="A78" i="8"/>
  <c r="J77" i="8"/>
  <c r="G77" i="8"/>
  <c r="B77" i="8"/>
  <c r="A77" i="8"/>
  <c r="L77" i="8" s="1"/>
  <c r="H77" i="8" s="1"/>
  <c r="P76" i="8"/>
  <c r="N76" i="8"/>
  <c r="M76" i="8"/>
  <c r="I76" i="8" s="1"/>
  <c r="L76" i="8"/>
  <c r="J76" i="8"/>
  <c r="K76" i="8" s="1"/>
  <c r="B76" i="8"/>
  <c r="A76" i="8"/>
  <c r="Q75" i="8"/>
  <c r="P75" i="8"/>
  <c r="O75" i="8"/>
  <c r="N75" i="8"/>
  <c r="M75" i="8"/>
  <c r="I75" i="8" s="1"/>
  <c r="L75" i="8"/>
  <c r="H75" i="8" s="1"/>
  <c r="J75" i="8"/>
  <c r="K75" i="8" s="1"/>
  <c r="G75" i="8"/>
  <c r="F75" i="8"/>
  <c r="A75" i="8"/>
  <c r="Q74" i="8"/>
  <c r="P74" i="8"/>
  <c r="O74" i="8"/>
  <c r="N74" i="8"/>
  <c r="M74" i="8"/>
  <c r="I74" i="8" s="1"/>
  <c r="L74" i="8"/>
  <c r="H74" i="8" s="1"/>
  <c r="J74" i="8"/>
  <c r="K74" i="8" s="1"/>
  <c r="G74" i="8"/>
  <c r="F74" i="8"/>
  <c r="A74" i="8"/>
  <c r="Q73" i="8"/>
  <c r="P73" i="8"/>
  <c r="O73" i="8"/>
  <c r="N73" i="8"/>
  <c r="M73" i="8"/>
  <c r="I73" i="8" s="1"/>
  <c r="L73" i="8"/>
  <c r="H73" i="8" s="1"/>
  <c r="J73" i="8"/>
  <c r="K73" i="8" s="1"/>
  <c r="G73" i="8"/>
  <c r="F73" i="8"/>
  <c r="A73" i="8"/>
  <c r="Q72" i="8"/>
  <c r="P72" i="8"/>
  <c r="O72" i="8"/>
  <c r="N72" i="8"/>
  <c r="M72" i="8"/>
  <c r="I72" i="8" s="1"/>
  <c r="L72" i="8"/>
  <c r="H72" i="8" s="1"/>
  <c r="J72" i="8"/>
  <c r="K72" i="8" s="1"/>
  <c r="G72" i="8"/>
  <c r="F72" i="8"/>
  <c r="A72" i="8"/>
  <c r="Q71" i="8"/>
  <c r="P71" i="8"/>
  <c r="O71" i="8"/>
  <c r="N71" i="8"/>
  <c r="M71" i="8"/>
  <c r="I71" i="8" s="1"/>
  <c r="L71" i="8"/>
  <c r="H71" i="8" s="1"/>
  <c r="J71" i="8"/>
  <c r="K71" i="8" s="1"/>
  <c r="G71" i="8"/>
  <c r="F71" i="8"/>
  <c r="A71" i="8"/>
  <c r="Q70" i="8"/>
  <c r="P70" i="8"/>
  <c r="M70" i="8"/>
  <c r="I70" i="8" s="1"/>
  <c r="L70" i="8"/>
  <c r="H70" i="8" s="1"/>
  <c r="B70" i="8"/>
  <c r="G70" i="8" s="1"/>
  <c r="A70" i="8"/>
  <c r="B69" i="8"/>
  <c r="A69" i="8"/>
  <c r="Q68" i="8"/>
  <c r="P68" i="8"/>
  <c r="N68" i="8"/>
  <c r="M68" i="8"/>
  <c r="I68" i="8" s="1"/>
  <c r="L68" i="8"/>
  <c r="H68" i="8" s="1"/>
  <c r="B68" i="8"/>
  <c r="A68" i="8"/>
  <c r="B67" i="8"/>
  <c r="P67" i="8" s="1"/>
  <c r="A67" i="8"/>
  <c r="Q66" i="8"/>
  <c r="P66" i="8"/>
  <c r="N66" i="8"/>
  <c r="J66" i="8"/>
  <c r="K66" i="8" s="1"/>
  <c r="B66" i="8"/>
  <c r="A66" i="8"/>
  <c r="B65" i="8"/>
  <c r="A65" i="8"/>
  <c r="Q64" i="8"/>
  <c r="M64" i="8"/>
  <c r="I64" i="8" s="1"/>
  <c r="L64" i="8"/>
  <c r="H64" i="8" s="1"/>
  <c r="J64" i="8"/>
  <c r="K64" i="8" s="1"/>
  <c r="B64" i="8"/>
  <c r="A64" i="8"/>
  <c r="Q63" i="8"/>
  <c r="J63" i="8"/>
  <c r="K63" i="8" s="1"/>
  <c r="G63" i="8"/>
  <c r="B63" i="8"/>
  <c r="P63" i="8" s="1"/>
  <c r="A63" i="8"/>
  <c r="P62" i="8"/>
  <c r="N62" i="8"/>
  <c r="M62" i="8"/>
  <c r="I62" i="8" s="1"/>
  <c r="L62" i="8"/>
  <c r="H62" i="8" s="1"/>
  <c r="B62" i="8"/>
  <c r="A62" i="8"/>
  <c r="Q61" i="8"/>
  <c r="P61" i="8"/>
  <c r="J61" i="8"/>
  <c r="K61" i="8" s="1"/>
  <c r="G61" i="8"/>
  <c r="B61" i="8"/>
  <c r="A61" i="8"/>
  <c r="Q60" i="8"/>
  <c r="P60" i="8"/>
  <c r="N60" i="8"/>
  <c r="M60" i="8"/>
  <c r="I60" i="8" s="1"/>
  <c r="L60" i="8"/>
  <c r="H60" i="8" s="1"/>
  <c r="B60" i="8"/>
  <c r="J60" i="8" s="1"/>
  <c r="A60" i="8"/>
  <c r="B59" i="8"/>
  <c r="A59" i="8"/>
  <c r="Q58" i="8"/>
  <c r="P58" i="8"/>
  <c r="M58" i="8"/>
  <c r="I58" i="8" s="1"/>
  <c r="L58" i="8"/>
  <c r="H58" i="8" s="1"/>
  <c r="B58" i="8"/>
  <c r="N58" i="8" s="1"/>
  <c r="A58" i="8"/>
  <c r="Q57" i="8"/>
  <c r="L57" i="8"/>
  <c r="H57" i="8" s="1"/>
  <c r="J57" i="8"/>
  <c r="B57" i="8"/>
  <c r="A57" i="8"/>
  <c r="Q56" i="8"/>
  <c r="P56" i="8"/>
  <c r="N56" i="8"/>
  <c r="M56" i="8"/>
  <c r="I56" i="8" s="1"/>
  <c r="B56" i="8"/>
  <c r="A56" i="8"/>
  <c r="J55" i="8"/>
  <c r="K55" i="8" s="1"/>
  <c r="B55" i="8"/>
  <c r="A55" i="8"/>
  <c r="N55" i="8" s="1"/>
  <c r="Q54" i="8"/>
  <c r="P54" i="8"/>
  <c r="N54" i="8"/>
  <c r="B54" i="8"/>
  <c r="G54" i="8" s="1"/>
  <c r="A54" i="8"/>
  <c r="B53" i="8"/>
  <c r="A53" i="8"/>
  <c r="M53" i="8" s="1"/>
  <c r="I53" i="8" s="1"/>
  <c r="Q52" i="8"/>
  <c r="P52" i="8"/>
  <c r="N52" i="8"/>
  <c r="B52" i="8"/>
  <c r="J52" i="8" s="1"/>
  <c r="A52" i="8"/>
  <c r="Q51" i="8"/>
  <c r="P51" i="8"/>
  <c r="O51" i="8"/>
  <c r="N51" i="8"/>
  <c r="M51" i="8"/>
  <c r="I51" i="8" s="1"/>
  <c r="L51" i="8"/>
  <c r="H51" i="8" s="1"/>
  <c r="J51" i="8"/>
  <c r="K51" i="8" s="1"/>
  <c r="G51" i="8"/>
  <c r="F51" i="8"/>
  <c r="A51" i="8"/>
  <c r="Q50" i="8"/>
  <c r="P50" i="8"/>
  <c r="O50" i="8"/>
  <c r="N50" i="8"/>
  <c r="M50" i="8"/>
  <c r="I50" i="8" s="1"/>
  <c r="L50" i="8"/>
  <c r="H50" i="8" s="1"/>
  <c r="J50" i="8"/>
  <c r="K50" i="8" s="1"/>
  <c r="G50" i="8"/>
  <c r="F50" i="8"/>
  <c r="A50" i="8"/>
  <c r="Q49" i="8"/>
  <c r="P49" i="8"/>
  <c r="O49" i="8"/>
  <c r="N49" i="8"/>
  <c r="M49" i="8"/>
  <c r="I49" i="8" s="1"/>
  <c r="L49" i="8"/>
  <c r="H49" i="8" s="1"/>
  <c r="J49" i="8"/>
  <c r="K49" i="8" s="1"/>
  <c r="G49" i="8"/>
  <c r="F49" i="8"/>
  <c r="A49" i="8"/>
  <c r="Q48" i="8"/>
  <c r="P48" i="8"/>
  <c r="O48" i="8"/>
  <c r="N48" i="8"/>
  <c r="M48" i="8"/>
  <c r="I48" i="8" s="1"/>
  <c r="L48" i="8"/>
  <c r="H48" i="8" s="1"/>
  <c r="J48" i="8"/>
  <c r="K48" i="8" s="1"/>
  <c r="G48" i="8"/>
  <c r="F48" i="8"/>
  <c r="A48" i="8"/>
  <c r="Q47" i="8"/>
  <c r="P47" i="8"/>
  <c r="O47" i="8"/>
  <c r="N47" i="8"/>
  <c r="M47" i="8"/>
  <c r="I47" i="8" s="1"/>
  <c r="L47" i="8"/>
  <c r="H47" i="8" s="1"/>
  <c r="J47" i="8"/>
  <c r="K47" i="8" s="1"/>
  <c r="G47" i="8"/>
  <c r="F47" i="8"/>
  <c r="A47" i="8"/>
  <c r="B46" i="8"/>
  <c r="A46" i="8"/>
  <c r="B45" i="8"/>
  <c r="A45" i="8"/>
  <c r="B44" i="8"/>
  <c r="A44" i="8"/>
  <c r="M43" i="8"/>
  <c r="I43" i="8" s="1"/>
  <c r="J43" i="8"/>
  <c r="K43" i="8" s="1"/>
  <c r="G43" i="8"/>
  <c r="B43" i="8"/>
  <c r="A43" i="8"/>
  <c r="B42" i="8"/>
  <c r="A42" i="8"/>
  <c r="B41" i="8"/>
  <c r="A41" i="8"/>
  <c r="Q40" i="8"/>
  <c r="P40" i="8"/>
  <c r="M40" i="8"/>
  <c r="I40" i="8" s="1"/>
  <c r="B40" i="8"/>
  <c r="A40" i="8"/>
  <c r="L39" i="8"/>
  <c r="H39" i="8" s="1"/>
  <c r="J39" i="8"/>
  <c r="B39" i="8"/>
  <c r="G39" i="8" s="1"/>
  <c r="A39" i="8"/>
  <c r="Q38" i="8"/>
  <c r="N38" i="8"/>
  <c r="M38" i="8"/>
  <c r="I38" i="8" s="1"/>
  <c r="B38" i="8"/>
  <c r="A38" i="8"/>
  <c r="Q37" i="8"/>
  <c r="P37" i="8"/>
  <c r="N37" i="8"/>
  <c r="M37" i="8"/>
  <c r="I37" i="8" s="1"/>
  <c r="L37" i="8"/>
  <c r="H37" i="8" s="1"/>
  <c r="J37" i="8"/>
  <c r="K37" i="8" s="1"/>
  <c r="G37" i="8"/>
  <c r="B37" i="8"/>
  <c r="A37" i="8"/>
  <c r="Q36" i="8"/>
  <c r="P36" i="8"/>
  <c r="J36" i="8"/>
  <c r="K36" i="8" s="1"/>
  <c r="G36" i="8"/>
  <c r="B36" i="8"/>
  <c r="A36" i="8"/>
  <c r="Q35" i="8"/>
  <c r="P35" i="8"/>
  <c r="J35" i="8"/>
  <c r="K35" i="8" s="1"/>
  <c r="B35" i="8"/>
  <c r="G35" i="8" s="1"/>
  <c r="A35" i="8"/>
  <c r="M35" i="8" s="1"/>
  <c r="I35" i="8" s="1"/>
  <c r="B34" i="8"/>
  <c r="A34" i="8"/>
  <c r="Q33" i="8"/>
  <c r="P33" i="8"/>
  <c r="B33" i="8"/>
  <c r="N33" i="8" s="1"/>
  <c r="A33" i="8"/>
  <c r="B32" i="8"/>
  <c r="A32" i="8"/>
  <c r="P31" i="8"/>
  <c r="N31" i="8"/>
  <c r="B31" i="8"/>
  <c r="M31" i="8" s="1"/>
  <c r="I31" i="8" s="1"/>
  <c r="A31" i="8"/>
  <c r="B30" i="8"/>
  <c r="A30" i="8"/>
  <c r="Q29" i="8"/>
  <c r="P29" i="8"/>
  <c r="J29" i="8"/>
  <c r="K29" i="8" s="1"/>
  <c r="B29" i="8"/>
  <c r="G29" i="8" s="1"/>
  <c r="A29" i="8"/>
  <c r="J28" i="8"/>
  <c r="B28" i="8"/>
  <c r="A28" i="8"/>
  <c r="Q27" i="8"/>
  <c r="P27" i="8"/>
  <c r="O27" i="8"/>
  <c r="N27" i="8"/>
  <c r="M27" i="8"/>
  <c r="I27" i="8" s="1"/>
  <c r="L27" i="8"/>
  <c r="H27" i="8" s="1"/>
  <c r="J27" i="8"/>
  <c r="K27" i="8" s="1"/>
  <c r="G27" i="8"/>
  <c r="F27" i="8"/>
  <c r="A27" i="8"/>
  <c r="Q26" i="8"/>
  <c r="P26" i="8"/>
  <c r="N26" i="8"/>
  <c r="M26" i="8"/>
  <c r="I26" i="8" s="1"/>
  <c r="L26" i="8"/>
  <c r="H26" i="8" s="1"/>
  <c r="G26" i="8"/>
  <c r="A26" i="8"/>
  <c r="Q25" i="8"/>
  <c r="P25" i="8"/>
  <c r="G25" i="8"/>
  <c r="A25" i="8"/>
  <c r="Q24" i="8"/>
  <c r="P24" i="8"/>
  <c r="N24" i="8"/>
  <c r="M24" i="8"/>
  <c r="I24" i="8" s="1"/>
  <c r="L24" i="8"/>
  <c r="G24" i="8"/>
  <c r="A24" i="8"/>
  <c r="Q23" i="8"/>
  <c r="P23" i="8"/>
  <c r="N23" i="8"/>
  <c r="M23" i="8"/>
  <c r="I23" i="8" s="1"/>
  <c r="G23" i="8"/>
  <c r="A23" i="8"/>
  <c r="Q22" i="8"/>
  <c r="P22" i="8"/>
  <c r="N22" i="8"/>
  <c r="M22" i="8"/>
  <c r="I22" i="8" s="1"/>
  <c r="L22" i="8"/>
  <c r="J22" i="8"/>
  <c r="K22" i="8" s="1"/>
  <c r="G22" i="8"/>
  <c r="B22" i="8"/>
  <c r="A22" i="8"/>
  <c r="P21" i="8"/>
  <c r="L21" i="8"/>
  <c r="B21" i="8"/>
  <c r="Q21" i="8" s="1"/>
  <c r="A21" i="8"/>
  <c r="B20" i="8"/>
  <c r="A20" i="8"/>
  <c r="B19" i="8"/>
  <c r="L19" i="8" s="1"/>
  <c r="H19" i="8" s="1"/>
  <c r="A19" i="8"/>
  <c r="Q18" i="8"/>
  <c r="P18" i="8"/>
  <c r="J18" i="8"/>
  <c r="K18" i="8" s="1"/>
  <c r="G18" i="8"/>
  <c r="B18" i="8"/>
  <c r="A18" i="8"/>
  <c r="Q17" i="8"/>
  <c r="N17" i="8"/>
  <c r="M17" i="8"/>
  <c r="I17" i="8" s="1"/>
  <c r="L17" i="8"/>
  <c r="J17" i="8"/>
  <c r="K17" i="8" s="1"/>
  <c r="G17" i="8"/>
  <c r="B17" i="8"/>
  <c r="P17" i="8" s="1"/>
  <c r="A17" i="8"/>
  <c r="B16" i="8"/>
  <c r="J16" i="8" s="1"/>
  <c r="A16" i="8"/>
  <c r="P15" i="8"/>
  <c r="B15" i="8"/>
  <c r="G15" i="8" s="1"/>
  <c r="A15" i="8"/>
  <c r="B14" i="8"/>
  <c r="A14" i="8"/>
  <c r="Q13" i="8"/>
  <c r="P13" i="8"/>
  <c r="N13" i="8"/>
  <c r="M13" i="8"/>
  <c r="I13" i="8" s="1"/>
  <c r="L13" i="8"/>
  <c r="H13" i="8" s="1"/>
  <c r="G13" i="8"/>
  <c r="B13" i="8"/>
  <c r="A13" i="8"/>
  <c r="B12" i="8"/>
  <c r="A12" i="8"/>
  <c r="Q11" i="8"/>
  <c r="P11" i="8"/>
  <c r="M11" i="8"/>
  <c r="I11" i="8" s="1"/>
  <c r="L11" i="8"/>
  <c r="G11" i="8"/>
  <c r="B11" i="8"/>
  <c r="A11" i="8"/>
  <c r="L10" i="8"/>
  <c r="H10" i="8" s="1"/>
  <c r="G10" i="8"/>
  <c r="B10" i="8"/>
  <c r="A10" i="8"/>
  <c r="Q9" i="8"/>
  <c r="P9" i="8"/>
  <c r="N9" i="8"/>
  <c r="M9" i="8"/>
  <c r="I9" i="8" s="1"/>
  <c r="L9" i="8"/>
  <c r="H9" i="8" s="1"/>
  <c r="J9" i="8"/>
  <c r="K9" i="8" s="1"/>
  <c r="B9" i="8"/>
  <c r="G9" i="8" s="1"/>
  <c r="A9" i="8"/>
  <c r="B8" i="8"/>
  <c r="G8" i="8" s="1"/>
  <c r="A8" i="8"/>
  <c r="Q7" i="8"/>
  <c r="P7" i="8"/>
  <c r="N7" i="8"/>
  <c r="M7" i="8"/>
  <c r="I7" i="8" s="1"/>
  <c r="L7" i="8"/>
  <c r="H7" i="8" s="1"/>
  <c r="B7" i="8"/>
  <c r="A7" i="8"/>
  <c r="B6" i="8"/>
  <c r="A6" i="8"/>
  <c r="Q5" i="8"/>
  <c r="P5" i="8"/>
  <c r="N5" i="8"/>
  <c r="L5" i="8"/>
  <c r="H5" i="8" s="1"/>
  <c r="B5" i="8"/>
  <c r="A5" i="8"/>
  <c r="J4" i="8"/>
  <c r="K4" i="8" s="1"/>
  <c r="G4" i="8"/>
  <c r="B4" i="8"/>
  <c r="A4" i="8"/>
  <c r="F460" i="8" l="1"/>
  <c r="O82" i="8"/>
  <c r="F17" i="8"/>
  <c r="F117" i="8"/>
  <c r="O24" i="8"/>
  <c r="J24" i="8" s="1"/>
  <c r="K24" i="8" s="1"/>
  <c r="O206" i="8"/>
  <c r="O349" i="8"/>
  <c r="O116" i="8"/>
  <c r="O334" i="8"/>
  <c r="F24" i="8"/>
  <c r="O460" i="8"/>
  <c r="O366" i="8"/>
  <c r="F354" i="8"/>
  <c r="F103" i="8"/>
  <c r="O211" i="8"/>
  <c r="F256" i="8"/>
  <c r="F572" i="8"/>
  <c r="O666" i="8"/>
  <c r="F425" i="8"/>
  <c r="F310" i="8"/>
  <c r="F238" i="8"/>
  <c r="F629" i="8"/>
  <c r="O160" i="8"/>
  <c r="O152" i="8"/>
  <c r="O629" i="8"/>
  <c r="H116" i="8"/>
  <c r="F473" i="8"/>
  <c r="O22" i="8"/>
  <c r="F285" i="8"/>
  <c r="O476" i="8"/>
  <c r="F573" i="8"/>
  <c r="H256" i="8"/>
  <c r="F544" i="8"/>
  <c r="F420" i="8"/>
  <c r="O586" i="8"/>
  <c r="H24" i="8"/>
  <c r="H238" i="8"/>
  <c r="H460" i="8"/>
  <c r="O475" i="8"/>
  <c r="O354" i="8"/>
  <c r="F299" i="8"/>
  <c r="F26" i="8"/>
  <c r="O60" i="8"/>
  <c r="F131" i="8"/>
  <c r="F666" i="8"/>
  <c r="O64" i="8"/>
  <c r="H666" i="8"/>
  <c r="O328" i="8"/>
  <c r="F586" i="8"/>
  <c r="H586" i="8"/>
  <c r="H629" i="8"/>
  <c r="O9" i="8"/>
  <c r="O78" i="8"/>
  <c r="F356" i="8"/>
  <c r="O26" i="8"/>
  <c r="J26" i="8" s="1"/>
  <c r="K26" i="8" s="1"/>
  <c r="O281" i="8"/>
  <c r="F132" i="8"/>
  <c r="F605" i="8"/>
  <c r="F333" i="8"/>
  <c r="H22" i="8"/>
  <c r="F198" i="8"/>
  <c r="H206" i="8"/>
  <c r="F237" i="8"/>
  <c r="H475" i="8"/>
  <c r="F22" i="8"/>
  <c r="F262" i="8"/>
  <c r="H354" i="8"/>
  <c r="O11" i="8"/>
  <c r="H17" i="8"/>
  <c r="I103" i="8"/>
  <c r="O198" i="8"/>
  <c r="F349" i="8"/>
  <c r="F76" i="8"/>
  <c r="G87" i="8"/>
  <c r="Q87" i="8"/>
  <c r="P87" i="8"/>
  <c r="N87" i="8"/>
  <c r="M87" i="8"/>
  <c r="I87" i="8" s="1"/>
  <c r="L87" i="8"/>
  <c r="J87" i="8"/>
  <c r="K87" i="8" s="1"/>
  <c r="G101" i="8"/>
  <c r="P108" i="8"/>
  <c r="N108" i="8"/>
  <c r="L108" i="8"/>
  <c r="F158" i="8"/>
  <c r="J166" i="8"/>
  <c r="K166" i="8" s="1"/>
  <c r="P166" i="8"/>
  <c r="N166" i="8"/>
  <c r="G166" i="8"/>
  <c r="Q166" i="8"/>
  <c r="M166" i="8"/>
  <c r="O166" i="8" s="1"/>
  <c r="P181" i="8"/>
  <c r="N181" i="8"/>
  <c r="J181" i="8"/>
  <c r="K181" i="8" s="1"/>
  <c r="L181" i="8"/>
  <c r="H181" i="8" s="1"/>
  <c r="Q181" i="8"/>
  <c r="M181" i="8"/>
  <c r="I181" i="8" s="1"/>
  <c r="G181" i="8"/>
  <c r="P208" i="8"/>
  <c r="L208" i="8"/>
  <c r="H208" i="8" s="1"/>
  <c r="J208" i="8"/>
  <c r="K208" i="8" s="1"/>
  <c r="N208" i="8"/>
  <c r="Q208" i="8"/>
  <c r="G208" i="8"/>
  <c r="M44" i="8"/>
  <c r="I44" i="8" s="1"/>
  <c r="J44" i="8"/>
  <c r="K44" i="8" s="1"/>
  <c r="N44" i="8"/>
  <c r="L44" i="8"/>
  <c r="H44" i="8" s="1"/>
  <c r="G44" i="8"/>
  <c r="N61" i="8"/>
  <c r="M61" i="8"/>
  <c r="I61" i="8" s="1"/>
  <c r="L61" i="8"/>
  <c r="H61" i="8" s="1"/>
  <c r="J104" i="8"/>
  <c r="K104" i="8" s="1"/>
  <c r="Q104" i="8"/>
  <c r="N104" i="8"/>
  <c r="M104" i="8"/>
  <c r="I104" i="8" s="1"/>
  <c r="P104" i="8"/>
  <c r="G104" i="8"/>
  <c r="N136" i="8"/>
  <c r="O80" i="8"/>
  <c r="L104" i="8"/>
  <c r="H104" i="8" s="1"/>
  <c r="N209" i="8"/>
  <c r="M209" i="8"/>
  <c r="I209" i="8" s="1"/>
  <c r="G19" i="8"/>
  <c r="H11" i="8"/>
  <c r="O13" i="8"/>
  <c r="J13" i="8" s="1"/>
  <c r="K13" i="8" s="1"/>
  <c r="Q45" i="8"/>
  <c r="P45" i="8"/>
  <c r="N45" i="8"/>
  <c r="G129" i="8"/>
  <c r="L129" i="8"/>
  <c r="H129" i="8" s="1"/>
  <c r="P129" i="8"/>
  <c r="Q129" i="8"/>
  <c r="M129" i="8"/>
  <c r="I129" i="8" s="1"/>
  <c r="J129" i="8"/>
  <c r="K129" i="8" s="1"/>
  <c r="G6" i="8"/>
  <c r="Q19" i="8"/>
  <c r="Q42" i="8"/>
  <c r="L42" i="8"/>
  <c r="H42" i="8" s="1"/>
  <c r="N42" i="8"/>
  <c r="M42" i="8"/>
  <c r="I42" i="8" s="1"/>
  <c r="J42" i="8"/>
  <c r="K42" i="8" s="1"/>
  <c r="G42" i="8"/>
  <c r="L45" i="8"/>
  <c r="H45" i="8" s="1"/>
  <c r="G59" i="8"/>
  <c r="Q59" i="8"/>
  <c r="N59" i="8"/>
  <c r="M59" i="8"/>
  <c r="I59" i="8" s="1"/>
  <c r="J59" i="8"/>
  <c r="K59" i="8" s="1"/>
  <c r="L65" i="8"/>
  <c r="H65" i="8" s="1"/>
  <c r="M65" i="8"/>
  <c r="I65" i="8" s="1"/>
  <c r="Q65" i="8"/>
  <c r="N65" i="8"/>
  <c r="Q245" i="8"/>
  <c r="M245" i="8"/>
  <c r="I245" i="8" s="1"/>
  <c r="L245" i="8"/>
  <c r="H245" i="8" s="1"/>
  <c r="J245" i="8"/>
  <c r="K245" i="8" s="1"/>
  <c r="P245" i="8"/>
  <c r="N245" i="8"/>
  <c r="G245" i="8"/>
  <c r="R42" i="9"/>
  <c r="R18" i="9"/>
  <c r="R15" i="9"/>
  <c r="R17" i="9"/>
  <c r="R14" i="9"/>
  <c r="R6" i="9"/>
  <c r="R40" i="9"/>
  <c r="P8" i="8"/>
  <c r="Q8" i="8"/>
  <c r="M8" i="8"/>
  <c r="I8" i="8" s="1"/>
  <c r="L8" i="8"/>
  <c r="H8" i="8" s="1"/>
  <c r="G65" i="8"/>
  <c r="O68" i="8"/>
  <c r="H78" i="8"/>
  <c r="N81" i="8"/>
  <c r="L81" i="8"/>
  <c r="H81" i="8" s="1"/>
  <c r="N91" i="8"/>
  <c r="L91" i="8"/>
  <c r="H91" i="8" s="1"/>
  <c r="K101" i="8"/>
  <c r="J108" i="8"/>
  <c r="K108" i="8" s="1"/>
  <c r="O132" i="8"/>
  <c r="L136" i="8"/>
  <c r="H136" i="8" s="1"/>
  <c r="H151" i="8"/>
  <c r="F151" i="8"/>
  <c r="F155" i="8"/>
  <c r="N29" i="8"/>
  <c r="G33" i="8"/>
  <c r="N36" i="8"/>
  <c r="L36" i="8"/>
  <c r="H36" i="8" s="1"/>
  <c r="M36" i="8"/>
  <c r="I36" i="8" s="1"/>
  <c r="M94" i="8"/>
  <c r="I94" i="8" s="1"/>
  <c r="Q94" i="8"/>
  <c r="N94" i="8"/>
  <c r="L94" i="8"/>
  <c r="H94" i="8" s="1"/>
  <c r="J94" i="8"/>
  <c r="K94" i="8" s="1"/>
  <c r="G94" i="8"/>
  <c r="L101" i="8"/>
  <c r="H101" i="8" s="1"/>
  <c r="O158" i="8"/>
  <c r="N14" i="8"/>
  <c r="Q14" i="8"/>
  <c r="P14" i="8"/>
  <c r="L14" i="8"/>
  <c r="H14" i="8" s="1"/>
  <c r="M14" i="8"/>
  <c r="I14" i="8" s="1"/>
  <c r="G14" i="8"/>
  <c r="M19" i="8"/>
  <c r="I19" i="8" s="1"/>
  <c r="M29" i="8"/>
  <c r="I29" i="8" s="1"/>
  <c r="J45" i="8"/>
  <c r="K45" i="8" s="1"/>
  <c r="G20" i="8"/>
  <c r="Q20" i="8"/>
  <c r="P20" i="8"/>
  <c r="M20" i="8"/>
  <c r="I20" i="8" s="1"/>
  <c r="L20" i="8"/>
  <c r="H20" i="8" s="1"/>
  <c r="N20" i="8"/>
  <c r="J20" i="8"/>
  <c r="K20" i="8" s="1"/>
  <c r="M25" i="8"/>
  <c r="I25" i="8" s="1"/>
  <c r="L25" i="8"/>
  <c r="H25" i="8" s="1"/>
  <c r="L33" i="8"/>
  <c r="H33" i="8" s="1"/>
  <c r="P42" i="8"/>
  <c r="M33" i="8"/>
  <c r="I33" i="8" s="1"/>
  <c r="L53" i="8"/>
  <c r="H53" i="8" s="1"/>
  <c r="Q53" i="8"/>
  <c r="P53" i="8"/>
  <c r="N53" i="8"/>
  <c r="N12" i="8"/>
  <c r="Q12" i="8"/>
  <c r="M12" i="8"/>
  <c r="I12" i="8" s="1"/>
  <c r="L12" i="8"/>
  <c r="H12" i="8" s="1"/>
  <c r="P12" i="8"/>
  <c r="O17" i="8"/>
  <c r="Q43" i="8"/>
  <c r="P43" i="8"/>
  <c r="N43" i="8"/>
  <c r="Q46" i="8"/>
  <c r="M46" i="8"/>
  <c r="I46" i="8" s="1"/>
  <c r="N46" i="8"/>
  <c r="L46" i="8"/>
  <c r="H46" i="8" s="1"/>
  <c r="G46" i="8"/>
  <c r="J46" i="8"/>
  <c r="K46" i="8" s="1"/>
  <c r="L59" i="8"/>
  <c r="H59" i="8" s="1"/>
  <c r="J65" i="8"/>
  <c r="K65" i="8" s="1"/>
  <c r="P94" i="8"/>
  <c r="M101" i="8"/>
  <c r="I101" i="8" s="1"/>
  <c r="M108" i="8"/>
  <c r="I108" i="8" s="1"/>
  <c r="P133" i="8"/>
  <c r="N133" i="8"/>
  <c r="M133" i="8"/>
  <c r="I133" i="8" s="1"/>
  <c r="N8" i="8"/>
  <c r="L29" i="8"/>
  <c r="H29" i="8" s="1"/>
  <c r="L6" i="8"/>
  <c r="H6" i="8" s="1"/>
  <c r="M6" i="8"/>
  <c r="I6" i="8" s="1"/>
  <c r="Q6" i="8"/>
  <c r="P6" i="8"/>
  <c r="N6" i="8"/>
  <c r="J33" i="8"/>
  <c r="K33" i="8" s="1"/>
  <c r="K39" i="8"/>
  <c r="Q39" i="8"/>
  <c r="P39" i="8"/>
  <c r="M39" i="8"/>
  <c r="I39" i="8" s="1"/>
  <c r="M45" i="8"/>
  <c r="I45" i="8" s="1"/>
  <c r="F59" i="8"/>
  <c r="F65" i="8"/>
  <c r="O114" i="8"/>
  <c r="N129" i="8"/>
  <c r="Q15" i="8"/>
  <c r="P4" i="8"/>
  <c r="N4" i="8"/>
  <c r="Q4" i="8"/>
  <c r="M4" i="8"/>
  <c r="I4" i="8" s="1"/>
  <c r="L4" i="8"/>
  <c r="G115" i="8"/>
  <c r="K115" i="8"/>
  <c r="Q115" i="8"/>
  <c r="N115" i="8"/>
  <c r="M115" i="8"/>
  <c r="I115" i="8" s="1"/>
  <c r="L115" i="8"/>
  <c r="H115" i="8" s="1"/>
  <c r="M118" i="8"/>
  <c r="I118" i="8" s="1"/>
  <c r="L118" i="8"/>
  <c r="H118" i="8" s="1"/>
  <c r="N118" i="8"/>
  <c r="G12" i="8"/>
  <c r="L23" i="8"/>
  <c r="O23" i="8" s="1"/>
  <c r="J23" i="8" s="1"/>
  <c r="K23" i="8" s="1"/>
  <c r="P46" i="8"/>
  <c r="G53" i="8"/>
  <c r="P59" i="8"/>
  <c r="O62" i="8"/>
  <c r="P65" i="8"/>
  <c r="N101" i="8"/>
  <c r="Q108" i="8"/>
  <c r="G133" i="8"/>
  <c r="G141" i="8"/>
  <c r="J141" i="8"/>
  <c r="K141" i="8" s="1"/>
  <c r="Q141" i="8"/>
  <c r="N141" i="8"/>
  <c r="M141" i="8"/>
  <c r="I141" i="8" s="1"/>
  <c r="P141" i="8"/>
  <c r="L141" i="8"/>
  <c r="H141" i="8" s="1"/>
  <c r="O151" i="8"/>
  <c r="M18" i="8"/>
  <c r="I18" i="8" s="1"/>
  <c r="N18" i="8"/>
  <c r="M21" i="8"/>
  <c r="I21" i="8" s="1"/>
  <c r="N21" i="8"/>
  <c r="M63" i="8"/>
  <c r="I63" i="8" s="1"/>
  <c r="N63" i="8"/>
  <c r="L63" i="8"/>
  <c r="H174" i="8"/>
  <c r="O174" i="8"/>
  <c r="J69" i="8"/>
  <c r="K69" i="8" s="1"/>
  <c r="Q69" i="8"/>
  <c r="P69" i="8"/>
  <c r="N69" i="8"/>
  <c r="M69" i="8"/>
  <c r="I69" i="8" s="1"/>
  <c r="L69" i="8"/>
  <c r="H69" i="8" s="1"/>
  <c r="L15" i="8"/>
  <c r="G21" i="8"/>
  <c r="N25" i="8"/>
  <c r="G31" i="8"/>
  <c r="F37" i="8"/>
  <c r="N39" i="8"/>
  <c r="J53" i="8"/>
  <c r="K53" i="8" s="1"/>
  <c r="N57" i="8"/>
  <c r="P57" i="8"/>
  <c r="M57" i="8"/>
  <c r="I57" i="8" s="1"/>
  <c r="K57" i="8"/>
  <c r="G69" i="8"/>
  <c r="O88" i="8"/>
  <c r="J133" i="8"/>
  <c r="K133" i="8" s="1"/>
  <c r="H76" i="8"/>
  <c r="P85" i="8"/>
  <c r="Q85" i="8"/>
  <c r="M85" i="8"/>
  <c r="I85" i="8" s="1"/>
  <c r="L85" i="8"/>
  <c r="H85" i="8" s="1"/>
  <c r="K85" i="8"/>
  <c r="P110" i="8"/>
  <c r="O110" i="8"/>
  <c r="M113" i="8"/>
  <c r="I113" i="8" s="1"/>
  <c r="N113" i="8"/>
  <c r="M126" i="8"/>
  <c r="I126" i="8" s="1"/>
  <c r="J126" i="8"/>
  <c r="K126" i="8" s="1"/>
  <c r="L126" i="8"/>
  <c r="N126" i="8"/>
  <c r="Q126" i="8"/>
  <c r="P126" i="8"/>
  <c r="M15" i="8"/>
  <c r="I15" i="8" s="1"/>
  <c r="H21" i="8"/>
  <c r="Q10" i="8"/>
  <c r="N10" i="8"/>
  <c r="M10" i="8"/>
  <c r="O10" i="8" s="1"/>
  <c r="P10" i="8"/>
  <c r="F13" i="8"/>
  <c r="N15" i="8"/>
  <c r="J31" i="8"/>
  <c r="K31" i="8" s="1"/>
  <c r="N40" i="8"/>
  <c r="L40" i="8"/>
  <c r="H40" i="8" s="1"/>
  <c r="G40" i="8"/>
  <c r="J40" i="8"/>
  <c r="K40" i="8" s="1"/>
  <c r="L43" i="8"/>
  <c r="F43" i="8" s="1"/>
  <c r="G57" i="8"/>
  <c r="F110" i="8"/>
  <c r="G126" i="8"/>
  <c r="O163" i="8"/>
  <c r="Q28" i="8"/>
  <c r="P28" i="8"/>
  <c r="N28" i="8"/>
  <c r="L28" i="8"/>
  <c r="H28" i="8" s="1"/>
  <c r="M28" i="8"/>
  <c r="I28" i="8" s="1"/>
  <c r="K28" i="8"/>
  <c r="G28" i="8"/>
  <c r="Q89" i="8"/>
  <c r="N89" i="8"/>
  <c r="M89" i="8"/>
  <c r="I89" i="8" s="1"/>
  <c r="K89" i="8"/>
  <c r="G106" i="8"/>
  <c r="J106" i="8"/>
  <c r="K106" i="8" s="1"/>
  <c r="Q106" i="8"/>
  <c r="P106" i="8"/>
  <c r="N106" i="8"/>
  <c r="M106" i="8"/>
  <c r="I106" i="8" s="1"/>
  <c r="L106" i="8"/>
  <c r="M138" i="8"/>
  <c r="I138" i="8" s="1"/>
  <c r="G138" i="8"/>
  <c r="N138" i="8"/>
  <c r="Q138" i="8"/>
  <c r="P138" i="8"/>
  <c r="L138" i="8"/>
  <c r="H138" i="8" s="1"/>
  <c r="N156" i="8"/>
  <c r="M156" i="8"/>
  <c r="I156" i="8" s="1"/>
  <c r="J21" i="8"/>
  <c r="K21" i="8" s="1"/>
  <c r="O7" i="8"/>
  <c r="J7" i="8" s="1"/>
  <c r="K7" i="8" s="1"/>
  <c r="L31" i="8"/>
  <c r="F31" i="8" s="1"/>
  <c r="H82" i="8"/>
  <c r="Q149" i="8"/>
  <c r="P149" i="8"/>
  <c r="N149" i="8"/>
  <c r="M149" i="8"/>
  <c r="I149" i="8" s="1"/>
  <c r="L149" i="8"/>
  <c r="H149" i="8" s="1"/>
  <c r="J149" i="8"/>
  <c r="K149" i="8" s="1"/>
  <c r="O210" i="8"/>
  <c r="L127" i="8"/>
  <c r="H127" i="8" s="1"/>
  <c r="G127" i="8"/>
  <c r="N127" i="8"/>
  <c r="M127" i="8"/>
  <c r="I127" i="8" s="1"/>
  <c r="J127" i="8"/>
  <c r="K127" i="8" s="1"/>
  <c r="P127" i="8"/>
  <c r="I210" i="8"/>
  <c r="F210" i="8"/>
  <c r="Q127" i="8"/>
  <c r="O76" i="8"/>
  <c r="J128" i="8"/>
  <c r="K128" i="8" s="1"/>
  <c r="N128" i="8"/>
  <c r="P128" i="8"/>
  <c r="Q128" i="8"/>
  <c r="Q31" i="8"/>
  <c r="Q44" i="8"/>
  <c r="F61" i="8"/>
  <c r="L89" i="8"/>
  <c r="H89" i="8" s="1"/>
  <c r="L35" i="8"/>
  <c r="M55" i="8"/>
  <c r="I55" i="8" s="1"/>
  <c r="Q55" i="8"/>
  <c r="P55" i="8"/>
  <c r="L55" i="8"/>
  <c r="G67" i="8"/>
  <c r="O70" i="8"/>
  <c r="P89" i="8"/>
  <c r="N110" i="8"/>
  <c r="P180" i="8"/>
  <c r="M180" i="8"/>
  <c r="I180" i="8" s="1"/>
  <c r="N180" i="8"/>
  <c r="G180" i="8"/>
  <c r="L180" i="8"/>
  <c r="J180" i="8"/>
  <c r="K180" i="8" s="1"/>
  <c r="G128" i="8"/>
  <c r="G161" i="8"/>
  <c r="N161" i="8"/>
  <c r="Q161" i="8"/>
  <c r="H165" i="8"/>
  <c r="J248" i="8"/>
  <c r="K248" i="8" s="1"/>
  <c r="P248" i="8"/>
  <c r="L248" i="8"/>
  <c r="H248" i="8" s="1"/>
  <c r="G248" i="8"/>
  <c r="Q248" i="8"/>
  <c r="M248" i="8"/>
  <c r="I248" i="8" s="1"/>
  <c r="P16" i="8"/>
  <c r="L16" i="8"/>
  <c r="H16" i="8" s="1"/>
  <c r="Q16" i="8"/>
  <c r="M16" i="8"/>
  <c r="I16" i="8" s="1"/>
  <c r="K16" i="8"/>
  <c r="N16" i="8"/>
  <c r="G16" i="8"/>
  <c r="P19" i="8"/>
  <c r="N19" i="8"/>
  <c r="J19" i="8"/>
  <c r="K19" i="8" s="1"/>
  <c r="L128" i="8"/>
  <c r="H128" i="8" s="1"/>
  <c r="J161" i="8"/>
  <c r="K161" i="8" s="1"/>
  <c r="N248" i="8"/>
  <c r="N35" i="8"/>
  <c r="J41" i="8"/>
  <c r="K41" i="8" s="1"/>
  <c r="G45" i="8"/>
  <c r="G55" i="8"/>
  <c r="P38" i="8"/>
  <c r="L38" i="8"/>
  <c r="H38" i="8" s="1"/>
  <c r="J38" i="8"/>
  <c r="K38" i="8" s="1"/>
  <c r="G38" i="8"/>
  <c r="O58" i="8"/>
  <c r="M128" i="8"/>
  <c r="I128" i="8" s="1"/>
  <c r="L161" i="8"/>
  <c r="H161" i="8" s="1"/>
  <c r="Q180" i="8"/>
  <c r="G41" i="8"/>
  <c r="L41" i="8"/>
  <c r="H41" i="8" s="1"/>
  <c r="Q41" i="8"/>
  <c r="P41" i="8"/>
  <c r="N41" i="8"/>
  <c r="P44" i="8"/>
  <c r="L67" i="8"/>
  <c r="H67" i="8" s="1"/>
  <c r="Q67" i="8"/>
  <c r="N67" i="8"/>
  <c r="M67" i="8"/>
  <c r="I67" i="8" s="1"/>
  <c r="J67" i="8"/>
  <c r="K67" i="8" s="1"/>
  <c r="M41" i="8"/>
  <c r="I41" i="8" s="1"/>
  <c r="P101" i="8"/>
  <c r="F101" i="8"/>
  <c r="O153" i="8"/>
  <c r="H153" i="8"/>
  <c r="M161" i="8"/>
  <c r="I161" i="8" s="1"/>
  <c r="M186" i="8"/>
  <c r="I186" i="8" s="1"/>
  <c r="N186" i="8"/>
  <c r="L90" i="8"/>
  <c r="F90" i="8" s="1"/>
  <c r="N100" i="8"/>
  <c r="Q109" i="8"/>
  <c r="I116" i="8"/>
  <c r="F116" i="8"/>
  <c r="G135" i="8"/>
  <c r="N135" i="8"/>
  <c r="M135" i="8"/>
  <c r="J135" i="8"/>
  <c r="K135" i="8" s="1"/>
  <c r="J148" i="8"/>
  <c r="K148" i="8" s="1"/>
  <c r="F148" i="8"/>
  <c r="P148" i="8"/>
  <c r="O148" i="8"/>
  <c r="M228" i="8"/>
  <c r="I228" i="8" s="1"/>
  <c r="K205" i="8"/>
  <c r="G205" i="8"/>
  <c r="J254" i="8"/>
  <c r="K254" i="8" s="1"/>
  <c r="M254" i="8"/>
  <c r="I254" i="8" s="1"/>
  <c r="L254" i="8"/>
  <c r="H254" i="8" s="1"/>
  <c r="G254" i="8"/>
  <c r="Q254" i="8"/>
  <c r="P254" i="8"/>
  <c r="N254" i="8"/>
  <c r="Q140" i="8"/>
  <c r="M140" i="8"/>
  <c r="I140" i="8" s="1"/>
  <c r="L140" i="8"/>
  <c r="F153" i="8"/>
  <c r="N188" i="8"/>
  <c r="G188" i="8"/>
  <c r="O188" i="8"/>
  <c r="F188" i="8"/>
  <c r="M200" i="8"/>
  <c r="J200" i="8"/>
  <c r="K200" i="8" s="1"/>
  <c r="G200" i="8"/>
  <c r="L222" i="8"/>
  <c r="F222" i="8" s="1"/>
  <c r="Q222" i="8"/>
  <c r="P222" i="8"/>
  <c r="N222" i="8"/>
  <c r="P251" i="8"/>
  <c r="M251" i="8"/>
  <c r="I251" i="8" s="1"/>
  <c r="N251" i="8"/>
  <c r="Q251" i="8"/>
  <c r="K251" i="8"/>
  <c r="G251" i="8"/>
  <c r="L251" i="8"/>
  <c r="P278" i="8"/>
  <c r="M278" i="8"/>
  <c r="I278" i="8" s="1"/>
  <c r="L278" i="8"/>
  <c r="H278" i="8" s="1"/>
  <c r="Q278" i="8"/>
  <c r="N278" i="8"/>
  <c r="G278" i="8"/>
  <c r="J278" i="8"/>
  <c r="K278" i="8" s="1"/>
  <c r="N244" i="8"/>
  <c r="L244" i="8"/>
  <c r="H244" i="8" s="1"/>
  <c r="G158" i="8"/>
  <c r="L205" i="8"/>
  <c r="Q258" i="8"/>
  <c r="G258" i="8"/>
  <c r="L258" i="8"/>
  <c r="H258" i="8" s="1"/>
  <c r="J258" i="8"/>
  <c r="K258" i="8" s="1"/>
  <c r="N258" i="8"/>
  <c r="M258" i="8"/>
  <c r="I258" i="8" s="1"/>
  <c r="N273" i="8"/>
  <c r="M273" i="8"/>
  <c r="I273" i="8" s="1"/>
  <c r="G273" i="8"/>
  <c r="Q273" i="8"/>
  <c r="P273" i="8"/>
  <c r="J273" i="8"/>
  <c r="K273" i="8" s="1"/>
  <c r="J172" i="8"/>
  <c r="K172" i="8" s="1"/>
  <c r="G172" i="8"/>
  <c r="L172" i="8"/>
  <c r="Q183" i="8"/>
  <c r="G183" i="8"/>
  <c r="O183" i="8"/>
  <c r="N183" i="8"/>
  <c r="F183" i="8"/>
  <c r="M205" i="8"/>
  <c r="I205" i="8" s="1"/>
  <c r="F213" i="8"/>
  <c r="K222" i="8"/>
  <c r="J226" i="8"/>
  <c r="K226" i="8" s="1"/>
  <c r="Q226" i="8"/>
  <c r="P226" i="8"/>
  <c r="G226" i="8"/>
  <c r="F226" i="8"/>
  <c r="L236" i="8"/>
  <c r="H236" i="8" s="1"/>
  <c r="M236" i="8"/>
  <c r="I236" i="8" s="1"/>
  <c r="H247" i="8"/>
  <c r="F247" i="8"/>
  <c r="K255" i="8"/>
  <c r="N255" i="8"/>
  <c r="G255" i="8"/>
  <c r="P255" i="8"/>
  <c r="P258" i="8"/>
  <c r="L273" i="8"/>
  <c r="H273" i="8" s="1"/>
  <c r="N283" i="8"/>
  <c r="L283" i="8"/>
  <c r="H283" i="8" s="1"/>
  <c r="Q175" i="8"/>
  <c r="P175" i="8"/>
  <c r="L175" i="8"/>
  <c r="M175" i="8"/>
  <c r="I175" i="8" s="1"/>
  <c r="K175" i="8"/>
  <c r="N200" i="8"/>
  <c r="P205" i="8"/>
  <c r="M244" i="8"/>
  <c r="I244" i="8" s="1"/>
  <c r="Q205" i="8"/>
  <c r="O226" i="8"/>
  <c r="L255" i="8"/>
  <c r="H255" i="8" s="1"/>
  <c r="J270" i="8"/>
  <c r="K270" i="8" s="1"/>
  <c r="G270" i="8"/>
  <c r="N270" i="8"/>
  <c r="M270" i="8"/>
  <c r="I270" i="8" s="1"/>
  <c r="Q270" i="8"/>
  <c r="P270" i="8"/>
  <c r="L270" i="8"/>
  <c r="H270" i="8" s="1"/>
  <c r="H298" i="8"/>
  <c r="O298" i="8"/>
  <c r="F298" i="8"/>
  <c r="Q77" i="8"/>
  <c r="K77" i="8"/>
  <c r="N77" i="8"/>
  <c r="M79" i="8"/>
  <c r="I79" i="8" s="1"/>
  <c r="J79" i="8"/>
  <c r="K79" i="8" s="1"/>
  <c r="N79" i="8"/>
  <c r="O213" i="8"/>
  <c r="M220" i="8"/>
  <c r="I220" i="8" s="1"/>
  <c r="N220" i="8"/>
  <c r="Q220" i="8"/>
  <c r="L220" i="8"/>
  <c r="H220" i="8" s="1"/>
  <c r="J220" i="8"/>
  <c r="K220" i="8" s="1"/>
  <c r="L227" i="8"/>
  <c r="H227" i="8" s="1"/>
  <c r="N227" i="8"/>
  <c r="M227" i="8"/>
  <c r="I227" i="8" s="1"/>
  <c r="Q230" i="8"/>
  <c r="P230" i="8"/>
  <c r="M230" i="8"/>
  <c r="I230" i="8" s="1"/>
  <c r="J230" i="8"/>
  <c r="K230" i="8" s="1"/>
  <c r="N230" i="8"/>
  <c r="Q255" i="8"/>
  <c r="Q124" i="8"/>
  <c r="M124" i="8"/>
  <c r="I124" i="8" s="1"/>
  <c r="L124" i="8"/>
  <c r="J154" i="8"/>
  <c r="K154" i="8" s="1"/>
  <c r="G154" i="8"/>
  <c r="P154" i="8"/>
  <c r="N164" i="8"/>
  <c r="Q164" i="8"/>
  <c r="M164" i="8"/>
  <c r="I164" i="8" s="1"/>
  <c r="N175" i="8"/>
  <c r="J184" i="8"/>
  <c r="K184" i="8" s="1"/>
  <c r="Q184" i="8"/>
  <c r="N184" i="8"/>
  <c r="N203" i="8"/>
  <c r="G230" i="8"/>
  <c r="H233" i="8"/>
  <c r="O233" i="8"/>
  <c r="N236" i="8"/>
  <c r="Q30" i="8"/>
  <c r="P30" i="8"/>
  <c r="M32" i="8"/>
  <c r="I32" i="8" s="1"/>
  <c r="N32" i="8"/>
  <c r="N102" i="8"/>
  <c r="M102" i="8"/>
  <c r="I102" i="8" s="1"/>
  <c r="M111" i="8"/>
  <c r="I111" i="8" s="1"/>
  <c r="L111" i="8"/>
  <c r="H111" i="8" s="1"/>
  <c r="N111" i="8"/>
  <c r="Q111" i="8"/>
  <c r="M134" i="8"/>
  <c r="I134" i="8" s="1"/>
  <c r="Q134" i="8"/>
  <c r="L134" i="8"/>
  <c r="H134" i="8" s="1"/>
  <c r="L159" i="8"/>
  <c r="H159" i="8" s="1"/>
  <c r="N159" i="8"/>
  <c r="J159" i="8"/>
  <c r="K159" i="8" s="1"/>
  <c r="P159" i="8"/>
  <c r="G164" i="8"/>
  <c r="P220" i="8"/>
  <c r="G30" i="8"/>
  <c r="G32" i="8"/>
  <c r="G34" i="8"/>
  <c r="J139" i="8"/>
  <c r="K139" i="8" s="1"/>
  <c r="G139" i="8"/>
  <c r="L162" i="8"/>
  <c r="N162" i="8"/>
  <c r="M162" i="8"/>
  <c r="I162" i="8" s="1"/>
  <c r="G176" i="8"/>
  <c r="L176" i="8"/>
  <c r="H176" i="8" s="1"/>
  <c r="J176" i="8"/>
  <c r="K176" i="8" s="1"/>
  <c r="F178" i="8"/>
  <c r="P214" i="8"/>
  <c r="L214" i="8"/>
  <c r="H214" i="8" s="1"/>
  <c r="M214" i="8"/>
  <c r="I214" i="8" s="1"/>
  <c r="J214" i="8"/>
  <c r="K214" i="8" s="1"/>
  <c r="Q214" i="8"/>
  <c r="N214" i="8"/>
  <c r="J227" i="8"/>
  <c r="K227" i="8" s="1"/>
  <c r="L230" i="8"/>
  <c r="O189" i="8"/>
  <c r="G196" i="8"/>
  <c r="N196" i="8"/>
  <c r="F206" i="8"/>
  <c r="I206" i="8"/>
  <c r="J164" i="8"/>
  <c r="K164" i="8" s="1"/>
  <c r="H304" i="8"/>
  <c r="O304" i="8"/>
  <c r="J196" i="8"/>
  <c r="K196" i="8" s="1"/>
  <c r="M199" i="8"/>
  <c r="I199" i="8" s="1"/>
  <c r="Q227" i="8"/>
  <c r="G231" i="8"/>
  <c r="N234" i="8"/>
  <c r="G234" i="8"/>
  <c r="M234" i="8"/>
  <c r="I234" i="8" s="1"/>
  <c r="Q234" i="8"/>
  <c r="P234" i="8"/>
  <c r="L234" i="8"/>
  <c r="J34" i="8"/>
  <c r="K34" i="8" s="1"/>
  <c r="H260" i="8"/>
  <c r="F260" i="8"/>
  <c r="L204" i="8"/>
  <c r="H204" i="8" s="1"/>
  <c r="M34" i="8"/>
  <c r="I34" i="8" s="1"/>
  <c r="G52" i="8"/>
  <c r="F58" i="8"/>
  <c r="F60" i="8"/>
  <c r="F62" i="8"/>
  <c r="Q62" i="8"/>
  <c r="P64" i="8"/>
  <c r="L36" i="9" s="1"/>
  <c r="N64" i="8"/>
  <c r="M66" i="8"/>
  <c r="I66" i="8" s="1"/>
  <c r="L66" i="8"/>
  <c r="J68" i="8"/>
  <c r="K68" i="8" s="1"/>
  <c r="Q79" i="8"/>
  <c r="G100" i="8"/>
  <c r="L102" i="8"/>
  <c r="H102" i="8" s="1"/>
  <c r="G109" i="8"/>
  <c r="P124" i="8"/>
  <c r="J134" i="8"/>
  <c r="K134" i="8" s="1"/>
  <c r="L139" i="8"/>
  <c r="I152" i="8"/>
  <c r="Q154" i="8"/>
  <c r="P157" i="8"/>
  <c r="Q157" i="8"/>
  <c r="L157" i="8"/>
  <c r="H157" i="8" s="1"/>
  <c r="J157" i="8"/>
  <c r="K157" i="8" s="1"/>
  <c r="Q159" i="8"/>
  <c r="J162" i="8"/>
  <c r="K162" i="8" s="1"/>
  <c r="P164" i="8"/>
  <c r="M176" i="8"/>
  <c r="I176" i="8" s="1"/>
  <c r="P184" i="8"/>
  <c r="L30" i="8"/>
  <c r="H30" i="8" s="1"/>
  <c r="N34" i="8"/>
  <c r="G58" i="8"/>
  <c r="J107" i="8"/>
  <c r="K107" i="8" s="1"/>
  <c r="Q107" i="8"/>
  <c r="M107" i="8"/>
  <c r="F107" i="8" s="1"/>
  <c r="P111" i="8"/>
  <c r="L137" i="8"/>
  <c r="H137" i="8" s="1"/>
  <c r="K137" i="8"/>
  <c r="G66" i="8"/>
  <c r="M84" i="8"/>
  <c r="I84" i="8" s="1"/>
  <c r="P84" i="8"/>
  <c r="O125" i="8"/>
  <c r="G125" i="8"/>
  <c r="G137" i="8"/>
  <c r="M142" i="8"/>
  <c r="I142" i="8" s="1"/>
  <c r="G160" i="8"/>
  <c r="J165" i="8"/>
  <c r="K165" i="8" s="1"/>
  <c r="N165" i="8"/>
  <c r="M165" i="8"/>
  <c r="I165" i="8" s="1"/>
  <c r="K179" i="8"/>
  <c r="Q179" i="8"/>
  <c r="P179" i="8"/>
  <c r="L179" i="8"/>
  <c r="H179" i="8" s="1"/>
  <c r="J234" i="8"/>
  <c r="K234" i="8" s="1"/>
  <c r="L100" i="8"/>
  <c r="H100" i="8" s="1"/>
  <c r="Q100" i="8"/>
  <c r="P100" i="8"/>
  <c r="J102" i="8"/>
  <c r="K102" i="8" s="1"/>
  <c r="K124" i="8"/>
  <c r="M154" i="8"/>
  <c r="I154" i="8" s="1"/>
  <c r="J30" i="8"/>
  <c r="K30" i="8" s="1"/>
  <c r="J32" i="8"/>
  <c r="K32" i="8" s="1"/>
  <c r="L34" i="8"/>
  <c r="H34" i="8" s="1"/>
  <c r="G56" i="8"/>
  <c r="M77" i="8"/>
  <c r="I77" i="8" s="1"/>
  <c r="P79" i="8"/>
  <c r="M92" i="8"/>
  <c r="P92" i="8"/>
  <c r="N109" i="8"/>
  <c r="K109" i="8"/>
  <c r="L109" i="8"/>
  <c r="H109" i="8" s="1"/>
  <c r="J111" i="8"/>
  <c r="K111" i="8" s="1"/>
  <c r="N124" i="8"/>
  <c r="N154" i="8"/>
  <c r="L164" i="8"/>
  <c r="H164" i="8" s="1"/>
  <c r="M184" i="8"/>
  <c r="I184" i="8" s="1"/>
  <c r="M5" i="8"/>
  <c r="I5" i="8" s="1"/>
  <c r="M257" i="8"/>
  <c r="I257" i="8" s="1"/>
  <c r="L257" i="8"/>
  <c r="H257" i="8" s="1"/>
  <c r="O260" i="8"/>
  <c r="Q272" i="8"/>
  <c r="J272" i="8"/>
  <c r="K272" i="8" s="1"/>
  <c r="P272" i="8"/>
  <c r="M272" i="8"/>
  <c r="I272" i="8" s="1"/>
  <c r="G272" i="8"/>
  <c r="J231" i="8"/>
  <c r="K231" i="8" s="1"/>
  <c r="L231" i="8"/>
  <c r="H231" i="8" s="1"/>
  <c r="Q231" i="8"/>
  <c r="L32" i="8"/>
  <c r="H32" i="8" s="1"/>
  <c r="J54" i="8"/>
  <c r="K54" i="8" s="1"/>
  <c r="G60" i="8"/>
  <c r="G62" i="8"/>
  <c r="F64" i="8"/>
  <c r="F68" i="8"/>
  <c r="N70" i="8"/>
  <c r="F70" i="8"/>
  <c r="P77" i="8"/>
  <c r="G88" i="8"/>
  <c r="N88" i="8"/>
  <c r="P88" i="8"/>
  <c r="G92" i="8"/>
  <c r="M130" i="8"/>
  <c r="I130" i="8" s="1"/>
  <c r="P132" i="8"/>
  <c r="Q132" i="8"/>
  <c r="J132" i="8"/>
  <c r="K132" i="8" s="1"/>
  <c r="N132" i="8"/>
  <c r="N134" i="8"/>
  <c r="M139" i="8"/>
  <c r="I139" i="8" s="1"/>
  <c r="G150" i="8"/>
  <c r="J150" i="8"/>
  <c r="K150" i="8" s="1"/>
  <c r="G157" i="8"/>
  <c r="N176" i="8"/>
  <c r="N185" i="8"/>
  <c r="L185" i="8"/>
  <c r="L196" i="8"/>
  <c r="M231" i="8"/>
  <c r="I231" i="8" s="1"/>
  <c r="G5" i="8"/>
  <c r="F7" i="8"/>
  <c r="M30" i="8"/>
  <c r="I30" i="8" s="1"/>
  <c r="K52" i="8"/>
  <c r="J56" i="8"/>
  <c r="K56" i="8" s="1"/>
  <c r="G64" i="8"/>
  <c r="G68" i="8"/>
  <c r="J86" i="8"/>
  <c r="K86" i="8" s="1"/>
  <c r="P86" i="8"/>
  <c r="O86" i="8"/>
  <c r="F88" i="8"/>
  <c r="P102" i="8"/>
  <c r="N139" i="8"/>
  <c r="O190" i="8"/>
  <c r="F190" i="8"/>
  <c r="Q190" i="8"/>
  <c r="J190" i="8"/>
  <c r="K190" i="8" s="1"/>
  <c r="M196" i="8"/>
  <c r="I196" i="8" s="1"/>
  <c r="N204" i="8"/>
  <c r="Q212" i="8"/>
  <c r="M212" i="8"/>
  <c r="I212" i="8" s="1"/>
  <c r="J212" i="8"/>
  <c r="K212" i="8" s="1"/>
  <c r="L212" i="8"/>
  <c r="H212" i="8" s="1"/>
  <c r="P212" i="8"/>
  <c r="G7" i="8"/>
  <c r="F9" i="8"/>
  <c r="N11" i="8"/>
  <c r="N30" i="8"/>
  <c r="P32" i="8"/>
  <c r="P34" i="8"/>
  <c r="L52" i="8"/>
  <c r="L54" i="8"/>
  <c r="F80" i="8"/>
  <c r="P82" i="8"/>
  <c r="N82" i="8"/>
  <c r="F86" i="8"/>
  <c r="J92" i="8"/>
  <c r="K92" i="8" s="1"/>
  <c r="K100" i="8"/>
  <c r="Q102" i="8"/>
  <c r="G107" i="8"/>
  <c r="M109" i="8"/>
  <c r="I109" i="8" s="1"/>
  <c r="L112" i="8"/>
  <c r="J112" i="8"/>
  <c r="K112" i="8" s="1"/>
  <c r="F125" i="8"/>
  <c r="G132" i="8"/>
  <c r="P134" i="8"/>
  <c r="L150" i="8"/>
  <c r="H150" i="8" s="1"/>
  <c r="F160" i="8"/>
  <c r="P162" i="8"/>
  <c r="P176" i="8"/>
  <c r="G190" i="8"/>
  <c r="P196" i="8"/>
  <c r="F11" i="8"/>
  <c r="Q32" i="8"/>
  <c r="Q34" i="8"/>
  <c r="M52" i="8"/>
  <c r="I52" i="8" s="1"/>
  <c r="M54" i="8"/>
  <c r="I54" i="8" s="1"/>
  <c r="L56" i="8"/>
  <c r="J58" i="8"/>
  <c r="K58" i="8" s="1"/>
  <c r="K60" i="8"/>
  <c r="J62" i="8"/>
  <c r="K62" i="8" s="1"/>
  <c r="J70" i="8"/>
  <c r="K70" i="8" s="1"/>
  <c r="G76" i="8"/>
  <c r="Q76" i="8"/>
  <c r="F78" i="8"/>
  <c r="G80" i="8"/>
  <c r="F82" i="8"/>
  <c r="G84" i="8"/>
  <c r="G86" i="8"/>
  <c r="J88" i="8"/>
  <c r="K88" i="8" s="1"/>
  <c r="M100" i="8"/>
  <c r="I100" i="8" s="1"/>
  <c r="N105" i="8"/>
  <c r="M105" i="8"/>
  <c r="F105" i="8" s="1"/>
  <c r="G105" i="8"/>
  <c r="P109" i="8"/>
  <c r="F114" i="8"/>
  <c r="P139" i="8"/>
  <c r="M150" i="8"/>
  <c r="I150" i="8" s="1"/>
  <c r="M157" i="8"/>
  <c r="I157" i="8" s="1"/>
  <c r="J160" i="8"/>
  <c r="K160" i="8" s="1"/>
  <c r="Q162" i="8"/>
  <c r="G165" i="8"/>
  <c r="Q176" i="8"/>
  <c r="G179" i="8"/>
  <c r="G182" i="8"/>
  <c r="M182" i="8"/>
  <c r="I182" i="8" s="1"/>
  <c r="Q182" i="8"/>
  <c r="J182" i="8"/>
  <c r="K182" i="8" s="1"/>
  <c r="Q196" i="8"/>
  <c r="L199" i="8"/>
  <c r="H199" i="8" s="1"/>
  <c r="G212" i="8"/>
  <c r="N225" i="8"/>
  <c r="P225" i="8"/>
  <c r="G225" i="8"/>
  <c r="L225" i="8"/>
  <c r="K225" i="8"/>
  <c r="Q225" i="8"/>
  <c r="L228" i="8"/>
  <c r="H228" i="8" s="1"/>
  <c r="P231" i="8"/>
  <c r="L235" i="8"/>
  <c r="H235" i="8" s="1"/>
  <c r="N235" i="8"/>
  <c r="N329" i="8"/>
  <c r="M329" i="8"/>
  <c r="I329" i="8" s="1"/>
  <c r="L329" i="8"/>
  <c r="H329" i="8" s="1"/>
  <c r="N308" i="8"/>
  <c r="M308" i="8"/>
  <c r="I308" i="8" s="1"/>
  <c r="H332" i="8"/>
  <c r="O332" i="8"/>
  <c r="M320" i="8"/>
  <c r="I320" i="8" s="1"/>
  <c r="L320" i="8"/>
  <c r="H320" i="8" s="1"/>
  <c r="G344" i="8"/>
  <c r="Q344" i="8"/>
  <c r="P344" i="8"/>
  <c r="M344" i="8"/>
  <c r="I344" i="8" s="1"/>
  <c r="L344" i="8"/>
  <c r="H344" i="8" s="1"/>
  <c r="N344" i="8"/>
  <c r="J344" i="8"/>
  <c r="K344" i="8" s="1"/>
  <c r="Q292" i="8"/>
  <c r="N292" i="8"/>
  <c r="L292" i="8"/>
  <c r="H292" i="8" s="1"/>
  <c r="P292" i="8"/>
  <c r="M292" i="8"/>
  <c r="I292" i="8" s="1"/>
  <c r="G292" i="8"/>
  <c r="N300" i="8"/>
  <c r="J300" i="8"/>
  <c r="K300" i="8" s="1"/>
  <c r="Q300" i="8"/>
  <c r="P300" i="8"/>
  <c r="Q223" i="8"/>
  <c r="P223" i="8"/>
  <c r="G223" i="8"/>
  <c r="O223" i="8"/>
  <c r="J223" i="8"/>
  <c r="K223" i="8" s="1"/>
  <c r="G229" i="8"/>
  <c r="L229" i="8"/>
  <c r="F229" i="8" s="1"/>
  <c r="J229" i="8"/>
  <c r="K229" i="8" s="1"/>
  <c r="O103" i="8"/>
  <c r="G103" i="8"/>
  <c r="Q136" i="8"/>
  <c r="J136" i="8"/>
  <c r="K136" i="8" s="1"/>
  <c r="M136" i="8"/>
  <c r="I136" i="8" s="1"/>
  <c r="Q153" i="8"/>
  <c r="P153" i="8"/>
  <c r="G153" i="8"/>
  <c r="M173" i="8"/>
  <c r="I173" i="8" s="1"/>
  <c r="P173" i="8"/>
  <c r="N173" i="8"/>
  <c r="L173" i="8"/>
  <c r="H173" i="8" s="1"/>
  <c r="F223" i="8"/>
  <c r="L268" i="8"/>
  <c r="H268" i="8" s="1"/>
  <c r="J268" i="8"/>
  <c r="K268" i="8" s="1"/>
  <c r="G268" i="8"/>
  <c r="N268" i="8"/>
  <c r="M268" i="8"/>
  <c r="I268" i="8" s="1"/>
  <c r="G300" i="8"/>
  <c r="N305" i="8"/>
  <c r="L305" i="8"/>
  <c r="H305" i="8" s="1"/>
  <c r="H211" i="8"/>
  <c r="F211" i="8"/>
  <c r="M232" i="8"/>
  <c r="I232" i="8" s="1"/>
  <c r="Q232" i="8"/>
  <c r="G232" i="8"/>
  <c r="P232" i="8"/>
  <c r="M252" i="8"/>
  <c r="I252" i="8" s="1"/>
  <c r="J252" i="8"/>
  <c r="K252" i="8" s="1"/>
  <c r="P276" i="8"/>
  <c r="N276" i="8"/>
  <c r="M276" i="8"/>
  <c r="O276" i="8" s="1"/>
  <c r="K276" i="8"/>
  <c r="Q276" i="8"/>
  <c r="G276" i="8"/>
  <c r="J292" i="8"/>
  <c r="K292" i="8" s="1"/>
  <c r="L300" i="8"/>
  <c r="H300" i="8" s="1"/>
  <c r="Q346" i="8"/>
  <c r="G346" i="8"/>
  <c r="L346" i="8"/>
  <c r="H346" i="8" s="1"/>
  <c r="M346" i="8"/>
  <c r="I346" i="8" s="1"/>
  <c r="J346" i="8"/>
  <c r="K346" i="8" s="1"/>
  <c r="P346" i="8"/>
  <c r="N346" i="8"/>
  <c r="G293" i="8"/>
  <c r="J293" i="8"/>
  <c r="K293" i="8" s="1"/>
  <c r="N293" i="8"/>
  <c r="P293" i="8"/>
  <c r="M293" i="8"/>
  <c r="I293" i="8" s="1"/>
  <c r="Q293" i="8"/>
  <c r="L293" i="8"/>
  <c r="H293" i="8" s="1"/>
  <c r="N352" i="8"/>
  <c r="M352" i="8"/>
  <c r="I352" i="8" s="1"/>
  <c r="P352" i="8"/>
  <c r="L352" i="8"/>
  <c r="J352" i="8"/>
  <c r="K352" i="8" s="1"/>
  <c r="G352" i="8"/>
  <c r="Q352" i="8"/>
  <c r="J369" i="8"/>
  <c r="K369" i="8" s="1"/>
  <c r="G369" i="8"/>
  <c r="N369" i="8"/>
  <c r="M369" i="8"/>
  <c r="I369" i="8" s="1"/>
  <c r="L369" i="8"/>
  <c r="H369" i="8" s="1"/>
  <c r="Q369" i="8"/>
  <c r="P369" i="8"/>
  <c r="M322" i="8"/>
  <c r="I322" i="8" s="1"/>
  <c r="N322" i="8"/>
  <c r="L322" i="8"/>
  <c r="L317" i="8"/>
  <c r="H317" i="8" s="1"/>
  <c r="P250" i="8"/>
  <c r="Q250" i="8"/>
  <c r="G250" i="8"/>
  <c r="L250" i="8"/>
  <c r="H250" i="8" s="1"/>
  <c r="K250" i="8"/>
  <c r="N250" i="8"/>
  <c r="L274" i="8"/>
  <c r="H274" i="8" s="1"/>
  <c r="O256" i="8"/>
  <c r="F279" i="8"/>
  <c r="P279" i="8"/>
  <c r="Q279" i="8"/>
  <c r="O279" i="8"/>
  <c r="N279" i="8"/>
  <c r="J279" i="8"/>
  <c r="K279" i="8" s="1"/>
  <c r="H117" i="8"/>
  <c r="O117" i="8"/>
  <c r="G279" i="8"/>
  <c r="Q319" i="8"/>
  <c r="G319" i="8"/>
  <c r="P319" i="8"/>
  <c r="N319" i="8"/>
  <c r="M319" i="8"/>
  <c r="I319" i="8" s="1"/>
  <c r="L319" i="8"/>
  <c r="H319" i="8" s="1"/>
  <c r="J342" i="8"/>
  <c r="K342" i="8" s="1"/>
  <c r="N189" i="8"/>
  <c r="F189" i="8"/>
  <c r="G221" i="8"/>
  <c r="P274" i="8"/>
  <c r="J274" i="8"/>
  <c r="K274" i="8" s="1"/>
  <c r="N274" i="8"/>
  <c r="M274" i="8"/>
  <c r="I274" i="8" s="1"/>
  <c r="H299" i="8"/>
  <c r="N342" i="8"/>
  <c r="M379" i="8"/>
  <c r="I379" i="8" s="1"/>
  <c r="O37" i="8"/>
  <c r="M91" i="8"/>
  <c r="I91" i="8" s="1"/>
  <c r="P91" i="8"/>
  <c r="M93" i="8"/>
  <c r="I93" i="8" s="1"/>
  <c r="L93" i="8"/>
  <c r="O155" i="8"/>
  <c r="N155" i="8"/>
  <c r="J202" i="8"/>
  <c r="K202" i="8" s="1"/>
  <c r="L202" i="8"/>
  <c r="M246" i="8"/>
  <c r="G318" i="8"/>
  <c r="Q318" i="8"/>
  <c r="P318" i="8"/>
  <c r="M318" i="8"/>
  <c r="I318" i="8" s="1"/>
  <c r="J318" i="8"/>
  <c r="K318" i="8" s="1"/>
  <c r="P342" i="8"/>
  <c r="Q351" i="8"/>
  <c r="N351" i="8"/>
  <c r="K351" i="8"/>
  <c r="G351" i="8"/>
  <c r="M351" i="8"/>
  <c r="I351" i="8" s="1"/>
  <c r="L351" i="8"/>
  <c r="H351" i="8" s="1"/>
  <c r="L379" i="8"/>
  <c r="H379" i="8" s="1"/>
  <c r="M398" i="8"/>
  <c r="I398" i="8" s="1"/>
  <c r="L398" i="8"/>
  <c r="H398" i="8" s="1"/>
  <c r="N398" i="8"/>
  <c r="L413" i="8"/>
  <c r="H413" i="8" s="1"/>
  <c r="N413" i="8"/>
  <c r="J413" i="8"/>
  <c r="K413" i="8" s="1"/>
  <c r="Q413" i="8"/>
  <c r="M413" i="8"/>
  <c r="I413" i="8" s="1"/>
  <c r="G413" i="8"/>
  <c r="P413" i="8"/>
  <c r="F331" i="8"/>
  <c r="J343" i="8"/>
  <c r="K343" i="8" s="1"/>
  <c r="G343" i="8"/>
  <c r="L343" i="8"/>
  <c r="H343" i="8" s="1"/>
  <c r="P343" i="8"/>
  <c r="Q343" i="8"/>
  <c r="N343" i="8"/>
  <c r="M343" i="8"/>
  <c r="I343" i="8" s="1"/>
  <c r="H366" i="8"/>
  <c r="Q118" i="8"/>
  <c r="P118" i="8"/>
  <c r="F174" i="8"/>
  <c r="K174" i="8"/>
  <c r="L221" i="8"/>
  <c r="O238" i="8"/>
  <c r="M259" i="8"/>
  <c r="I259" i="8" s="1"/>
  <c r="J259" i="8"/>
  <c r="K259" i="8" s="1"/>
  <c r="P259" i="8"/>
  <c r="N259" i="8"/>
  <c r="L259" i="8"/>
  <c r="G259" i="8"/>
  <c r="N318" i="8"/>
  <c r="N348" i="8"/>
  <c r="Q348" i="8"/>
  <c r="L348" i="8"/>
  <c r="G348" i="8"/>
  <c r="P348" i="8"/>
  <c r="M348" i="8"/>
  <c r="I348" i="8" s="1"/>
  <c r="J348" i="8"/>
  <c r="K348" i="8" s="1"/>
  <c r="P351" i="8"/>
  <c r="O269" i="8"/>
  <c r="N269" i="8"/>
  <c r="Q269" i="8"/>
  <c r="F269" i="8"/>
  <c r="L306" i="8"/>
  <c r="O477" i="8"/>
  <c r="H477" i="8"/>
  <c r="K269" i="8"/>
  <c r="P325" i="8"/>
  <c r="Q325" i="8"/>
  <c r="J325" i="8"/>
  <c r="K325" i="8" s="1"/>
  <c r="N325" i="8"/>
  <c r="M325" i="8"/>
  <c r="I325" i="8" s="1"/>
  <c r="L325" i="8"/>
  <c r="M372" i="8"/>
  <c r="I372" i="8" s="1"/>
  <c r="N372" i="8"/>
  <c r="L372" i="8"/>
  <c r="H372" i="8" s="1"/>
  <c r="H388" i="8"/>
  <c r="Q257" i="8"/>
  <c r="J257" i="8"/>
  <c r="K257" i="8" s="1"/>
  <c r="N257" i="8"/>
  <c r="O262" i="8"/>
  <c r="P269" i="8"/>
  <c r="G295" i="8"/>
  <c r="M295" i="8"/>
  <c r="I295" i="8" s="1"/>
  <c r="P295" i="8"/>
  <c r="J295" i="8"/>
  <c r="K295" i="8" s="1"/>
  <c r="M353" i="8"/>
  <c r="I353" i="8" s="1"/>
  <c r="P353" i="8"/>
  <c r="Q353" i="8"/>
  <c r="L353" i="8"/>
  <c r="H353" i="8" s="1"/>
  <c r="N353" i="8"/>
  <c r="G353" i="8"/>
  <c r="M389" i="8"/>
  <c r="I389" i="8" s="1"/>
  <c r="L389" i="8"/>
  <c r="H389" i="8" s="1"/>
  <c r="G389" i="8"/>
  <c r="N389" i="8"/>
  <c r="J389" i="8"/>
  <c r="K389" i="8" s="1"/>
  <c r="P389" i="8"/>
  <c r="L422" i="8"/>
  <c r="H422" i="8" s="1"/>
  <c r="M422" i="8"/>
  <c r="I422" i="8" s="1"/>
  <c r="N422" i="8"/>
  <c r="M436" i="8"/>
  <c r="I436" i="8" s="1"/>
  <c r="P436" i="8"/>
  <c r="J436" i="8"/>
  <c r="K436" i="8" s="1"/>
  <c r="G436" i="8"/>
  <c r="Q436" i="8"/>
  <c r="N436" i="8"/>
  <c r="J316" i="8"/>
  <c r="K316" i="8" s="1"/>
  <c r="Q316" i="8"/>
  <c r="M316" i="8"/>
  <c r="I316" i="8" s="1"/>
  <c r="L316" i="8"/>
  <c r="M326" i="8"/>
  <c r="I326" i="8" s="1"/>
  <c r="L326" i="8"/>
  <c r="H326" i="8" s="1"/>
  <c r="P326" i="8"/>
  <c r="N326" i="8"/>
  <c r="J326" i="8"/>
  <c r="K326" i="8" s="1"/>
  <c r="H349" i="8"/>
  <c r="L436" i="8"/>
  <c r="H436" i="8" s="1"/>
  <c r="F286" i="8"/>
  <c r="H286" i="8"/>
  <c r="J307" i="8"/>
  <c r="K307" i="8" s="1"/>
  <c r="L307" i="8"/>
  <c r="O307" i="8" s="1"/>
  <c r="G316" i="8"/>
  <c r="G326" i="8"/>
  <c r="J353" i="8"/>
  <c r="K353" i="8" s="1"/>
  <c r="L357" i="8"/>
  <c r="H357" i="8" s="1"/>
  <c r="N357" i="8"/>
  <c r="M357" i="8"/>
  <c r="I357" i="8" s="1"/>
  <c r="L390" i="8"/>
  <c r="H390" i="8" s="1"/>
  <c r="N390" i="8"/>
  <c r="M390" i="8"/>
  <c r="I390" i="8" s="1"/>
  <c r="J390" i="8"/>
  <c r="K390" i="8" s="1"/>
  <c r="Q390" i="8"/>
  <c r="G390" i="8"/>
  <c r="P390" i="8"/>
  <c r="J416" i="8"/>
  <c r="K416" i="8" s="1"/>
  <c r="Q416" i="8"/>
  <c r="L416" i="8"/>
  <c r="H416" i="8" s="1"/>
  <c r="G416" i="8"/>
  <c r="N416" i="8"/>
  <c r="P416" i="8"/>
  <c r="M416" i="8"/>
  <c r="I416" i="8" s="1"/>
  <c r="P373" i="8"/>
  <c r="Q373" i="8"/>
  <c r="N373" i="8"/>
  <c r="L373" i="8"/>
  <c r="H373" i="8" s="1"/>
  <c r="J373" i="8"/>
  <c r="K373" i="8" s="1"/>
  <c r="O286" i="8"/>
  <c r="Q326" i="8"/>
  <c r="G373" i="8"/>
  <c r="G342" i="8"/>
  <c r="M342" i="8"/>
  <c r="I342" i="8" s="1"/>
  <c r="L342" i="8"/>
  <c r="H342" i="8" s="1"/>
  <c r="N358" i="8"/>
  <c r="L358" i="8"/>
  <c r="H358" i="8" s="1"/>
  <c r="M358" i="8"/>
  <c r="I358" i="8" s="1"/>
  <c r="F396" i="8"/>
  <c r="H396" i="8"/>
  <c r="F152" i="8"/>
  <c r="M197" i="8"/>
  <c r="I197" i="8" s="1"/>
  <c r="G197" i="8"/>
  <c r="L197" i="8"/>
  <c r="Q228" i="8"/>
  <c r="P228" i="8"/>
  <c r="K228" i="8"/>
  <c r="L271" i="8"/>
  <c r="H271" i="8" s="1"/>
  <c r="G271" i="8"/>
  <c r="L282" i="8"/>
  <c r="F282" i="8" s="1"/>
  <c r="O284" i="8"/>
  <c r="O296" i="8"/>
  <c r="K296" i="8"/>
  <c r="F296" i="8"/>
  <c r="P296" i="8"/>
  <c r="N296" i="8"/>
  <c r="G296" i="8"/>
  <c r="P307" i="8"/>
  <c r="M330" i="8"/>
  <c r="I330" i="8" s="1"/>
  <c r="J330" i="8"/>
  <c r="K330" i="8" s="1"/>
  <c r="G330" i="8"/>
  <c r="Q330" i="8"/>
  <c r="P330" i="8"/>
  <c r="M374" i="8"/>
  <c r="I374" i="8" s="1"/>
  <c r="F233" i="8"/>
  <c r="Q261" i="8"/>
  <c r="P261" i="8"/>
  <c r="N261" i="8"/>
  <c r="M261" i="8"/>
  <c r="I261" i="8" s="1"/>
  <c r="N282" i="8"/>
  <c r="Q307" i="8"/>
  <c r="M187" i="8"/>
  <c r="I187" i="8" s="1"/>
  <c r="L187" i="8"/>
  <c r="P204" i="8"/>
  <c r="G204" i="8"/>
  <c r="M204" i="8"/>
  <c r="I204" i="8" s="1"/>
  <c r="M294" i="8"/>
  <c r="K294" i="8"/>
  <c r="P294" i="8"/>
  <c r="J317" i="8"/>
  <c r="K317" i="8" s="1"/>
  <c r="Q317" i="8"/>
  <c r="N317" i="8"/>
  <c r="P317" i="8"/>
  <c r="P323" i="8"/>
  <c r="L323" i="8"/>
  <c r="O323" i="8" s="1"/>
  <c r="J323" i="8"/>
  <c r="K323" i="8" s="1"/>
  <c r="G323" i="8"/>
  <c r="Q323" i="8"/>
  <c r="O429" i="8"/>
  <c r="N341" i="8"/>
  <c r="L341" i="8"/>
  <c r="L401" i="8"/>
  <c r="P401" i="8"/>
  <c r="J401" i="8"/>
  <c r="K401" i="8" s="1"/>
  <c r="G401" i="8"/>
  <c r="Q401" i="8"/>
  <c r="G417" i="8"/>
  <c r="P417" i="8"/>
  <c r="L417" i="8"/>
  <c r="H417" i="8" s="1"/>
  <c r="N417" i="8"/>
  <c r="J417" i="8"/>
  <c r="K417" i="8" s="1"/>
  <c r="Q417" i="8"/>
  <c r="M417" i="8"/>
  <c r="I417" i="8" s="1"/>
  <c r="J381" i="8"/>
  <c r="K381" i="8" s="1"/>
  <c r="Q381" i="8"/>
  <c r="M381" i="8"/>
  <c r="I381" i="8" s="1"/>
  <c r="N381" i="8"/>
  <c r="M401" i="8"/>
  <c r="I401" i="8" s="1"/>
  <c r="Q412" i="8"/>
  <c r="G412" i="8"/>
  <c r="P412" i="8"/>
  <c r="N412" i="8"/>
  <c r="L412" i="8"/>
  <c r="M412" i="8"/>
  <c r="I412" i="8" s="1"/>
  <c r="L418" i="8"/>
  <c r="H418" i="8" s="1"/>
  <c r="I502" i="8"/>
  <c r="O502" i="8"/>
  <c r="F502" i="8"/>
  <c r="Q510" i="8"/>
  <c r="P510" i="8"/>
  <c r="G510" i="8"/>
  <c r="M510" i="8"/>
  <c r="I510" i="8" s="1"/>
  <c r="N510" i="8"/>
  <c r="L510" i="8"/>
  <c r="H510" i="8" s="1"/>
  <c r="J510" i="8"/>
  <c r="K510" i="8" s="1"/>
  <c r="N382" i="8"/>
  <c r="G382" i="8"/>
  <c r="P382" i="8"/>
  <c r="L382" i="8"/>
  <c r="F382" i="8" s="1"/>
  <c r="Q382" i="8"/>
  <c r="J382" i="8"/>
  <c r="K382" i="8" s="1"/>
  <c r="O430" i="8"/>
  <c r="J378" i="8"/>
  <c r="K378" i="8" s="1"/>
  <c r="Q378" i="8"/>
  <c r="P378" i="8"/>
  <c r="M378" i="8"/>
  <c r="I378" i="8" s="1"/>
  <c r="L378" i="8"/>
  <c r="H378" i="8" s="1"/>
  <c r="H370" i="8"/>
  <c r="O370" i="8"/>
  <c r="F370" i="8"/>
  <c r="N461" i="8"/>
  <c r="P461" i="8"/>
  <c r="G461" i="8"/>
  <c r="M461" i="8"/>
  <c r="I461" i="8" s="1"/>
  <c r="L461" i="8"/>
  <c r="H461" i="8" s="1"/>
  <c r="Q461" i="8"/>
  <c r="J461" i="8"/>
  <c r="K461" i="8" s="1"/>
  <c r="N340" i="8"/>
  <c r="M340" i="8"/>
  <c r="I340" i="8" s="1"/>
  <c r="N462" i="8"/>
  <c r="M462" i="8"/>
  <c r="I462" i="8" s="1"/>
  <c r="L462" i="8"/>
  <c r="H462" i="8" s="1"/>
  <c r="J462" i="8"/>
  <c r="K462" i="8" s="1"/>
  <c r="G462" i="8"/>
  <c r="P462" i="8"/>
  <c r="O331" i="8"/>
  <c r="H331" i="8"/>
  <c r="M375" i="8"/>
  <c r="I375" i="8" s="1"/>
  <c r="Q375" i="8"/>
  <c r="P375" i="8"/>
  <c r="N375" i="8"/>
  <c r="L375" i="8"/>
  <c r="H375" i="8" s="1"/>
  <c r="G375" i="8"/>
  <c r="J415" i="8"/>
  <c r="K415" i="8" s="1"/>
  <c r="N415" i="8"/>
  <c r="P415" i="8"/>
  <c r="M415" i="8"/>
  <c r="I415" i="8" s="1"/>
  <c r="L415" i="8"/>
  <c r="H415" i="8" s="1"/>
  <c r="G415" i="8"/>
  <c r="L364" i="8"/>
  <c r="O364" i="8" s="1"/>
  <c r="G364" i="8"/>
  <c r="N364" i="8"/>
  <c r="P364" i="8"/>
  <c r="Q364" i="8"/>
  <c r="N367" i="8"/>
  <c r="J367" i="8"/>
  <c r="K367" i="8" s="1"/>
  <c r="G367" i="8"/>
  <c r="P367" i="8"/>
  <c r="L367" i="8"/>
  <c r="M367" i="8"/>
  <c r="I367" i="8" s="1"/>
  <c r="K375" i="8"/>
  <c r="G235" i="8"/>
  <c r="Q247" i="8"/>
  <c r="O247" i="8"/>
  <c r="N247" i="8"/>
  <c r="L280" i="8"/>
  <c r="J280" i="8"/>
  <c r="K280" i="8" s="1"/>
  <c r="Q280" i="8"/>
  <c r="G303" i="8"/>
  <c r="P303" i="8"/>
  <c r="K303" i="8"/>
  <c r="M303" i="8"/>
  <c r="I303" i="8" s="1"/>
  <c r="G308" i="8"/>
  <c r="L308" i="8"/>
  <c r="P308" i="8"/>
  <c r="K308" i="8"/>
  <c r="Q442" i="8"/>
  <c r="P442" i="8"/>
  <c r="N442" i="8"/>
  <c r="M442" i="8"/>
  <c r="I442" i="8" s="1"/>
  <c r="L442" i="8"/>
  <c r="J442" i="8"/>
  <c r="K442" i="8" s="1"/>
  <c r="G442" i="8"/>
  <c r="M406" i="8"/>
  <c r="I406" i="8" s="1"/>
  <c r="N406" i="8"/>
  <c r="L406" i="8"/>
  <c r="H406" i="8" s="1"/>
  <c r="L443" i="8"/>
  <c r="H443" i="8" s="1"/>
  <c r="Q443" i="8"/>
  <c r="P443" i="8"/>
  <c r="G443" i="8"/>
  <c r="J443" i="8"/>
  <c r="K443" i="8" s="1"/>
  <c r="N443" i="8"/>
  <c r="M452" i="8"/>
  <c r="I452" i="8" s="1"/>
  <c r="P452" i="8"/>
  <c r="N452" i="8"/>
  <c r="G452" i="8"/>
  <c r="Q452" i="8"/>
  <c r="L452" i="8"/>
  <c r="H452" i="8" s="1"/>
  <c r="J452" i="8"/>
  <c r="K452" i="8" s="1"/>
  <c r="N379" i="8"/>
  <c r="Q379" i="8"/>
  <c r="P379" i="8"/>
  <c r="J301" i="8"/>
  <c r="K301" i="8" s="1"/>
  <c r="L301" i="8"/>
  <c r="M301" i="8"/>
  <c r="I301" i="8" s="1"/>
  <c r="G379" i="8"/>
  <c r="I476" i="8"/>
  <c r="G350" i="8"/>
  <c r="K350" i="8"/>
  <c r="P350" i="8"/>
  <c r="L350" i="8"/>
  <c r="H350" i="8" s="1"/>
  <c r="M350" i="8"/>
  <c r="I350" i="8" s="1"/>
  <c r="J379" i="8"/>
  <c r="K379" i="8" s="1"/>
  <c r="L403" i="8"/>
  <c r="H403" i="8" s="1"/>
  <c r="Q403" i="8"/>
  <c r="M403" i="8"/>
  <c r="I403" i="8" s="1"/>
  <c r="G403" i="8"/>
  <c r="N403" i="8"/>
  <c r="K403" i="8"/>
  <c r="J465" i="8"/>
  <c r="K465" i="8" s="1"/>
  <c r="M465" i="8"/>
  <c r="I465" i="8" s="1"/>
  <c r="Q465" i="8"/>
  <c r="P465" i="8"/>
  <c r="G465" i="8"/>
  <c r="L465" i="8"/>
  <c r="H465" i="8" s="1"/>
  <c r="N445" i="8"/>
  <c r="P466" i="8"/>
  <c r="M466" i="8"/>
  <c r="I466" i="8" s="1"/>
  <c r="L466" i="8"/>
  <c r="H466" i="8" s="1"/>
  <c r="Q466" i="8"/>
  <c r="N466" i="8"/>
  <c r="J466" i="8"/>
  <c r="K466" i="8" s="1"/>
  <c r="Q380" i="8"/>
  <c r="M380" i="8"/>
  <c r="I380" i="8" s="1"/>
  <c r="J380" i="8"/>
  <c r="K380" i="8" s="1"/>
  <c r="N380" i="8"/>
  <c r="G380" i="8"/>
  <c r="L380" i="8"/>
  <c r="H380" i="8" s="1"/>
  <c r="G466" i="8"/>
  <c r="N426" i="8"/>
  <c r="M426" i="8"/>
  <c r="I426" i="8" s="1"/>
  <c r="J426" i="8"/>
  <c r="K426" i="8" s="1"/>
  <c r="Q426" i="8"/>
  <c r="G426" i="8"/>
  <c r="P426" i="8"/>
  <c r="G536" i="8"/>
  <c r="L536" i="8"/>
  <c r="H536" i="8" s="1"/>
  <c r="J536" i="8"/>
  <c r="K536" i="8" s="1"/>
  <c r="P536" i="8"/>
  <c r="M536" i="8"/>
  <c r="I536" i="8" s="1"/>
  <c r="Q536" i="8"/>
  <c r="N536" i="8"/>
  <c r="H494" i="8"/>
  <c r="P478" i="8"/>
  <c r="N478" i="8"/>
  <c r="L478" i="8"/>
  <c r="H478" i="8" s="1"/>
  <c r="J478" i="8"/>
  <c r="K478" i="8" s="1"/>
  <c r="Q478" i="8"/>
  <c r="M478" i="8"/>
  <c r="I478" i="8" s="1"/>
  <c r="G478" i="8"/>
  <c r="J519" i="8"/>
  <c r="K519" i="8" s="1"/>
  <c r="Q519" i="8"/>
  <c r="G519" i="8"/>
  <c r="N519" i="8"/>
  <c r="M519" i="8"/>
  <c r="I519" i="8" s="1"/>
  <c r="P519" i="8"/>
  <c r="L519" i="8"/>
  <c r="H519" i="8" s="1"/>
  <c r="G444" i="8"/>
  <c r="N444" i="8"/>
  <c r="L444" i="8"/>
  <c r="Q444" i="8"/>
  <c r="M444" i="8"/>
  <c r="I444" i="8" s="1"/>
  <c r="K464" i="8"/>
  <c r="N464" i="8"/>
  <c r="M464" i="8"/>
  <c r="I464" i="8" s="1"/>
  <c r="P464" i="8"/>
  <c r="Q464" i="8"/>
  <c r="L464" i="8"/>
  <c r="H464" i="8" s="1"/>
  <c r="H500" i="8"/>
  <c r="Q508" i="8"/>
  <c r="L508" i="8"/>
  <c r="H508" i="8" s="1"/>
  <c r="G508" i="8"/>
  <c r="N508" i="8"/>
  <c r="P508" i="8"/>
  <c r="J508" i="8"/>
  <c r="K508" i="8" s="1"/>
  <c r="M540" i="8"/>
  <c r="I540" i="8" s="1"/>
  <c r="J540" i="8"/>
  <c r="K540" i="8" s="1"/>
  <c r="Q540" i="8"/>
  <c r="P540" i="8"/>
  <c r="N540" i="8"/>
  <c r="L540" i="8"/>
  <c r="H540" i="8" s="1"/>
  <c r="G540" i="8"/>
  <c r="N199" i="8"/>
  <c r="Q199" i="8"/>
  <c r="J199" i="8"/>
  <c r="K199" i="8" s="1"/>
  <c r="J201" i="8"/>
  <c r="K201" i="8" s="1"/>
  <c r="O201" i="8"/>
  <c r="M203" i="8"/>
  <c r="I203" i="8" s="1"/>
  <c r="O207" i="8"/>
  <c r="F207" i="8"/>
  <c r="G282" i="8"/>
  <c r="J282" i="8"/>
  <c r="K282" i="8" s="1"/>
  <c r="Q304" i="8"/>
  <c r="J304" i="8"/>
  <c r="K304" i="8" s="1"/>
  <c r="G309" i="8"/>
  <c r="L309" i="8"/>
  <c r="M309" i="8"/>
  <c r="I309" i="8" s="1"/>
  <c r="L18" i="8"/>
  <c r="H18" i="8" s="1"/>
  <c r="N117" i="8"/>
  <c r="N152" i="8"/>
  <c r="K152" i="8"/>
  <c r="F163" i="8"/>
  <c r="O178" i="8"/>
  <c r="F201" i="8"/>
  <c r="G203" i="8"/>
  <c r="G207" i="8"/>
  <c r="O237" i="8"/>
  <c r="L253" i="8"/>
  <c r="K253" i="8"/>
  <c r="N253" i="8"/>
  <c r="Q253" i="8"/>
  <c r="J262" i="8"/>
  <c r="K262" i="8" s="1"/>
  <c r="F304" i="8"/>
  <c r="Q333" i="8"/>
  <c r="O333" i="8"/>
  <c r="N333" i="8"/>
  <c r="O356" i="8"/>
  <c r="J356" i="8"/>
  <c r="K356" i="8" s="1"/>
  <c r="N356" i="8"/>
  <c r="G356" i="8"/>
  <c r="J377" i="8"/>
  <c r="K377" i="8" s="1"/>
  <c r="Q377" i="8"/>
  <c r="L377" i="8"/>
  <c r="H377" i="8" s="1"/>
  <c r="G467" i="8"/>
  <c r="N467" i="8"/>
  <c r="L467" i="8"/>
  <c r="J467" i="8"/>
  <c r="K467" i="8" s="1"/>
  <c r="Q467" i="8"/>
  <c r="M467" i="8"/>
  <c r="I467" i="8" s="1"/>
  <c r="M471" i="8"/>
  <c r="O471" i="8" s="1"/>
  <c r="N471" i="8"/>
  <c r="Q471" i="8"/>
  <c r="K471" i="8"/>
  <c r="G471" i="8"/>
  <c r="L498" i="8"/>
  <c r="H498" i="8" s="1"/>
  <c r="N498" i="8"/>
  <c r="J498" i="8"/>
  <c r="K498" i="8" s="1"/>
  <c r="G498" i="8"/>
  <c r="Q498" i="8"/>
  <c r="I522" i="8"/>
  <c r="F522" i="8"/>
  <c r="P394" i="8"/>
  <c r="M394" i="8"/>
  <c r="I394" i="8" s="1"/>
  <c r="K394" i="8"/>
  <c r="G394" i="8"/>
  <c r="J438" i="8"/>
  <c r="K438" i="8" s="1"/>
  <c r="Q438" i="8"/>
  <c r="N438" i="8"/>
  <c r="M438" i="8"/>
  <c r="I438" i="8" s="1"/>
  <c r="L438" i="8"/>
  <c r="G438" i="8"/>
  <c r="N484" i="8"/>
  <c r="L484" i="8"/>
  <c r="H484" i="8" s="1"/>
  <c r="P484" i="8"/>
  <c r="M484" i="8"/>
  <c r="I484" i="8" s="1"/>
  <c r="Q484" i="8"/>
  <c r="J484" i="8"/>
  <c r="K484" i="8" s="1"/>
  <c r="M498" i="8"/>
  <c r="I498" i="8" s="1"/>
  <c r="L402" i="8"/>
  <c r="M402" i="8"/>
  <c r="I402" i="8" s="1"/>
  <c r="K402" i="8"/>
  <c r="M450" i="8"/>
  <c r="I450" i="8" s="1"/>
  <c r="L450" i="8"/>
  <c r="O470" i="8"/>
  <c r="J470" i="8"/>
  <c r="K470" i="8" s="1"/>
  <c r="Q470" i="8"/>
  <c r="F470" i="8"/>
  <c r="N470" i="8"/>
  <c r="G470" i="8"/>
  <c r="G485" i="8"/>
  <c r="M485" i="8"/>
  <c r="I485" i="8" s="1"/>
  <c r="L485" i="8"/>
  <c r="N485" i="8"/>
  <c r="J485" i="8"/>
  <c r="K485" i="8" s="1"/>
  <c r="M488" i="8"/>
  <c r="O488" i="8" s="1"/>
  <c r="Q492" i="8"/>
  <c r="L492" i="8"/>
  <c r="O492" i="8" s="1"/>
  <c r="P492" i="8"/>
  <c r="G513" i="8"/>
  <c r="J513" i="8"/>
  <c r="K513" i="8" s="1"/>
  <c r="P513" i="8"/>
  <c r="N513" i="8"/>
  <c r="M513" i="8"/>
  <c r="I513" i="8" s="1"/>
  <c r="L513" i="8"/>
  <c r="N525" i="8"/>
  <c r="M525" i="8"/>
  <c r="I525" i="8" s="1"/>
  <c r="L525" i="8"/>
  <c r="H525" i="8" s="1"/>
  <c r="J525" i="8"/>
  <c r="K525" i="8" s="1"/>
  <c r="G525" i="8"/>
  <c r="N532" i="8"/>
  <c r="J405" i="8"/>
  <c r="K405" i="8" s="1"/>
  <c r="Q405" i="8"/>
  <c r="M405" i="8"/>
  <c r="I405" i="8" s="1"/>
  <c r="N405" i="8"/>
  <c r="L414" i="8"/>
  <c r="F414" i="8" s="1"/>
  <c r="M447" i="8"/>
  <c r="I447" i="8" s="1"/>
  <c r="J447" i="8"/>
  <c r="K447" i="8" s="1"/>
  <c r="Q447" i="8"/>
  <c r="N447" i="8"/>
  <c r="N517" i="8"/>
  <c r="G517" i="8"/>
  <c r="J517" i="8"/>
  <c r="K517" i="8" s="1"/>
  <c r="P517" i="8"/>
  <c r="Q517" i="8"/>
  <c r="M305" i="8"/>
  <c r="I305" i="8" s="1"/>
  <c r="K305" i="8"/>
  <c r="N320" i="8"/>
  <c r="Q320" i="8"/>
  <c r="M341" i="8"/>
  <c r="I341" i="8" s="1"/>
  <c r="J341" i="8"/>
  <c r="K341" i="8" s="1"/>
  <c r="P341" i="8"/>
  <c r="N468" i="8"/>
  <c r="F489" i="8"/>
  <c r="J492" i="8"/>
  <c r="K492" i="8" s="1"/>
  <c r="G509" i="8"/>
  <c r="K509" i="8"/>
  <c r="Q509" i="8"/>
  <c r="P509" i="8"/>
  <c r="M509" i="8"/>
  <c r="I509" i="8" s="1"/>
  <c r="P525" i="8"/>
  <c r="Q513" i="8"/>
  <c r="M517" i="8"/>
  <c r="I517" i="8" s="1"/>
  <c r="M365" i="8"/>
  <c r="I365" i="8" s="1"/>
  <c r="L365" i="8"/>
  <c r="J365" i="8"/>
  <c r="K365" i="8" s="1"/>
  <c r="M400" i="8"/>
  <c r="I400" i="8" s="1"/>
  <c r="N400" i="8"/>
  <c r="L400" i="8"/>
  <c r="H400" i="8" s="1"/>
  <c r="P400" i="8"/>
  <c r="Q420" i="8"/>
  <c r="O420" i="8"/>
  <c r="J420" i="8"/>
  <c r="K420" i="8" s="1"/>
  <c r="O489" i="8"/>
  <c r="M526" i="8"/>
  <c r="I526" i="8" s="1"/>
  <c r="P526" i="8"/>
  <c r="L526" i="8"/>
  <c r="H526" i="8" s="1"/>
  <c r="J526" i="8"/>
  <c r="K526" i="8" s="1"/>
  <c r="N518" i="8"/>
  <c r="Q518" i="8"/>
  <c r="M518" i="8"/>
  <c r="I518" i="8" s="1"/>
  <c r="L518" i="8"/>
  <c r="J518" i="8"/>
  <c r="K518" i="8" s="1"/>
  <c r="P518" i="8"/>
  <c r="G526" i="8"/>
  <c r="Q448" i="8"/>
  <c r="N448" i="8"/>
  <c r="J448" i="8"/>
  <c r="K448" i="8" s="1"/>
  <c r="L451" i="8"/>
  <c r="L490" i="8"/>
  <c r="H490" i="8" s="1"/>
  <c r="Q490" i="8"/>
  <c r="J490" i="8"/>
  <c r="K490" i="8" s="1"/>
  <c r="G490" i="8"/>
  <c r="M490" i="8"/>
  <c r="I490" i="8" s="1"/>
  <c r="G518" i="8"/>
  <c r="J565" i="8"/>
  <c r="K565" i="8" s="1"/>
  <c r="P565" i="8"/>
  <c r="N565" i="8"/>
  <c r="L565" i="8"/>
  <c r="H565" i="8" s="1"/>
  <c r="G565" i="8"/>
  <c r="H622" i="8"/>
  <c r="H514" i="8"/>
  <c r="O514" i="8"/>
  <c r="F514" i="8"/>
  <c r="Q542" i="8"/>
  <c r="P542" i="8"/>
  <c r="M542" i="8"/>
  <c r="I542" i="8" s="1"/>
  <c r="N542" i="8"/>
  <c r="L542" i="8"/>
  <c r="K542" i="8"/>
  <c r="M556" i="8"/>
  <c r="I556" i="8" s="1"/>
  <c r="J556" i="8"/>
  <c r="K556" i="8" s="1"/>
  <c r="Q556" i="8"/>
  <c r="N556" i="8"/>
  <c r="P556" i="8"/>
  <c r="M565" i="8"/>
  <c r="I565" i="8" s="1"/>
  <c r="M582" i="8"/>
  <c r="I582" i="8" s="1"/>
  <c r="J582" i="8"/>
  <c r="K582" i="8" s="1"/>
  <c r="N582" i="8"/>
  <c r="Q582" i="8"/>
  <c r="G582" i="8"/>
  <c r="P582" i="8"/>
  <c r="L582" i="8"/>
  <c r="H582" i="8" s="1"/>
  <c r="Q565" i="8"/>
  <c r="L448" i="8"/>
  <c r="H448" i="8" s="1"/>
  <c r="N490" i="8"/>
  <c r="O299" i="8"/>
  <c r="J299" i="8"/>
  <c r="K299" i="8" s="1"/>
  <c r="Q299" i="8"/>
  <c r="N418" i="8"/>
  <c r="M418" i="8"/>
  <c r="I418" i="8" s="1"/>
  <c r="M448" i="8"/>
  <c r="I448" i="8" s="1"/>
  <c r="J454" i="8"/>
  <c r="K454" i="8" s="1"/>
  <c r="L454" i="8"/>
  <c r="G454" i="8"/>
  <c r="J463" i="8"/>
  <c r="K463" i="8" s="1"/>
  <c r="M463" i="8"/>
  <c r="I463" i="8" s="1"/>
  <c r="L463" i="8"/>
  <c r="H463" i="8" s="1"/>
  <c r="G463" i="8"/>
  <c r="P469" i="8"/>
  <c r="L469" i="8"/>
  <c r="M469" i="8"/>
  <c r="I469" i="8" s="1"/>
  <c r="P448" i="8"/>
  <c r="K472" i="8"/>
  <c r="G472" i="8"/>
  <c r="Q472" i="8"/>
  <c r="L472" i="8"/>
  <c r="H472" i="8" s="1"/>
  <c r="N472" i="8"/>
  <c r="P490" i="8"/>
  <c r="G511" i="8"/>
  <c r="J511" i="8"/>
  <c r="K511" i="8" s="1"/>
  <c r="Q511" i="8"/>
  <c r="M511" i="8"/>
  <c r="I511" i="8" s="1"/>
  <c r="L511" i="8"/>
  <c r="L523" i="8"/>
  <c r="H523" i="8" s="1"/>
  <c r="K523" i="8"/>
  <c r="P523" i="8"/>
  <c r="N523" i="8"/>
  <c r="M523" i="8"/>
  <c r="I523" i="8" s="1"/>
  <c r="G186" i="8"/>
  <c r="Q186" i="8"/>
  <c r="L209" i="8"/>
  <c r="H209" i="8" s="1"/>
  <c r="G238" i="8"/>
  <c r="N238" i="8"/>
  <c r="J238" i="8"/>
  <c r="K238" i="8" s="1"/>
  <c r="F281" i="8"/>
  <c r="Q281" i="8"/>
  <c r="N285" i="8"/>
  <c r="O285" i="8"/>
  <c r="Q285" i="8"/>
  <c r="M306" i="8"/>
  <c r="I306" i="8" s="1"/>
  <c r="K306" i="8"/>
  <c r="N306" i="8"/>
  <c r="K340" i="8"/>
  <c r="G340" i="8"/>
  <c r="N366" i="8"/>
  <c r="K366" i="8"/>
  <c r="G366" i="8"/>
  <c r="L404" i="8"/>
  <c r="F404" i="8" s="1"/>
  <c r="L437" i="8"/>
  <c r="H437" i="8" s="1"/>
  <c r="P437" i="8"/>
  <c r="N437" i="8"/>
  <c r="O440" i="8"/>
  <c r="G440" i="8"/>
  <c r="N440" i="8"/>
  <c r="K440" i="8"/>
  <c r="M451" i="8"/>
  <c r="I451" i="8" s="1"/>
  <c r="G469" i="8"/>
  <c r="I310" i="8"/>
  <c r="O310" i="8"/>
  <c r="P328" i="8"/>
  <c r="J328" i="8"/>
  <c r="K328" i="8" s="1"/>
  <c r="F328" i="8"/>
  <c r="P355" i="8"/>
  <c r="N355" i="8"/>
  <c r="Q355" i="8"/>
  <c r="L355" i="8"/>
  <c r="F366" i="8"/>
  <c r="N376" i="8"/>
  <c r="M376" i="8"/>
  <c r="O376" i="8" s="1"/>
  <c r="P376" i="8"/>
  <c r="G376" i="8"/>
  <c r="Q396" i="8"/>
  <c r="O396" i="8"/>
  <c r="J418" i="8"/>
  <c r="K418" i="8" s="1"/>
  <c r="M428" i="8"/>
  <c r="I428" i="8" s="1"/>
  <c r="G437" i="8"/>
  <c r="F440" i="8"/>
  <c r="J449" i="8"/>
  <c r="K449" i="8" s="1"/>
  <c r="M449" i="8"/>
  <c r="I449" i="8" s="1"/>
  <c r="Q449" i="8"/>
  <c r="N451" i="8"/>
  <c r="N463" i="8"/>
  <c r="Q501" i="8"/>
  <c r="J501" i="8"/>
  <c r="K501" i="8" s="1"/>
  <c r="L501" i="8"/>
  <c r="H501" i="8" s="1"/>
  <c r="M501" i="8"/>
  <c r="I501" i="8" s="1"/>
  <c r="N428" i="8"/>
  <c r="J446" i="8"/>
  <c r="K446" i="8" s="1"/>
  <c r="G446" i="8"/>
  <c r="M454" i="8"/>
  <c r="I454" i="8" s="1"/>
  <c r="P463" i="8"/>
  <c r="J469" i="8"/>
  <c r="K469" i="8" s="1"/>
  <c r="L520" i="8"/>
  <c r="P520" i="8"/>
  <c r="Q520" i="8"/>
  <c r="M520" i="8"/>
  <c r="I520" i="8" s="1"/>
  <c r="L562" i="8"/>
  <c r="H562" i="8" s="1"/>
  <c r="J562" i="8"/>
  <c r="K562" i="8" s="1"/>
  <c r="M562" i="8"/>
  <c r="I562" i="8" s="1"/>
  <c r="P562" i="8"/>
  <c r="G562" i="8"/>
  <c r="Q562" i="8"/>
  <c r="P610" i="8"/>
  <c r="M610" i="8"/>
  <c r="I610" i="8" s="1"/>
  <c r="Q610" i="8"/>
  <c r="N610" i="8"/>
  <c r="L610" i="8"/>
  <c r="H610" i="8" s="1"/>
  <c r="J610" i="8"/>
  <c r="K610" i="8" s="1"/>
  <c r="G610" i="8"/>
  <c r="M524" i="8"/>
  <c r="I524" i="8" s="1"/>
  <c r="L524" i="8"/>
  <c r="H524" i="8" s="1"/>
  <c r="P524" i="8"/>
  <c r="G524" i="8"/>
  <c r="N524" i="8"/>
  <c r="K524" i="8"/>
  <c r="N404" i="8"/>
  <c r="Q418" i="8"/>
  <c r="F429" i="8"/>
  <c r="J429" i="8"/>
  <c r="K429" i="8" s="1"/>
  <c r="G429" i="8"/>
  <c r="P440" i="8"/>
  <c r="M446" i="8"/>
  <c r="I446" i="8" s="1"/>
  <c r="Q454" i="8"/>
  <c r="Q469" i="8"/>
  <c r="H547" i="8"/>
  <c r="F547" i="8"/>
  <c r="G491" i="8"/>
  <c r="J491" i="8"/>
  <c r="K491" i="8" s="1"/>
  <c r="Q491" i="8"/>
  <c r="M491" i="8"/>
  <c r="I491" i="8" s="1"/>
  <c r="L497" i="8"/>
  <c r="M497" i="8"/>
  <c r="I497" i="8" s="1"/>
  <c r="P621" i="8"/>
  <c r="Q621" i="8"/>
  <c r="N621" i="8"/>
  <c r="M621" i="8"/>
  <c r="I621" i="8" s="1"/>
  <c r="J621" i="8"/>
  <c r="K621" i="8" s="1"/>
  <c r="G621" i="8"/>
  <c r="N638" i="8"/>
  <c r="M638" i="8"/>
  <c r="I638" i="8" s="1"/>
  <c r="L638" i="8"/>
  <c r="H638" i="8" s="1"/>
  <c r="P638" i="8"/>
  <c r="J638" i="8"/>
  <c r="K638" i="8" s="1"/>
  <c r="G638" i="8"/>
  <c r="P609" i="8"/>
  <c r="N609" i="8"/>
  <c r="Q609" i="8"/>
  <c r="G609" i="8"/>
  <c r="L609" i="8"/>
  <c r="H609" i="8" s="1"/>
  <c r="J609" i="8"/>
  <c r="K609" i="8" s="1"/>
  <c r="N550" i="8"/>
  <c r="M550" i="8"/>
  <c r="I550" i="8" s="1"/>
  <c r="M609" i="8"/>
  <c r="I609" i="8" s="1"/>
  <c r="J653" i="8"/>
  <c r="K653" i="8" s="1"/>
  <c r="N653" i="8"/>
  <c r="M653" i="8"/>
  <c r="I653" i="8" s="1"/>
  <c r="L653" i="8"/>
  <c r="H653" i="8" s="1"/>
  <c r="Q653" i="8"/>
  <c r="P653" i="8"/>
  <c r="G653" i="8"/>
  <c r="A9" i="9"/>
  <c r="G557" i="8"/>
  <c r="G561" i="8"/>
  <c r="G558" i="8"/>
  <c r="G427" i="8"/>
  <c r="G468" i="8"/>
  <c r="G636" i="8"/>
  <c r="G605" i="8"/>
  <c r="G572" i="8"/>
  <c r="G424" i="8"/>
  <c r="G629" i="8"/>
  <c r="G590" i="8"/>
  <c r="A33" i="9"/>
  <c r="B637" i="8"/>
  <c r="B541" i="8"/>
  <c r="B661" i="8"/>
  <c r="B613" i="8"/>
  <c r="B589" i="8"/>
  <c r="B493" i="8"/>
  <c r="B421" i="8"/>
  <c r="B397" i="8"/>
  <c r="B277" i="8"/>
  <c r="G550" i="8"/>
  <c r="G617" i="8"/>
  <c r="L641" i="8"/>
  <c r="H641" i="8" s="1"/>
  <c r="P656" i="8"/>
  <c r="G656" i="8"/>
  <c r="N656" i="8"/>
  <c r="M656" i="8"/>
  <c r="I656" i="8" s="1"/>
  <c r="L656" i="8"/>
  <c r="H656" i="8" s="1"/>
  <c r="J656" i="8"/>
  <c r="K656" i="8" s="1"/>
  <c r="Q656" i="8"/>
  <c r="G612" i="8"/>
  <c r="M590" i="8"/>
  <c r="I590" i="8" s="1"/>
  <c r="L590" i="8"/>
  <c r="Q487" i="8"/>
  <c r="J487" i="8"/>
  <c r="K487" i="8" s="1"/>
  <c r="M487" i="8"/>
  <c r="I487" i="8" s="1"/>
  <c r="N487" i="8"/>
  <c r="L487" i="8"/>
  <c r="G580" i="8"/>
  <c r="G570" i="8"/>
  <c r="M570" i="8"/>
  <c r="J570" i="8"/>
  <c r="K570" i="8" s="1"/>
  <c r="Q570" i="8"/>
  <c r="P570" i="8"/>
  <c r="N570" i="8"/>
  <c r="L597" i="8"/>
  <c r="H597" i="8" s="1"/>
  <c r="N597" i="8"/>
  <c r="M597" i="8"/>
  <c r="I597" i="8" s="1"/>
  <c r="N349" i="8"/>
  <c r="K349" i="8"/>
  <c r="M388" i="8"/>
  <c r="I388" i="8" s="1"/>
  <c r="G388" i="8"/>
  <c r="Q388" i="8"/>
  <c r="J388" i="8"/>
  <c r="K388" i="8" s="1"/>
  <c r="L393" i="8"/>
  <c r="H393" i="8" s="1"/>
  <c r="G393" i="8"/>
  <c r="M393" i="8"/>
  <c r="I393" i="8" s="1"/>
  <c r="K393" i="8"/>
  <c r="P393" i="8"/>
  <c r="Q445" i="8"/>
  <c r="L445" i="8"/>
  <c r="H445" i="8" s="1"/>
  <c r="J445" i="8"/>
  <c r="K445" i="8" s="1"/>
  <c r="G445" i="8"/>
  <c r="M445" i="8"/>
  <c r="I445" i="8" s="1"/>
  <c r="P496" i="8"/>
  <c r="O496" i="8"/>
  <c r="J496" i="8"/>
  <c r="K496" i="8" s="1"/>
  <c r="F496" i="8"/>
  <c r="N496" i="8"/>
  <c r="L571" i="8"/>
  <c r="H571" i="8" s="1"/>
  <c r="H22" i="9"/>
  <c r="E22" i="9"/>
  <c r="D22" i="9"/>
  <c r="W22" i="9"/>
  <c r="V22" i="9"/>
  <c r="I22" i="9"/>
  <c r="T22" i="9"/>
  <c r="F22" i="9"/>
  <c r="U22" i="9"/>
  <c r="S22" i="9"/>
  <c r="J22" i="9"/>
  <c r="G22" i="9"/>
  <c r="Q22" i="9"/>
  <c r="R22" i="9"/>
  <c r="N46" i="9"/>
  <c r="H46" i="9"/>
  <c r="E46" i="9"/>
  <c r="D46" i="9"/>
  <c r="M46" i="9"/>
  <c r="S46" i="9"/>
  <c r="K46" i="9"/>
  <c r="I46" i="9"/>
  <c r="R46" i="9"/>
  <c r="Q46" i="9"/>
  <c r="L46" i="9"/>
  <c r="O46" i="9" s="1"/>
  <c r="C46" i="9"/>
  <c r="P46" i="9" s="1"/>
  <c r="J46" i="9"/>
  <c r="W46" i="9"/>
  <c r="V46" i="9"/>
  <c r="U46" i="9"/>
  <c r="F46" i="9"/>
  <c r="F476" i="8"/>
  <c r="N476" i="8"/>
  <c r="P487" i="8"/>
  <c r="G496" i="8"/>
  <c r="P499" i="8"/>
  <c r="N499" i="8"/>
  <c r="M499" i="8"/>
  <c r="I499" i="8" s="1"/>
  <c r="G499" i="8"/>
  <c r="P566" i="8"/>
  <c r="L566" i="8"/>
  <c r="H566" i="8" s="1"/>
  <c r="J566" i="8"/>
  <c r="K566" i="8" s="1"/>
  <c r="G566" i="8"/>
  <c r="Q566" i="8"/>
  <c r="P574" i="8"/>
  <c r="Q574" i="8"/>
  <c r="M574" i="8"/>
  <c r="I574" i="8" s="1"/>
  <c r="N574" i="8"/>
  <c r="L574" i="8"/>
  <c r="J574" i="8"/>
  <c r="K574" i="8" s="1"/>
  <c r="G574" i="8"/>
  <c r="I47" i="9"/>
  <c r="F47" i="9"/>
  <c r="E47" i="9"/>
  <c r="U47" i="9"/>
  <c r="T47" i="9"/>
  <c r="S47" i="9"/>
  <c r="C47" i="9"/>
  <c r="P47" i="9" s="1"/>
  <c r="W47" i="9"/>
  <c r="N47" i="9"/>
  <c r="L47" i="9"/>
  <c r="O47" i="9" s="1"/>
  <c r="K47" i="9"/>
  <c r="H47" i="9"/>
  <c r="G47" i="9"/>
  <c r="D47" i="9"/>
  <c r="J47" i="9"/>
  <c r="R47" i="9"/>
  <c r="Q47" i="9"/>
  <c r="M47" i="9"/>
  <c r="V47" i="9"/>
  <c r="L636" i="8"/>
  <c r="H636" i="8" s="1"/>
  <c r="N636" i="8"/>
  <c r="M636" i="8"/>
  <c r="I636" i="8" s="1"/>
  <c r="N388" i="8"/>
  <c r="J391" i="8"/>
  <c r="K391" i="8" s="1"/>
  <c r="L391" i="8"/>
  <c r="O391" i="8" s="1"/>
  <c r="P445" i="8"/>
  <c r="G460" i="8"/>
  <c r="G488" i="8"/>
  <c r="Q496" i="8"/>
  <c r="L499" i="8"/>
  <c r="Q532" i="8"/>
  <c r="M532" i="8"/>
  <c r="I532" i="8" s="1"/>
  <c r="J532" i="8"/>
  <c r="K532" i="8" s="1"/>
  <c r="G532" i="8"/>
  <c r="P532" i="8"/>
  <c r="M539" i="8"/>
  <c r="I539" i="8" s="1"/>
  <c r="G539" i="8"/>
  <c r="P539" i="8"/>
  <c r="L539" i="8"/>
  <c r="H539" i="8" s="1"/>
  <c r="N539" i="8"/>
  <c r="Q539" i="8"/>
  <c r="G546" i="8"/>
  <c r="J563" i="8"/>
  <c r="K563" i="8" s="1"/>
  <c r="L563" i="8"/>
  <c r="H563" i="8" s="1"/>
  <c r="N563" i="8"/>
  <c r="P563" i="8"/>
  <c r="Q563" i="8"/>
  <c r="G598" i="8"/>
  <c r="J607" i="8"/>
  <c r="K607" i="8" s="1"/>
  <c r="Q607" i="8"/>
  <c r="P607" i="8"/>
  <c r="M607" i="8"/>
  <c r="I607" i="8" s="1"/>
  <c r="L607" i="8"/>
  <c r="H607" i="8" s="1"/>
  <c r="N616" i="8"/>
  <c r="L616" i="8"/>
  <c r="H616" i="8" s="1"/>
  <c r="P616" i="8"/>
  <c r="J616" i="8"/>
  <c r="K616" i="8" s="1"/>
  <c r="P620" i="8"/>
  <c r="N620" i="8"/>
  <c r="L620" i="8"/>
  <c r="H620" i="8" s="1"/>
  <c r="R19" i="9"/>
  <c r="L568" i="8"/>
  <c r="H568" i="8" s="1"/>
  <c r="N568" i="8"/>
  <c r="Q568" i="8"/>
  <c r="P568" i="8"/>
  <c r="G607" i="8"/>
  <c r="L612" i="8"/>
  <c r="H612" i="8" s="1"/>
  <c r="P612" i="8"/>
  <c r="N612" i="8"/>
  <c r="Q612" i="8"/>
  <c r="G620" i="8"/>
  <c r="G616" i="8"/>
  <c r="J620" i="8"/>
  <c r="K620" i="8" s="1"/>
  <c r="P643" i="8"/>
  <c r="G643" i="8"/>
  <c r="Q643" i="8"/>
  <c r="N643" i="8"/>
  <c r="M643" i="8"/>
  <c r="I643" i="8" s="1"/>
  <c r="L643" i="8"/>
  <c r="H643" i="8" s="1"/>
  <c r="K643" i="8"/>
  <c r="L664" i="8"/>
  <c r="H664" i="8" s="1"/>
  <c r="M664" i="8"/>
  <c r="I664" i="8" s="1"/>
  <c r="M568" i="8"/>
  <c r="I568" i="8" s="1"/>
  <c r="P581" i="8"/>
  <c r="M581" i="8"/>
  <c r="I581" i="8" s="1"/>
  <c r="Q581" i="8"/>
  <c r="N581" i="8"/>
  <c r="G581" i="8"/>
  <c r="L581" i="8"/>
  <c r="H581" i="8" s="1"/>
  <c r="Q592" i="8"/>
  <c r="J592" i="8"/>
  <c r="K592" i="8" s="1"/>
  <c r="G592" i="8"/>
  <c r="M592" i="8"/>
  <c r="I592" i="8" s="1"/>
  <c r="P592" i="8"/>
  <c r="G634" i="8"/>
  <c r="P634" i="8"/>
  <c r="Q634" i="8"/>
  <c r="N634" i="8"/>
  <c r="M634" i="8"/>
  <c r="I634" i="8" s="1"/>
  <c r="J634" i="8"/>
  <c r="K634" i="8" s="1"/>
  <c r="T34" i="9"/>
  <c r="Q34" i="9"/>
  <c r="G34" i="9"/>
  <c r="F34" i="9"/>
  <c r="E34" i="9"/>
  <c r="S34" i="9"/>
  <c r="J34" i="9"/>
  <c r="I34" i="9"/>
  <c r="D34" i="9"/>
  <c r="U34" i="9"/>
  <c r="R34" i="9"/>
  <c r="V34" i="9"/>
  <c r="W34" i="9"/>
  <c r="O644" i="8"/>
  <c r="H644" i="8"/>
  <c r="F644" i="8"/>
  <c r="B608" i="8"/>
  <c r="A28" i="9"/>
  <c r="B584" i="8"/>
  <c r="B392" i="8"/>
  <c r="B632" i="8"/>
  <c r="B224" i="8"/>
  <c r="B512" i="8"/>
  <c r="B368" i="8"/>
  <c r="W52" i="9"/>
  <c r="T52" i="9"/>
  <c r="N52" i="9"/>
  <c r="K52" i="9"/>
  <c r="J52" i="9"/>
  <c r="V52" i="9"/>
  <c r="U52" i="9"/>
  <c r="S52" i="9"/>
  <c r="D52" i="9"/>
  <c r="C52" i="9"/>
  <c r="P52" i="9" s="1"/>
  <c r="R52" i="9"/>
  <c r="Q52" i="9"/>
  <c r="M52" i="9"/>
  <c r="I52" i="9"/>
  <c r="H52" i="9"/>
  <c r="G52" i="9"/>
  <c r="F52" i="9"/>
  <c r="E52" i="9"/>
  <c r="L52" i="9"/>
  <c r="O52" i="9" s="1"/>
  <c r="O131" i="8"/>
  <c r="F156" i="8"/>
  <c r="M185" i="8"/>
  <c r="I185" i="8" s="1"/>
  <c r="N246" i="8"/>
  <c r="L399" i="8"/>
  <c r="M424" i="8"/>
  <c r="I424" i="8" s="1"/>
  <c r="L424" i="8"/>
  <c r="J428" i="8"/>
  <c r="K428" i="8" s="1"/>
  <c r="G474" i="8"/>
  <c r="F474" i="8"/>
  <c r="O474" i="8"/>
  <c r="N489" i="8"/>
  <c r="J489" i="8"/>
  <c r="K489" i="8" s="1"/>
  <c r="P489" i="8"/>
  <c r="M534" i="8"/>
  <c r="K534" i="8"/>
  <c r="P534" i="8"/>
  <c r="N569" i="8"/>
  <c r="L569" i="8"/>
  <c r="H569" i="8" s="1"/>
  <c r="G569" i="8"/>
  <c r="P569" i="8"/>
  <c r="Q569" i="8"/>
  <c r="L658" i="8"/>
  <c r="H658" i="8" s="1"/>
  <c r="Q658" i="8"/>
  <c r="P658" i="8"/>
  <c r="N658" i="8"/>
  <c r="M658" i="8"/>
  <c r="I658" i="8" s="1"/>
  <c r="J658" i="8"/>
  <c r="K658" i="8" s="1"/>
  <c r="G658" i="8"/>
  <c r="J581" i="8"/>
  <c r="K581" i="8" s="1"/>
  <c r="N588" i="8"/>
  <c r="M588" i="8"/>
  <c r="I588" i="8" s="1"/>
  <c r="L592" i="8"/>
  <c r="P622" i="8"/>
  <c r="Q622" i="8"/>
  <c r="N622" i="8"/>
  <c r="M622" i="8"/>
  <c r="I622" i="8" s="1"/>
  <c r="K622" i="8"/>
  <c r="G622" i="8"/>
  <c r="L634" i="8"/>
  <c r="L640" i="8"/>
  <c r="H640" i="8" s="1"/>
  <c r="N640" i="8"/>
  <c r="M640" i="8"/>
  <c r="I640" i="8" s="1"/>
  <c r="H34" i="9"/>
  <c r="J322" i="8"/>
  <c r="K322" i="8" s="1"/>
  <c r="Q322" i="8"/>
  <c r="P322" i="8"/>
  <c r="F324" i="8"/>
  <c r="O324" i="8"/>
  <c r="N324" i="8"/>
  <c r="J334" i="8"/>
  <c r="K334" i="8" s="1"/>
  <c r="F334" i="8"/>
  <c r="L374" i="8"/>
  <c r="H374" i="8" s="1"/>
  <c r="P374" i="8"/>
  <c r="P422" i="8"/>
  <c r="O422" i="8"/>
  <c r="L428" i="8"/>
  <c r="H428" i="8" s="1"/>
  <c r="Q537" i="8"/>
  <c r="J537" i="8"/>
  <c r="K537" i="8" s="1"/>
  <c r="L537" i="8"/>
  <c r="H537" i="8" s="1"/>
  <c r="G548" i="8"/>
  <c r="M548" i="8"/>
  <c r="I548" i="8" s="1"/>
  <c r="L548" i="8"/>
  <c r="J548" i="8"/>
  <c r="K548" i="8" s="1"/>
  <c r="M560" i="8"/>
  <c r="I560" i="8" s="1"/>
  <c r="Q560" i="8"/>
  <c r="P560" i="8"/>
  <c r="R8" i="9"/>
  <c r="F8" i="9"/>
  <c r="E8" i="9"/>
  <c r="D8" i="9"/>
  <c r="S8" i="9"/>
  <c r="T8" i="9"/>
  <c r="G8" i="9"/>
  <c r="W8" i="9"/>
  <c r="U8" i="9"/>
  <c r="Q8" i="9"/>
  <c r="I8" i="9"/>
  <c r="H8" i="9"/>
  <c r="J8" i="9"/>
  <c r="O572" i="8"/>
  <c r="F593" i="8"/>
  <c r="N593" i="8"/>
  <c r="J593" i="8"/>
  <c r="K593" i="8" s="1"/>
  <c r="G593" i="8"/>
  <c r="L645" i="8"/>
  <c r="H645" i="8" s="1"/>
  <c r="G645" i="8"/>
  <c r="Q645" i="8"/>
  <c r="J645" i="8"/>
  <c r="K645" i="8" s="1"/>
  <c r="P645" i="8"/>
  <c r="M645" i="8"/>
  <c r="I645" i="8" s="1"/>
  <c r="U11" i="9"/>
  <c r="R11" i="9"/>
  <c r="Q11" i="9"/>
  <c r="W11" i="9"/>
  <c r="V11" i="9"/>
  <c r="T11" i="9"/>
  <c r="F11" i="9"/>
  <c r="E11" i="9"/>
  <c r="G11" i="9"/>
  <c r="S11" i="9"/>
  <c r="J11" i="9"/>
  <c r="I11" i="9"/>
  <c r="H11" i="9"/>
  <c r="B663" i="8"/>
  <c r="B639" i="8"/>
  <c r="B543" i="8"/>
  <c r="A35" i="9"/>
  <c r="B327" i="8"/>
  <c r="M40" i="9" s="1"/>
  <c r="B495" i="8"/>
  <c r="B591" i="8"/>
  <c r="B423" i="8"/>
  <c r="B615" i="8"/>
  <c r="Q25" i="9"/>
  <c r="H25" i="9"/>
  <c r="G25" i="9"/>
  <c r="R25" i="9"/>
  <c r="T25" i="9"/>
  <c r="E25" i="9"/>
  <c r="D25" i="9"/>
  <c r="W25" i="9"/>
  <c r="V25" i="9"/>
  <c r="J25" i="9"/>
  <c r="F25" i="9"/>
  <c r="P399" i="8"/>
  <c r="N414" i="8"/>
  <c r="Q414" i="8"/>
  <c r="L560" i="8"/>
  <c r="H560" i="8" s="1"/>
  <c r="B567" i="8"/>
  <c r="O593" i="8"/>
  <c r="O605" i="8"/>
  <c r="L660" i="8"/>
  <c r="H660" i="8" s="1"/>
  <c r="K660" i="8"/>
  <c r="N660" i="8"/>
  <c r="M660" i="8"/>
  <c r="I660" i="8" s="1"/>
  <c r="Q660" i="8"/>
  <c r="P660" i="8"/>
  <c r="G660" i="8"/>
  <c r="Q7" i="3"/>
  <c r="Q6" i="3"/>
  <c r="P6" i="3" s="1"/>
  <c r="T6" i="3" s="1"/>
  <c r="S6" i="3"/>
  <c r="R6" i="3"/>
  <c r="S5" i="3"/>
  <c r="R5" i="3"/>
  <c r="S4" i="3"/>
  <c r="Q4" i="3"/>
  <c r="P4" i="3" s="1"/>
  <c r="T4" i="3" s="1"/>
  <c r="I25" i="9"/>
  <c r="F477" i="8"/>
  <c r="P477" i="8"/>
  <c r="Q477" i="8"/>
  <c r="N477" i="8"/>
  <c r="G500" i="8"/>
  <c r="Q500" i="8"/>
  <c r="M500" i="8"/>
  <c r="I500" i="8" s="1"/>
  <c r="G521" i="8"/>
  <c r="P521" i="8"/>
  <c r="J521" i="8"/>
  <c r="K521" i="8" s="1"/>
  <c r="L535" i="8"/>
  <c r="H535" i="8" s="1"/>
  <c r="K535" i="8"/>
  <c r="Q535" i="8"/>
  <c r="P535" i="8"/>
  <c r="L538" i="8"/>
  <c r="N538" i="8"/>
  <c r="M538" i="8"/>
  <c r="I538" i="8" s="1"/>
  <c r="P593" i="8"/>
  <c r="L598" i="8"/>
  <c r="H598" i="8" s="1"/>
  <c r="P598" i="8"/>
  <c r="M598" i="8"/>
  <c r="I598" i="8" s="1"/>
  <c r="J598" i="8"/>
  <c r="K598" i="8" s="1"/>
  <c r="Q598" i="8"/>
  <c r="N598" i="8"/>
  <c r="J619" i="8"/>
  <c r="K619" i="8" s="1"/>
  <c r="N619" i="8"/>
  <c r="M619" i="8"/>
  <c r="I619" i="8" s="1"/>
  <c r="L619" i="8"/>
  <c r="H619" i="8" s="1"/>
  <c r="G619" i="8"/>
  <c r="Q619" i="8"/>
  <c r="S25" i="9"/>
  <c r="W31" i="9"/>
  <c r="Q31" i="9"/>
  <c r="T31" i="9"/>
  <c r="S31" i="9"/>
  <c r="R31" i="9"/>
  <c r="G31" i="9"/>
  <c r="E31" i="9"/>
  <c r="J31" i="9"/>
  <c r="I31" i="9"/>
  <c r="V31" i="9"/>
  <c r="U31" i="9"/>
  <c r="H31" i="9"/>
  <c r="F31" i="9"/>
  <c r="D31" i="9"/>
  <c r="Q544" i="8"/>
  <c r="O544" i="8"/>
  <c r="P544" i="8"/>
  <c r="N544" i="8"/>
  <c r="K544" i="8"/>
  <c r="Q549" i="8"/>
  <c r="J549" i="8"/>
  <c r="K549" i="8" s="1"/>
  <c r="Q593" i="8"/>
  <c r="V8" i="9"/>
  <c r="U25" i="9"/>
  <c r="H646" i="8"/>
  <c r="O646" i="8"/>
  <c r="R41" i="9"/>
  <c r="F284" i="8"/>
  <c r="Q398" i="8"/>
  <c r="P398" i="8"/>
  <c r="O425" i="8"/>
  <c r="P425" i="8"/>
  <c r="L453" i="8"/>
  <c r="H453" i="8" s="1"/>
  <c r="G453" i="8"/>
  <c r="N453" i="8"/>
  <c r="N473" i="8"/>
  <c r="O473" i="8"/>
  <c r="Q488" i="8"/>
  <c r="P488" i="8"/>
  <c r="K500" i="8"/>
  <c r="L521" i="8"/>
  <c r="G544" i="8"/>
  <c r="L549" i="8"/>
  <c r="H549" i="8" s="1"/>
  <c r="J590" i="8"/>
  <c r="K590" i="8" s="1"/>
  <c r="P590" i="8"/>
  <c r="N590" i="8"/>
  <c r="Q580" i="8"/>
  <c r="M580" i="8"/>
  <c r="I580" i="8" s="1"/>
  <c r="N580" i="8"/>
  <c r="P580" i="8"/>
  <c r="L580" i="8"/>
  <c r="J580" i="8"/>
  <c r="K580" i="8" s="1"/>
  <c r="L633" i="8"/>
  <c r="H633" i="8" s="1"/>
  <c r="N633" i="8"/>
  <c r="M633" i="8"/>
  <c r="I633" i="8" s="1"/>
  <c r="J633" i="8"/>
  <c r="K633" i="8" s="1"/>
  <c r="P633" i="8"/>
  <c r="G633" i="8"/>
  <c r="F430" i="8"/>
  <c r="J430" i="8"/>
  <c r="K430" i="8" s="1"/>
  <c r="M494" i="8"/>
  <c r="I494" i="8" s="1"/>
  <c r="Q522" i="8"/>
  <c r="P522" i="8"/>
  <c r="J522" i="8"/>
  <c r="K522" i="8" s="1"/>
  <c r="O522" i="8"/>
  <c r="N533" i="8"/>
  <c r="M533" i="8"/>
  <c r="I533" i="8" s="1"/>
  <c r="L533" i="8"/>
  <c r="K533" i="8"/>
  <c r="Q533" i="8"/>
  <c r="Q558" i="8"/>
  <c r="N558" i="8"/>
  <c r="M558" i="8"/>
  <c r="I558" i="8" s="1"/>
  <c r="O564" i="8"/>
  <c r="L427" i="8"/>
  <c r="H427" i="8" s="1"/>
  <c r="N441" i="8"/>
  <c r="M441" i="8"/>
  <c r="F441" i="8" s="1"/>
  <c r="H572" i="8"/>
  <c r="M628" i="8"/>
  <c r="I628" i="8" s="1"/>
  <c r="N628" i="8"/>
  <c r="J628" i="8"/>
  <c r="K628" i="8" s="1"/>
  <c r="G628" i="8"/>
  <c r="P628" i="8"/>
  <c r="B559" i="8"/>
  <c r="A27" i="9"/>
  <c r="B655" i="8"/>
  <c r="B631" i="8"/>
  <c r="B439" i="8"/>
  <c r="B583" i="8"/>
  <c r="S51" i="9"/>
  <c r="M51" i="9"/>
  <c r="J51" i="9"/>
  <c r="I51" i="9"/>
  <c r="O51" i="9"/>
  <c r="N51" i="9"/>
  <c r="T51" i="9"/>
  <c r="D51" i="9"/>
  <c r="C51" i="9"/>
  <c r="P51" i="9" s="1"/>
  <c r="W51" i="9"/>
  <c r="V51" i="9"/>
  <c r="R51" i="9"/>
  <c r="G51" i="9"/>
  <c r="F51" i="9"/>
  <c r="E51" i="9"/>
  <c r="U51" i="9"/>
  <c r="Q51" i="9"/>
  <c r="K51" i="9"/>
  <c r="L51" i="9"/>
  <c r="H51" i="9"/>
  <c r="J618" i="8"/>
  <c r="K618" i="8" s="1"/>
  <c r="M618" i="8"/>
  <c r="I618" i="8" s="1"/>
  <c r="G618" i="8"/>
  <c r="F618" i="8"/>
  <c r="G644" i="8"/>
  <c r="A5" i="9"/>
  <c r="G664" i="8"/>
  <c r="G573" i="8"/>
  <c r="G586" i="8"/>
  <c r="G670" i="8"/>
  <c r="G406" i="8"/>
  <c r="G547" i="8"/>
  <c r="G538" i="8"/>
  <c r="G451" i="8"/>
  <c r="B345" i="8"/>
  <c r="B585" i="8"/>
  <c r="B177" i="8"/>
  <c r="M11" i="9" s="1"/>
  <c r="B657" i="8"/>
  <c r="B321" i="8"/>
  <c r="B249" i="8"/>
  <c r="C8" i="9" s="1"/>
  <c r="P8" i="9" s="1"/>
  <c r="B297" i="8"/>
  <c r="M20" i="9" s="1"/>
  <c r="I4" i="3"/>
  <c r="K4" i="3" s="1"/>
  <c r="G4" i="6"/>
  <c r="A29" i="9"/>
  <c r="L628" i="8"/>
  <c r="J4" i="3"/>
  <c r="N605" i="8"/>
  <c r="K605" i="8"/>
  <c r="Q669" i="8"/>
  <c r="P669" i="8"/>
  <c r="G669" i="8"/>
  <c r="L669" i="8"/>
  <c r="F669" i="8" s="1"/>
  <c r="K669" i="8"/>
  <c r="W7" i="9"/>
  <c r="Q7" i="9"/>
  <c r="G7" i="9"/>
  <c r="E7" i="9"/>
  <c r="U7" i="9"/>
  <c r="J7" i="9"/>
  <c r="V7" i="9"/>
  <c r="T7" i="9"/>
  <c r="S7" i="9"/>
  <c r="F7" i="9"/>
  <c r="D7" i="9"/>
  <c r="R7" i="9"/>
  <c r="B659" i="8"/>
  <c r="B611" i="8"/>
  <c r="B515" i="8"/>
  <c r="B635" i="8"/>
  <c r="B275" i="8"/>
  <c r="B83" i="8"/>
  <c r="L15" i="9" s="1"/>
  <c r="B587" i="8"/>
  <c r="B419" i="8"/>
  <c r="B395" i="8"/>
  <c r="B371" i="8"/>
  <c r="B347" i="8"/>
  <c r="T10" i="9"/>
  <c r="Q10" i="9"/>
  <c r="F10" i="9"/>
  <c r="D10" i="9"/>
  <c r="V10" i="9"/>
  <c r="I10" i="9"/>
  <c r="R10" i="9"/>
  <c r="W10" i="9"/>
  <c r="G10" i="9"/>
  <c r="E10" i="9"/>
  <c r="B302" i="8"/>
  <c r="B662" i="8"/>
  <c r="B614" i="8"/>
  <c r="H16" i="9"/>
  <c r="W16" i="9"/>
  <c r="V16" i="9"/>
  <c r="T16" i="9"/>
  <c r="S16" i="9"/>
  <c r="R16" i="9"/>
  <c r="E16" i="9"/>
  <c r="F16" i="9"/>
  <c r="Q16" i="9"/>
  <c r="J16" i="9"/>
  <c r="D16" i="9"/>
  <c r="I16" i="9"/>
  <c r="G16" i="9"/>
  <c r="R50" i="9"/>
  <c r="L50" i="9"/>
  <c r="O50" i="9" s="1"/>
  <c r="I50" i="9"/>
  <c r="H50" i="9"/>
  <c r="J50" i="9"/>
  <c r="G50" i="9"/>
  <c r="F50" i="9"/>
  <c r="V50" i="9"/>
  <c r="N50" i="9"/>
  <c r="S50" i="9"/>
  <c r="K50" i="9"/>
  <c r="E50" i="9"/>
  <c r="D50" i="9"/>
  <c r="C50" i="9"/>
  <c r="P50" i="9" s="1"/>
  <c r="W50" i="9"/>
  <c r="U50" i="9"/>
  <c r="T50" i="9"/>
  <c r="Q50" i="9"/>
  <c r="E13" i="9"/>
  <c r="W13" i="9"/>
  <c r="T13" i="9"/>
  <c r="S13" i="9"/>
  <c r="F13" i="9"/>
  <c r="D13" i="9"/>
  <c r="H13" i="9"/>
  <c r="U13" i="9"/>
  <c r="J13" i="9"/>
  <c r="I13" i="9"/>
  <c r="V13" i="9"/>
  <c r="R13" i="9"/>
  <c r="N561" i="8"/>
  <c r="L561" i="8"/>
  <c r="H561" i="8" s="1"/>
  <c r="J561" i="8"/>
  <c r="K561" i="8" s="1"/>
  <c r="P561" i="8"/>
  <c r="M596" i="8"/>
  <c r="I596" i="8" s="1"/>
  <c r="Q596" i="8"/>
  <c r="J596" i="8"/>
  <c r="K596" i="8" s="1"/>
  <c r="I41" i="9"/>
  <c r="W41" i="9"/>
  <c r="Q41" i="9"/>
  <c r="T41" i="9"/>
  <c r="V41" i="9"/>
  <c r="J41" i="9"/>
  <c r="F41" i="9"/>
  <c r="E41" i="9"/>
  <c r="U41" i="9"/>
  <c r="G41" i="9"/>
  <c r="D41" i="9"/>
  <c r="S41" i="9"/>
  <c r="H41" i="9"/>
  <c r="M50" i="9"/>
  <c r="J475" i="8"/>
  <c r="K475" i="8" s="1"/>
  <c r="F475" i="8"/>
  <c r="M546" i="8"/>
  <c r="O546" i="8" s="1"/>
  <c r="K546" i="8"/>
  <c r="N546" i="8"/>
  <c r="O573" i="8"/>
  <c r="G596" i="8"/>
  <c r="H10" i="9"/>
  <c r="G13" i="9"/>
  <c r="G667" i="8"/>
  <c r="L667" i="8"/>
  <c r="F667" i="8" s="1"/>
  <c r="K667" i="8"/>
  <c r="E19" i="9"/>
  <c r="I19" i="9"/>
  <c r="H19" i="9"/>
  <c r="G19" i="9"/>
  <c r="T19" i="9"/>
  <c r="W19" i="9"/>
  <c r="Q19" i="9"/>
  <c r="F19" i="9"/>
  <c r="D19" i="9"/>
  <c r="V19" i="9"/>
  <c r="U19" i="9"/>
  <c r="K43" i="9"/>
  <c r="E43" i="9"/>
  <c r="L43" i="9"/>
  <c r="O43" i="9" s="1"/>
  <c r="C43" i="9"/>
  <c r="P43" i="9" s="1"/>
  <c r="M43" i="9"/>
  <c r="F43" i="9"/>
  <c r="R43" i="9"/>
  <c r="Q43" i="9"/>
  <c r="V43" i="9"/>
  <c r="H43" i="9"/>
  <c r="G43" i="9"/>
  <c r="D43" i="9"/>
  <c r="W43" i="9"/>
  <c r="J10" i="9"/>
  <c r="S19" i="9"/>
  <c r="H40" i="9"/>
  <c r="W40" i="9"/>
  <c r="V40" i="9"/>
  <c r="J40" i="9"/>
  <c r="G40" i="9"/>
  <c r="Q40" i="9"/>
  <c r="E40" i="9"/>
  <c r="D40" i="9"/>
  <c r="F40" i="9"/>
  <c r="U40" i="9"/>
  <c r="T40" i="9"/>
  <c r="S40" i="9"/>
  <c r="N332" i="8"/>
  <c r="O545" i="8"/>
  <c r="Q545" i="8"/>
  <c r="G564" i="8"/>
  <c r="J564" i="8"/>
  <c r="K564" i="8" s="1"/>
  <c r="K571" i="8"/>
  <c r="G571" i="8"/>
  <c r="Q571" i="8"/>
  <c r="N604" i="8"/>
  <c r="G604" i="8"/>
  <c r="P604" i="8"/>
  <c r="M604" i="8"/>
  <c r="I604" i="8" s="1"/>
  <c r="J604" i="8"/>
  <c r="K604" i="8" s="1"/>
  <c r="N668" i="8"/>
  <c r="L668" i="8"/>
  <c r="N260" i="8"/>
  <c r="F332" i="8"/>
  <c r="F545" i="8"/>
  <c r="F557" i="8"/>
  <c r="O557" i="8"/>
  <c r="N557" i="8"/>
  <c r="P557" i="8"/>
  <c r="F564" i="8"/>
  <c r="L604" i="8"/>
  <c r="N617" i="8"/>
  <c r="M617" i="8"/>
  <c r="I617" i="8" s="1"/>
  <c r="L617" i="8"/>
  <c r="J617" i="8"/>
  <c r="K617" i="8" s="1"/>
  <c r="F20" i="9"/>
  <c r="I20" i="9"/>
  <c r="R20" i="9"/>
  <c r="Q20" i="9"/>
  <c r="J20" i="9"/>
  <c r="H20" i="9"/>
  <c r="U20" i="9"/>
  <c r="E20" i="9"/>
  <c r="D20" i="9"/>
  <c r="L670" i="8"/>
  <c r="H670" i="8" s="1"/>
  <c r="P670" i="8"/>
  <c r="N670" i="8"/>
  <c r="Q670" i="8"/>
  <c r="M670" i="8"/>
  <c r="I670" i="8" s="1"/>
  <c r="K670" i="8"/>
  <c r="L468" i="8"/>
  <c r="Q636" i="8"/>
  <c r="J636" i="8"/>
  <c r="K636" i="8" s="1"/>
  <c r="P636" i="8"/>
  <c r="L588" i="8"/>
  <c r="H588" i="8" s="1"/>
  <c r="J588" i="8"/>
  <c r="K588" i="8" s="1"/>
  <c r="J665" i="8"/>
  <c r="K665" i="8" s="1"/>
  <c r="G665" i="8"/>
  <c r="Q665" i="8"/>
  <c r="P665" i="8"/>
  <c r="O665" i="8"/>
  <c r="I23" i="9"/>
  <c r="F23" i="9"/>
  <c r="E23" i="9"/>
  <c r="D23" i="9"/>
  <c r="R23" i="9"/>
  <c r="Q23" i="9"/>
  <c r="W23" i="9"/>
  <c r="V23" i="9"/>
  <c r="T23" i="9"/>
  <c r="S23" i="9"/>
  <c r="U23" i="9"/>
  <c r="F665" i="8"/>
  <c r="N652" i="8"/>
  <c r="P652" i="8"/>
  <c r="M652" i="8"/>
  <c r="I652" i="8" s="1"/>
  <c r="L652" i="8"/>
  <c r="O547" i="8"/>
  <c r="G588" i="8"/>
  <c r="G652" i="8"/>
  <c r="F14" i="9"/>
  <c r="U14" i="9"/>
  <c r="T14" i="9"/>
  <c r="J14" i="9"/>
  <c r="I14" i="9"/>
  <c r="W14" i="9"/>
  <c r="Q14" i="9"/>
  <c r="D14" i="9"/>
  <c r="V14" i="9"/>
  <c r="S14" i="9"/>
  <c r="G14" i="9"/>
  <c r="E14" i="9"/>
  <c r="J666" i="8"/>
  <c r="K666" i="8" s="1"/>
  <c r="G666" i="8"/>
  <c r="Q666" i="8"/>
  <c r="B630" i="8"/>
  <c r="B606" i="8"/>
  <c r="A26" i="9"/>
  <c r="B654" i="8"/>
  <c r="K641" i="8"/>
  <c r="I17" i="9"/>
  <c r="W17" i="9"/>
  <c r="E17" i="9"/>
  <c r="S17" i="9"/>
  <c r="G17" i="9"/>
  <c r="F17" i="9"/>
  <c r="D17" i="9"/>
  <c r="V17" i="9"/>
  <c r="U17" i="9"/>
  <c r="B486" i="8"/>
  <c r="F32" i="9"/>
  <c r="J48" i="9"/>
  <c r="G48" i="9"/>
  <c r="F48" i="9"/>
  <c r="K48" i="9"/>
  <c r="C48" i="9"/>
  <c r="P48" i="9" s="1"/>
  <c r="W48" i="9"/>
  <c r="V48" i="9"/>
  <c r="T48" i="9"/>
  <c r="S48" i="9"/>
  <c r="R48" i="9"/>
  <c r="H48" i="9"/>
  <c r="E48" i="9"/>
  <c r="D48" i="9"/>
  <c r="Q49" i="9"/>
  <c r="K49" i="9"/>
  <c r="H49" i="9"/>
  <c r="G49" i="9"/>
  <c r="C49" i="9"/>
  <c r="P49" i="9" s="1"/>
  <c r="F49" i="9"/>
  <c r="O49" i="9"/>
  <c r="N49" i="9"/>
  <c r="M49" i="9"/>
  <c r="D49" i="9"/>
  <c r="T49" i="9"/>
  <c r="S49" i="9"/>
  <c r="R49" i="9"/>
  <c r="A37" i="9"/>
  <c r="R32" i="9"/>
  <c r="W32" i="9"/>
  <c r="H32" i="9"/>
  <c r="T32" i="9"/>
  <c r="Q32" i="9"/>
  <c r="G32" i="9"/>
  <c r="V32" i="9"/>
  <c r="I48" i="9"/>
  <c r="P668" i="8"/>
  <c r="G668" i="8"/>
  <c r="M668" i="8"/>
  <c r="I668" i="8" s="1"/>
  <c r="E15" i="9"/>
  <c r="O48" i="9"/>
  <c r="B516" i="8"/>
  <c r="G641" i="8"/>
  <c r="F15" i="9"/>
  <c r="Q48" i="9"/>
  <c r="M641" i="8"/>
  <c r="I641" i="8" s="1"/>
  <c r="A24" i="9"/>
  <c r="V30" i="9"/>
  <c r="J30" i="9"/>
  <c r="R30" i="9"/>
  <c r="S30" i="9"/>
  <c r="G30" i="9"/>
  <c r="D36" i="9"/>
  <c r="V36" i="9"/>
  <c r="S36" i="9"/>
  <c r="R36" i="9"/>
  <c r="Q36" i="9"/>
  <c r="W36" i="9"/>
  <c r="U36" i="9"/>
  <c r="T36" i="9"/>
  <c r="U48" i="9"/>
  <c r="N641" i="8"/>
  <c r="J668" i="8"/>
  <c r="K668" i="8" s="1"/>
  <c r="G15" i="9"/>
  <c r="V15" i="9"/>
  <c r="U15" i="9"/>
  <c r="Q15" i="9"/>
  <c r="I15" i="9"/>
  <c r="A39" i="9"/>
  <c r="B595" i="8"/>
  <c r="J15" i="9"/>
  <c r="V6" i="9"/>
  <c r="W6" i="9"/>
  <c r="U6" i="9"/>
  <c r="F6" i="9"/>
  <c r="D12" i="9"/>
  <c r="V12" i="9"/>
  <c r="S12" i="9"/>
  <c r="R12" i="9"/>
  <c r="M45" i="9"/>
  <c r="G45" i="9"/>
  <c r="D45" i="9"/>
  <c r="C45" i="9"/>
  <c r="P45" i="9" s="1"/>
  <c r="J45" i="9"/>
  <c r="I45" i="9"/>
  <c r="H45" i="9"/>
  <c r="U45" i="9"/>
  <c r="N45" i="9"/>
  <c r="I6" i="9"/>
  <c r="I12" i="9"/>
  <c r="Q45" i="9"/>
  <c r="R45" i="9"/>
  <c r="Q6" i="9"/>
  <c r="V45" i="9"/>
  <c r="N573" i="8"/>
  <c r="N664" i="8"/>
  <c r="J640" i="8"/>
  <c r="K640" i="8" s="1"/>
  <c r="G640" i="8"/>
  <c r="K597" i="8"/>
  <c r="B594" i="8"/>
  <c r="B642" i="8"/>
  <c r="A38" i="9"/>
  <c r="S7" i="3"/>
  <c r="Q5" i="3"/>
  <c r="P5" i="3" s="1"/>
  <c r="T5" i="3" s="1"/>
  <c r="R7" i="3"/>
  <c r="M21" i="9"/>
  <c r="G21" i="9"/>
  <c r="D21" i="9"/>
  <c r="G42" i="9"/>
  <c r="K644" i="8"/>
  <c r="Q21" i="9"/>
  <c r="T42" i="9"/>
  <c r="L44" i="9"/>
  <c r="O44" i="9" s="1"/>
  <c r="F44" i="9"/>
  <c r="C44" i="9"/>
  <c r="P44" i="9" s="1"/>
  <c r="G646" i="8"/>
  <c r="R21" i="9"/>
  <c r="F646" i="8"/>
  <c r="J18" i="9"/>
  <c r="D18" i="9"/>
  <c r="J42" i="9"/>
  <c r="D42" i="9"/>
  <c r="E18" i="9"/>
  <c r="S21" i="9"/>
  <c r="V42" i="9"/>
  <c r="D44" i="9"/>
  <c r="F283" i="8" l="1"/>
  <c r="F358" i="8"/>
  <c r="O405" i="8"/>
  <c r="J11" i="8"/>
  <c r="O398" i="8"/>
  <c r="O437" i="8"/>
  <c r="F571" i="8"/>
  <c r="O159" i="8"/>
  <c r="F569" i="8"/>
  <c r="F235" i="8"/>
  <c r="F137" i="8"/>
  <c r="O358" i="8"/>
  <c r="F40" i="8"/>
  <c r="F257" i="8"/>
  <c r="F8" i="8"/>
  <c r="F405" i="8"/>
  <c r="F85" i="8"/>
  <c r="F469" i="8"/>
  <c r="O365" i="8"/>
  <c r="F617" i="8"/>
  <c r="F320" i="8"/>
  <c r="F536" i="8"/>
  <c r="O536" i="8"/>
  <c r="F63" i="8"/>
  <c r="F454" i="8"/>
  <c r="O571" i="8"/>
  <c r="F228" i="8"/>
  <c r="F134" i="8"/>
  <c r="O29" i="8"/>
  <c r="O230" i="8"/>
  <c r="O196" i="8"/>
  <c r="F184" i="8"/>
  <c r="F643" i="8"/>
  <c r="F19" i="8"/>
  <c r="O487" i="8"/>
  <c r="O464" i="8"/>
  <c r="O250" i="8"/>
  <c r="F612" i="8"/>
  <c r="F388" i="8"/>
  <c r="F250" i="8"/>
  <c r="F664" i="8"/>
  <c r="F379" i="8"/>
  <c r="O612" i="8"/>
  <c r="F604" i="8"/>
  <c r="O102" i="8"/>
  <c r="F126" i="8"/>
  <c r="F159" i="8"/>
  <c r="F141" i="8"/>
  <c r="F115" i="8"/>
  <c r="F540" i="8"/>
  <c r="F588" i="8"/>
  <c r="F485" i="8"/>
  <c r="F438" i="8"/>
  <c r="F308" i="8"/>
  <c r="F127" i="8"/>
  <c r="O87" i="8"/>
  <c r="O139" i="8"/>
  <c r="O55" i="8"/>
  <c r="F582" i="8"/>
  <c r="O341" i="8"/>
  <c r="O319" i="8"/>
  <c r="F596" i="8"/>
  <c r="F309" i="8"/>
  <c r="F461" i="8"/>
  <c r="O154" i="8"/>
  <c r="F21" i="8"/>
  <c r="O118" i="8"/>
  <c r="O413" i="8"/>
  <c r="O124" i="8"/>
  <c r="O251" i="8"/>
  <c r="O596" i="8"/>
  <c r="O69" i="8"/>
  <c r="O658" i="8"/>
  <c r="O350" i="8"/>
  <c r="O633" i="8"/>
  <c r="F401" i="8"/>
  <c r="O128" i="8"/>
  <c r="F513" i="8"/>
  <c r="F66" i="8"/>
  <c r="F326" i="8"/>
  <c r="F102" i="8"/>
  <c r="F316" i="8"/>
  <c r="O162" i="8"/>
  <c r="O517" i="8"/>
  <c r="O574" i="8"/>
  <c r="F444" i="8"/>
  <c r="F381" i="8"/>
  <c r="O352" i="8"/>
  <c r="O184" i="8"/>
  <c r="O436" i="8"/>
  <c r="O563" i="8"/>
  <c r="F350" i="8"/>
  <c r="F413" i="8"/>
  <c r="F319" i="8"/>
  <c r="O293" i="8"/>
  <c r="F227" i="8"/>
  <c r="F254" i="8"/>
  <c r="F393" i="8"/>
  <c r="O400" i="8"/>
  <c r="F179" i="8"/>
  <c r="O257" i="8"/>
  <c r="F369" i="8"/>
  <c r="F38" i="8"/>
  <c r="O581" i="8"/>
  <c r="F199" i="8"/>
  <c r="O466" i="8"/>
  <c r="F415" i="8"/>
  <c r="O34" i="8"/>
  <c r="O164" i="8"/>
  <c r="O236" i="8"/>
  <c r="O181" i="8"/>
  <c r="F81" i="8"/>
  <c r="F44" i="8"/>
  <c r="O377" i="8"/>
  <c r="F176" i="8"/>
  <c r="F164" i="8"/>
  <c r="F668" i="8"/>
  <c r="O620" i="8"/>
  <c r="F550" i="8"/>
  <c r="F340" i="8"/>
  <c r="O295" i="8"/>
  <c r="F244" i="8"/>
  <c r="O101" i="8"/>
  <c r="F373" i="8"/>
  <c r="F295" i="8"/>
  <c r="F236" i="8"/>
  <c r="F375" i="8"/>
  <c r="O306" i="8"/>
  <c r="O176" i="8"/>
  <c r="O44" i="8"/>
  <c r="F185" i="8"/>
  <c r="F53" i="8"/>
  <c r="K40" i="9"/>
  <c r="O558" i="8"/>
  <c r="O428" i="8"/>
  <c r="F519" i="8"/>
  <c r="F154" i="8"/>
  <c r="O538" i="8"/>
  <c r="O539" i="8"/>
  <c r="F428" i="8"/>
  <c r="F498" i="8"/>
  <c r="O508" i="8"/>
  <c r="F268" i="8"/>
  <c r="O175" i="8"/>
  <c r="O161" i="8"/>
  <c r="O490" i="8"/>
  <c r="F523" i="8"/>
  <c r="O261" i="8"/>
  <c r="O393" i="8"/>
  <c r="F539" i="8"/>
  <c r="O660" i="8"/>
  <c r="F509" i="8"/>
  <c r="F508" i="8"/>
  <c r="F150" i="8"/>
  <c r="F41" i="8"/>
  <c r="J10" i="8"/>
  <c r="K30" i="9" s="1"/>
  <c r="F197" i="8"/>
  <c r="F278" i="8"/>
  <c r="O138" i="8"/>
  <c r="O208" i="8"/>
  <c r="F638" i="8"/>
  <c r="O318" i="8"/>
  <c r="O300" i="8"/>
  <c r="O19" i="8"/>
  <c r="F558" i="8"/>
  <c r="F566" i="8"/>
  <c r="F348" i="8"/>
  <c r="F104" i="8"/>
  <c r="F447" i="8"/>
  <c r="F318" i="8"/>
  <c r="O30" i="8"/>
  <c r="O258" i="8"/>
  <c r="O317" i="8"/>
  <c r="O373" i="8"/>
  <c r="O268" i="8"/>
  <c r="K36" i="9"/>
  <c r="F494" i="8"/>
  <c r="F537" i="8"/>
  <c r="F581" i="8"/>
  <c r="F556" i="8"/>
  <c r="F464" i="8"/>
  <c r="O326" i="8"/>
  <c r="O372" i="8"/>
  <c r="F293" i="8"/>
  <c r="O292" i="8"/>
  <c r="F52" i="8"/>
  <c r="O137" i="8"/>
  <c r="F245" i="8"/>
  <c r="O532" i="8"/>
  <c r="F212" i="8"/>
  <c r="O424" i="8"/>
  <c r="K11" i="8"/>
  <c r="C36" i="9"/>
  <c r="P36" i="9" s="1"/>
  <c r="C42" i="9"/>
  <c r="P42" i="9" s="1"/>
  <c r="C40" i="9"/>
  <c r="P40" i="9" s="1"/>
  <c r="O36" i="9"/>
  <c r="N36" i="9"/>
  <c r="N15" i="9"/>
  <c r="O15" i="9"/>
  <c r="C41" i="9"/>
  <c r="P41" i="9" s="1"/>
  <c r="L347" i="8"/>
  <c r="H347" i="8" s="1"/>
  <c r="N347" i="8"/>
  <c r="M347" i="8"/>
  <c r="I347" i="8" s="1"/>
  <c r="J347" i="8"/>
  <c r="K347" i="8" s="1"/>
  <c r="P347" i="8"/>
  <c r="G347" i="8"/>
  <c r="Q347" i="8"/>
  <c r="M7" i="9"/>
  <c r="G345" i="8"/>
  <c r="L345" i="8"/>
  <c r="H345" i="8" s="1"/>
  <c r="Q345" i="8"/>
  <c r="P345" i="8"/>
  <c r="N345" i="8"/>
  <c r="M345" i="8"/>
  <c r="I345" i="8" s="1"/>
  <c r="J345" i="8"/>
  <c r="K345" i="8" s="1"/>
  <c r="J495" i="8"/>
  <c r="K495" i="8" s="1"/>
  <c r="G495" i="8"/>
  <c r="Q495" i="8"/>
  <c r="P495" i="8"/>
  <c r="N495" i="8"/>
  <c r="L495" i="8"/>
  <c r="H495" i="8" s="1"/>
  <c r="M495" i="8"/>
  <c r="I495" i="8" s="1"/>
  <c r="L13" i="9"/>
  <c r="P419" i="8"/>
  <c r="M419" i="8"/>
  <c r="I419" i="8" s="1"/>
  <c r="N419" i="8"/>
  <c r="L419" i="8"/>
  <c r="H419" i="8" s="1"/>
  <c r="G419" i="8"/>
  <c r="Q419" i="8"/>
  <c r="J419" i="8"/>
  <c r="K419" i="8" s="1"/>
  <c r="U35" i="9"/>
  <c r="R35" i="9"/>
  <c r="Q35" i="9"/>
  <c r="J35" i="9"/>
  <c r="W35" i="9"/>
  <c r="T35" i="9"/>
  <c r="G35" i="9"/>
  <c r="F35" i="9"/>
  <c r="V35" i="9"/>
  <c r="S35" i="9"/>
  <c r="I35" i="9"/>
  <c r="H35" i="9"/>
  <c r="E35" i="9"/>
  <c r="D35" i="9"/>
  <c r="F549" i="8"/>
  <c r="G543" i="8"/>
  <c r="P543" i="8"/>
  <c r="N543" i="8"/>
  <c r="M543" i="8"/>
  <c r="I543" i="8" s="1"/>
  <c r="Q543" i="8"/>
  <c r="L543" i="8"/>
  <c r="H543" i="8" s="1"/>
  <c r="J543" i="8"/>
  <c r="K543" i="8" s="1"/>
  <c r="F622" i="8"/>
  <c r="O569" i="8"/>
  <c r="M512" i="8"/>
  <c r="I512" i="8" s="1"/>
  <c r="L512" i="8"/>
  <c r="H512" i="8" s="1"/>
  <c r="G512" i="8"/>
  <c r="P512" i="8"/>
  <c r="J512" i="8"/>
  <c r="K512" i="8" s="1"/>
  <c r="Q512" i="8"/>
  <c r="N512" i="8"/>
  <c r="O566" i="8"/>
  <c r="O641" i="8"/>
  <c r="F609" i="8"/>
  <c r="O556" i="8"/>
  <c r="H485" i="8"/>
  <c r="O485" i="8"/>
  <c r="O305" i="8"/>
  <c r="O329" i="8"/>
  <c r="O150" i="8"/>
  <c r="O179" i="8"/>
  <c r="O89" i="8"/>
  <c r="K10" i="9"/>
  <c r="F46" i="8"/>
  <c r="O81" i="8"/>
  <c r="O245" i="8"/>
  <c r="H667" i="8"/>
  <c r="O667" i="8"/>
  <c r="G371" i="8"/>
  <c r="P371" i="8"/>
  <c r="J371" i="8"/>
  <c r="K371" i="8" s="1"/>
  <c r="N371" i="8"/>
  <c r="L371" i="8"/>
  <c r="H371" i="8" s="1"/>
  <c r="Q371" i="8"/>
  <c r="M371" i="8"/>
  <c r="I371" i="8" s="1"/>
  <c r="H399" i="8"/>
  <c r="F399" i="8"/>
  <c r="H518" i="8"/>
  <c r="F518" i="8"/>
  <c r="M6" i="9"/>
  <c r="P486" i="8"/>
  <c r="M486" i="8"/>
  <c r="I486" i="8" s="1"/>
  <c r="L486" i="8"/>
  <c r="H486" i="8" s="1"/>
  <c r="N486" i="8"/>
  <c r="G486" i="8"/>
  <c r="Q486" i="8"/>
  <c r="J486" i="8"/>
  <c r="K486" i="8" s="1"/>
  <c r="L14" i="9"/>
  <c r="O652" i="8"/>
  <c r="K20" i="9"/>
  <c r="K41" i="9"/>
  <c r="N395" i="8"/>
  <c r="L395" i="8"/>
  <c r="H395" i="8" s="1"/>
  <c r="P395" i="8"/>
  <c r="Q395" i="8"/>
  <c r="M395" i="8"/>
  <c r="I395" i="8" s="1"/>
  <c r="G395" i="8"/>
  <c r="J395" i="8"/>
  <c r="K395" i="8" s="1"/>
  <c r="C11" i="9"/>
  <c r="P11" i="9" s="1"/>
  <c r="O537" i="8"/>
  <c r="N368" i="8"/>
  <c r="M368" i="8"/>
  <c r="I368" i="8" s="1"/>
  <c r="J368" i="8"/>
  <c r="K368" i="8" s="1"/>
  <c r="L368" i="8"/>
  <c r="H368" i="8" s="1"/>
  <c r="G368" i="8"/>
  <c r="Q368" i="8"/>
  <c r="P368" i="8"/>
  <c r="I570" i="8"/>
  <c r="F570" i="8"/>
  <c r="F636" i="8"/>
  <c r="M13" i="9"/>
  <c r="N587" i="8"/>
  <c r="L587" i="8"/>
  <c r="H587" i="8" s="1"/>
  <c r="Q587" i="8"/>
  <c r="G587" i="8"/>
  <c r="J587" i="8"/>
  <c r="K587" i="8" s="1"/>
  <c r="P587" i="8"/>
  <c r="M587" i="8"/>
  <c r="I587" i="8" s="1"/>
  <c r="C20" i="9"/>
  <c r="K13" i="9"/>
  <c r="J83" i="8"/>
  <c r="P83" i="8"/>
  <c r="Q83" i="8"/>
  <c r="M83" i="8"/>
  <c r="I83" i="8" s="1"/>
  <c r="L83" i="8"/>
  <c r="H83" i="8" s="1"/>
  <c r="G83" i="8"/>
  <c r="N83" i="8"/>
  <c r="H669" i="8"/>
  <c r="O669" i="8"/>
  <c r="O549" i="8"/>
  <c r="G639" i="8"/>
  <c r="J639" i="8"/>
  <c r="K639" i="8" s="1"/>
  <c r="P639" i="8"/>
  <c r="Q639" i="8"/>
  <c r="M639" i="8"/>
  <c r="I639" i="8" s="1"/>
  <c r="L639" i="8"/>
  <c r="H639" i="8" s="1"/>
  <c r="N639" i="8"/>
  <c r="O645" i="8"/>
  <c r="Q224" i="8"/>
  <c r="P224" i="8"/>
  <c r="N224" i="8"/>
  <c r="J224" i="8"/>
  <c r="K224" i="8" s="1"/>
  <c r="M224" i="8"/>
  <c r="I224" i="8" s="1"/>
  <c r="L224" i="8"/>
  <c r="H224" i="8" s="1"/>
  <c r="G224" i="8"/>
  <c r="O570" i="8"/>
  <c r="S9" i="9"/>
  <c r="K9" i="9"/>
  <c r="J9" i="9"/>
  <c r="I9" i="9"/>
  <c r="R9" i="9"/>
  <c r="H9" i="9"/>
  <c r="V9" i="9"/>
  <c r="U9" i="9"/>
  <c r="T9" i="9"/>
  <c r="Q9" i="9"/>
  <c r="G9" i="9"/>
  <c r="M9" i="9"/>
  <c r="L9" i="9"/>
  <c r="W9" i="9"/>
  <c r="C9" i="9"/>
  <c r="F9" i="9"/>
  <c r="E9" i="9"/>
  <c r="D9" i="9"/>
  <c r="O478" i="8"/>
  <c r="F443" i="8"/>
  <c r="O303" i="8"/>
  <c r="O378" i="8"/>
  <c r="H221" i="8"/>
  <c r="O221" i="8"/>
  <c r="F221" i="8"/>
  <c r="I246" i="8"/>
  <c r="F246" i="8"/>
  <c r="F305" i="8"/>
  <c r="F272" i="8"/>
  <c r="O109" i="8"/>
  <c r="F89" i="8"/>
  <c r="F113" i="8"/>
  <c r="O57" i="8"/>
  <c r="K16" i="9"/>
  <c r="H634" i="8"/>
  <c r="F634" i="8"/>
  <c r="H520" i="8"/>
  <c r="O520" i="8"/>
  <c r="L17" i="9"/>
  <c r="M14" i="9"/>
  <c r="C18" i="9"/>
  <c r="P18" i="9" s="1"/>
  <c r="P614" i="8"/>
  <c r="N614" i="8"/>
  <c r="Q614" i="8"/>
  <c r="L614" i="8"/>
  <c r="H614" i="8" s="1"/>
  <c r="M614" i="8"/>
  <c r="I614" i="8" s="1"/>
  <c r="J614" i="8"/>
  <c r="K614" i="8" s="1"/>
  <c r="G614" i="8"/>
  <c r="J275" i="8"/>
  <c r="K275" i="8" s="1"/>
  <c r="N275" i="8"/>
  <c r="G275" i="8"/>
  <c r="P275" i="8"/>
  <c r="M275" i="8"/>
  <c r="I275" i="8" s="1"/>
  <c r="Q275" i="8"/>
  <c r="L275" i="8"/>
  <c r="H275" i="8" s="1"/>
  <c r="N663" i="8"/>
  <c r="J663" i="8"/>
  <c r="K663" i="8" s="1"/>
  <c r="M663" i="8"/>
  <c r="I663" i="8" s="1"/>
  <c r="L663" i="8"/>
  <c r="H663" i="8" s="1"/>
  <c r="Q663" i="8"/>
  <c r="P663" i="8"/>
  <c r="G663" i="8"/>
  <c r="L632" i="8"/>
  <c r="H632" i="8" s="1"/>
  <c r="Q632" i="8"/>
  <c r="N632" i="8"/>
  <c r="M632" i="8"/>
  <c r="I632" i="8" s="1"/>
  <c r="J632" i="8"/>
  <c r="K632" i="8" s="1"/>
  <c r="P632" i="8"/>
  <c r="G632" i="8"/>
  <c r="F446" i="8"/>
  <c r="F209" i="8"/>
  <c r="F463" i="8"/>
  <c r="F517" i="8"/>
  <c r="H301" i="8"/>
  <c r="O301" i="8"/>
  <c r="F317" i="8"/>
  <c r="F374" i="8"/>
  <c r="H197" i="8"/>
  <c r="O197" i="8"/>
  <c r="F357" i="8"/>
  <c r="O389" i="8"/>
  <c r="F394" i="8"/>
  <c r="O246" i="8"/>
  <c r="H352" i="8"/>
  <c r="F352" i="8"/>
  <c r="O346" i="8"/>
  <c r="F231" i="8"/>
  <c r="F109" i="8"/>
  <c r="I107" i="8"/>
  <c r="O107" i="8"/>
  <c r="O227" i="8"/>
  <c r="H162" i="8"/>
  <c r="F162" i="8"/>
  <c r="O283" i="8"/>
  <c r="O40" i="8"/>
  <c r="O18" i="8"/>
  <c r="O33" i="8"/>
  <c r="O53" i="8"/>
  <c r="F36" i="8"/>
  <c r="F136" i="8"/>
  <c r="L6" i="9"/>
  <c r="F640" i="8"/>
  <c r="L20" i="9"/>
  <c r="P662" i="8"/>
  <c r="G662" i="8"/>
  <c r="Q662" i="8"/>
  <c r="N662" i="8"/>
  <c r="M662" i="8"/>
  <c r="I662" i="8" s="1"/>
  <c r="J662" i="8"/>
  <c r="K662" i="8" s="1"/>
  <c r="L662" i="8"/>
  <c r="H662" i="8" s="1"/>
  <c r="Q635" i="8"/>
  <c r="G635" i="8"/>
  <c r="M635" i="8"/>
  <c r="I635" i="8" s="1"/>
  <c r="L635" i="8"/>
  <c r="H635" i="8" s="1"/>
  <c r="N635" i="8"/>
  <c r="P635" i="8"/>
  <c r="J635" i="8"/>
  <c r="K635" i="8" s="1"/>
  <c r="H538" i="8"/>
  <c r="F538" i="8"/>
  <c r="N392" i="8"/>
  <c r="Q392" i="8"/>
  <c r="P392" i="8"/>
  <c r="J392" i="8"/>
  <c r="K392" i="8" s="1"/>
  <c r="G392" i="8"/>
  <c r="M392" i="8"/>
  <c r="I392" i="8" s="1"/>
  <c r="L392" i="8"/>
  <c r="H392" i="8" s="1"/>
  <c r="O568" i="8"/>
  <c r="H487" i="8"/>
  <c r="F487" i="8"/>
  <c r="F437" i="8"/>
  <c r="F490" i="8"/>
  <c r="O509" i="8"/>
  <c r="O525" i="8"/>
  <c r="O484" i="8"/>
  <c r="H309" i="8"/>
  <c r="O309" i="8"/>
  <c r="O380" i="8"/>
  <c r="H364" i="8"/>
  <c r="F364" i="8"/>
  <c r="F378" i="8"/>
  <c r="F417" i="8"/>
  <c r="F342" i="8"/>
  <c r="O357" i="8"/>
  <c r="H316" i="8"/>
  <c r="O316" i="8"/>
  <c r="F398" i="8"/>
  <c r="F202" i="8"/>
  <c r="O202" i="8"/>
  <c r="H202" i="8"/>
  <c r="H229" i="8"/>
  <c r="O229" i="8"/>
  <c r="O235" i="8"/>
  <c r="F214" i="8"/>
  <c r="F270" i="8"/>
  <c r="F258" i="8"/>
  <c r="O254" i="8"/>
  <c r="H90" i="8"/>
  <c r="O90" i="8"/>
  <c r="O165" i="8"/>
  <c r="O203" i="8"/>
  <c r="O79" i="8"/>
  <c r="O113" i="8"/>
  <c r="F23" i="8"/>
  <c r="H23" i="8"/>
  <c r="L21" i="9"/>
  <c r="M42" i="9"/>
  <c r="O14" i="8"/>
  <c r="J14" i="8" s="1"/>
  <c r="F129" i="8"/>
  <c r="L630" i="8"/>
  <c r="H630" i="8" s="1"/>
  <c r="J630" i="8"/>
  <c r="K630" i="8" s="1"/>
  <c r="P630" i="8"/>
  <c r="M630" i="8"/>
  <c r="I630" i="8" s="1"/>
  <c r="G630" i="8"/>
  <c r="N630" i="8"/>
  <c r="Q630" i="8"/>
  <c r="H521" i="8"/>
  <c r="O521" i="8"/>
  <c r="O441" i="8"/>
  <c r="I441" i="8"/>
  <c r="L327" i="8"/>
  <c r="H327" i="8" s="1"/>
  <c r="Q327" i="8"/>
  <c r="M35" i="9" s="1"/>
  <c r="M327" i="8"/>
  <c r="I327" i="8" s="1"/>
  <c r="P327" i="8"/>
  <c r="L35" i="9" s="1"/>
  <c r="N327" i="8"/>
  <c r="J327" i="8"/>
  <c r="K327" i="8" s="1"/>
  <c r="G327" i="8"/>
  <c r="C21" i="9"/>
  <c r="P21" i="9" s="1"/>
  <c r="G595" i="8"/>
  <c r="P595" i="8"/>
  <c r="J595" i="8"/>
  <c r="K39" i="9" s="1"/>
  <c r="Q595" i="8"/>
  <c r="M39" i="9" s="1"/>
  <c r="N595" i="8"/>
  <c r="L595" i="8"/>
  <c r="H595" i="8" s="1"/>
  <c r="M595" i="8"/>
  <c r="I595" i="8" s="1"/>
  <c r="G39" i="9"/>
  <c r="V39" i="9"/>
  <c r="U39" i="9"/>
  <c r="H39" i="9"/>
  <c r="F39" i="9"/>
  <c r="E39" i="9"/>
  <c r="R39" i="9"/>
  <c r="W39" i="9"/>
  <c r="T39" i="9"/>
  <c r="J39" i="9"/>
  <c r="I39" i="9"/>
  <c r="D39" i="9"/>
  <c r="S39" i="9"/>
  <c r="Q39" i="9"/>
  <c r="L39" i="9"/>
  <c r="O39" i="9" s="1"/>
  <c r="O468" i="8"/>
  <c r="H468" i="8"/>
  <c r="F670" i="8"/>
  <c r="M302" i="8"/>
  <c r="I302" i="8" s="1"/>
  <c r="L302" i="8"/>
  <c r="H302" i="8" s="1"/>
  <c r="Q302" i="8"/>
  <c r="J302" i="8"/>
  <c r="K302" i="8" s="1"/>
  <c r="G302" i="8"/>
  <c r="P302" i="8"/>
  <c r="N302" i="8"/>
  <c r="J515" i="8"/>
  <c r="K515" i="8" s="1"/>
  <c r="Q515" i="8"/>
  <c r="G515" i="8"/>
  <c r="P515" i="8"/>
  <c r="L515" i="8"/>
  <c r="H515" i="8" s="1"/>
  <c r="N515" i="8"/>
  <c r="M515" i="8"/>
  <c r="I515" i="8" s="1"/>
  <c r="O374" i="8"/>
  <c r="G584" i="8"/>
  <c r="N584" i="8"/>
  <c r="M584" i="8"/>
  <c r="I584" i="8" s="1"/>
  <c r="J584" i="8"/>
  <c r="P584" i="8"/>
  <c r="Q584" i="8"/>
  <c r="M28" i="9" s="1"/>
  <c r="L584" i="8"/>
  <c r="H584" i="8" s="1"/>
  <c r="H499" i="8"/>
  <c r="O499" i="8"/>
  <c r="F499" i="8"/>
  <c r="L277" i="8"/>
  <c r="H277" i="8" s="1"/>
  <c r="J277" i="8"/>
  <c r="K277" i="8" s="1"/>
  <c r="P277" i="8"/>
  <c r="Q277" i="8"/>
  <c r="M33" i="9" s="1"/>
  <c r="G277" i="8"/>
  <c r="M277" i="8"/>
  <c r="I277" i="8" s="1"/>
  <c r="N277" i="8"/>
  <c r="F465" i="8"/>
  <c r="O443" i="8"/>
  <c r="O388" i="8"/>
  <c r="F173" i="8"/>
  <c r="H35" i="8"/>
  <c r="F35" i="8"/>
  <c r="C15" i="9"/>
  <c r="P15" i="9" s="1"/>
  <c r="F561" i="8"/>
  <c r="C13" i="9"/>
  <c r="L611" i="8"/>
  <c r="H611" i="8" s="1"/>
  <c r="P611" i="8"/>
  <c r="N611" i="8"/>
  <c r="G611" i="8"/>
  <c r="Q611" i="8"/>
  <c r="M611" i="8"/>
  <c r="I611" i="8" s="1"/>
  <c r="J611" i="8"/>
  <c r="K611" i="8" s="1"/>
  <c r="U5" i="9"/>
  <c r="L5" i="9"/>
  <c r="N5" i="9" s="1"/>
  <c r="K5" i="9"/>
  <c r="R5" i="9"/>
  <c r="Q5" i="9"/>
  <c r="T5" i="9"/>
  <c r="E5" i="9"/>
  <c r="M5" i="9"/>
  <c r="C5" i="9"/>
  <c r="P5" i="9" s="1"/>
  <c r="F5" i="9"/>
  <c r="D5" i="9"/>
  <c r="J5" i="9"/>
  <c r="I5" i="9"/>
  <c r="H5" i="9"/>
  <c r="S5" i="9"/>
  <c r="V5" i="9"/>
  <c r="G5" i="9"/>
  <c r="W5" i="9"/>
  <c r="F453" i="8"/>
  <c r="T28" i="9"/>
  <c r="J28" i="9"/>
  <c r="E28" i="9"/>
  <c r="D28" i="9"/>
  <c r="S28" i="9"/>
  <c r="H28" i="9"/>
  <c r="G28" i="9"/>
  <c r="U28" i="9"/>
  <c r="R28" i="9"/>
  <c r="F28" i="9"/>
  <c r="Q28" i="9"/>
  <c r="I28" i="9"/>
  <c r="V28" i="9"/>
  <c r="W28" i="9"/>
  <c r="L28" i="9"/>
  <c r="N28" i="9" s="1"/>
  <c r="G397" i="8"/>
  <c r="M397" i="8"/>
  <c r="I397" i="8" s="1"/>
  <c r="N397" i="8"/>
  <c r="P397" i="8"/>
  <c r="J397" i="8"/>
  <c r="K397" i="8" s="1"/>
  <c r="Q397" i="8"/>
  <c r="L397" i="8"/>
  <c r="H397" i="8" s="1"/>
  <c r="O638" i="8"/>
  <c r="O446" i="8"/>
  <c r="F542" i="8"/>
  <c r="O438" i="8"/>
  <c r="H438" i="8"/>
  <c r="O494" i="8"/>
  <c r="F403" i="8"/>
  <c r="O449" i="8"/>
  <c r="F372" i="8"/>
  <c r="O272" i="8"/>
  <c r="I92" i="8"/>
  <c r="O92" i="8"/>
  <c r="H139" i="8"/>
  <c r="F139" i="8"/>
  <c r="F204" i="8"/>
  <c r="O186" i="8"/>
  <c r="F16" i="8"/>
  <c r="O127" i="8"/>
  <c r="L41" i="9"/>
  <c r="M15" i="9"/>
  <c r="F25" i="8"/>
  <c r="O65" i="8"/>
  <c r="H108" i="8"/>
  <c r="F108" i="8"/>
  <c r="M659" i="8"/>
  <c r="I659" i="8" s="1"/>
  <c r="L659" i="8"/>
  <c r="H659" i="8" s="1"/>
  <c r="N659" i="8"/>
  <c r="J659" i="8"/>
  <c r="K659" i="8" s="1"/>
  <c r="P659" i="8"/>
  <c r="Q659" i="8"/>
  <c r="G659" i="8"/>
  <c r="O628" i="8"/>
  <c r="H580" i="8"/>
  <c r="F580" i="8"/>
  <c r="O535" i="8"/>
  <c r="P7" i="3"/>
  <c r="T7" i="3" s="1"/>
  <c r="H592" i="8"/>
  <c r="F592" i="8"/>
  <c r="P608" i="8"/>
  <c r="N608" i="8"/>
  <c r="Q608" i="8"/>
  <c r="M608" i="8"/>
  <c r="I608" i="8" s="1"/>
  <c r="G608" i="8"/>
  <c r="J608" i="8"/>
  <c r="K608" i="8" s="1"/>
  <c r="L608" i="8"/>
  <c r="H608" i="8" s="1"/>
  <c r="L421" i="8"/>
  <c r="H421" i="8" s="1"/>
  <c r="P421" i="8"/>
  <c r="M421" i="8"/>
  <c r="I421" i="8" s="1"/>
  <c r="G421" i="8"/>
  <c r="Q421" i="8"/>
  <c r="N421" i="8"/>
  <c r="J421" i="8"/>
  <c r="K421" i="8" s="1"/>
  <c r="I376" i="8"/>
  <c r="F376" i="8"/>
  <c r="H542" i="8"/>
  <c r="O542" i="8"/>
  <c r="O526" i="8"/>
  <c r="H444" i="8"/>
  <c r="O444" i="8"/>
  <c r="O462" i="8"/>
  <c r="O418" i="8"/>
  <c r="O417" i="8"/>
  <c r="F380" i="8"/>
  <c r="H205" i="8"/>
  <c r="O205" i="8"/>
  <c r="O156" i="8"/>
  <c r="F4" i="8"/>
  <c r="M41" i="9"/>
  <c r="L12" i="9"/>
  <c r="O46" i="8"/>
  <c r="F20" i="8"/>
  <c r="O36" i="8"/>
  <c r="F563" i="8"/>
  <c r="J493" i="8"/>
  <c r="K493" i="8" s="1"/>
  <c r="Q493" i="8"/>
  <c r="M493" i="8"/>
  <c r="I493" i="8" s="1"/>
  <c r="L493" i="8"/>
  <c r="H493" i="8" s="1"/>
  <c r="N493" i="8"/>
  <c r="P493" i="8"/>
  <c r="G493" i="8"/>
  <c r="F653" i="8"/>
  <c r="O610" i="8"/>
  <c r="F633" i="8"/>
  <c r="F526" i="8"/>
  <c r="H513" i="8"/>
  <c r="O513" i="8"/>
  <c r="O406" i="8"/>
  <c r="F343" i="8"/>
  <c r="H93" i="8"/>
  <c r="F93" i="8"/>
  <c r="O93" i="8"/>
  <c r="O340" i="8"/>
  <c r="F142" i="8"/>
  <c r="H56" i="8"/>
  <c r="O56" i="8"/>
  <c r="F34" i="8"/>
  <c r="F232" i="8"/>
  <c r="F186" i="8"/>
  <c r="F161" i="8"/>
  <c r="F67" i="8"/>
  <c r="C12" i="9"/>
  <c r="P12" i="9" s="1"/>
  <c r="L18" i="9"/>
  <c r="O45" i="8"/>
  <c r="O8" i="8"/>
  <c r="J8" i="8" s="1"/>
  <c r="K8" i="8" s="1"/>
  <c r="O104" i="8"/>
  <c r="O108" i="8"/>
  <c r="L10" i="9"/>
  <c r="H469" i="8"/>
  <c r="O469" i="8"/>
  <c r="H451" i="8"/>
  <c r="F451" i="8"/>
  <c r="I471" i="8"/>
  <c r="F471" i="8"/>
  <c r="O280" i="8"/>
  <c r="H280" i="8"/>
  <c r="H412" i="8"/>
  <c r="F412" i="8"/>
  <c r="F330" i="8"/>
  <c r="O416" i="8"/>
  <c r="F351" i="8"/>
  <c r="H322" i="8"/>
  <c r="F322" i="8"/>
  <c r="O344" i="8"/>
  <c r="O112" i="8"/>
  <c r="H112" i="8"/>
  <c r="O32" i="8"/>
  <c r="F130" i="8"/>
  <c r="O111" i="8"/>
  <c r="F111" i="8"/>
  <c r="F32" i="8"/>
  <c r="O255" i="8"/>
  <c r="F261" i="8"/>
  <c r="F118" i="8"/>
  <c r="C23" i="9"/>
  <c r="P23" i="9" s="1"/>
  <c r="C6" i="9"/>
  <c r="P6" i="9" s="1"/>
  <c r="O129" i="8"/>
  <c r="F208" i="8"/>
  <c r="I546" i="8"/>
  <c r="F546" i="8"/>
  <c r="O355" i="8"/>
  <c r="F355" i="8"/>
  <c r="H355" i="8"/>
  <c r="H404" i="8"/>
  <c r="O404" i="8"/>
  <c r="O451" i="8"/>
  <c r="O403" i="8"/>
  <c r="F406" i="8"/>
  <c r="I276" i="8"/>
  <c r="F276" i="8"/>
  <c r="H225" i="8"/>
  <c r="F225" i="8"/>
  <c r="F54" i="8"/>
  <c r="F100" i="8"/>
  <c r="F30" i="8"/>
  <c r="F205" i="8"/>
  <c r="F77" i="8"/>
  <c r="F79" i="8"/>
  <c r="O28" i="8"/>
  <c r="L16" i="9"/>
  <c r="K42" i="9"/>
  <c r="F39" i="8"/>
  <c r="F535" i="8"/>
  <c r="K17" i="9"/>
  <c r="N613" i="8"/>
  <c r="L613" i="8"/>
  <c r="H613" i="8" s="1"/>
  <c r="G613" i="8"/>
  <c r="P613" i="8"/>
  <c r="J613" i="8"/>
  <c r="K613" i="8" s="1"/>
  <c r="Q613" i="8"/>
  <c r="M613" i="8"/>
  <c r="I613" i="8" s="1"/>
  <c r="O592" i="8"/>
  <c r="O588" i="8"/>
  <c r="H391" i="8"/>
  <c r="F391" i="8"/>
  <c r="H590" i="8"/>
  <c r="O590" i="8"/>
  <c r="M661" i="8"/>
  <c r="I661" i="8" s="1"/>
  <c r="L661" i="8"/>
  <c r="H661" i="8" s="1"/>
  <c r="J661" i="8"/>
  <c r="K661" i="8" s="1"/>
  <c r="G661" i="8"/>
  <c r="P661" i="8"/>
  <c r="Q661" i="8"/>
  <c r="N661" i="8"/>
  <c r="O653" i="8"/>
  <c r="F448" i="8"/>
  <c r="F450" i="8"/>
  <c r="O415" i="8"/>
  <c r="O412" i="8"/>
  <c r="I294" i="8"/>
  <c r="O294" i="8"/>
  <c r="F294" i="8"/>
  <c r="F416" i="8"/>
  <c r="F436" i="8"/>
  <c r="H325" i="8"/>
  <c r="F325" i="8"/>
  <c r="H348" i="8"/>
  <c r="O348" i="8"/>
  <c r="F344" i="8"/>
  <c r="F112" i="8"/>
  <c r="O212" i="8"/>
  <c r="H230" i="8"/>
  <c r="F230" i="8"/>
  <c r="F255" i="8"/>
  <c r="O16" i="8"/>
  <c r="F18" i="8"/>
  <c r="C7" i="9"/>
  <c r="P7" i="9" s="1"/>
  <c r="L42" i="9"/>
  <c r="F181" i="8"/>
  <c r="K23" i="9"/>
  <c r="M23" i="9"/>
  <c r="F38" i="9"/>
  <c r="U38" i="9"/>
  <c r="T38" i="9"/>
  <c r="E38" i="9"/>
  <c r="V38" i="9"/>
  <c r="R38" i="9"/>
  <c r="J38" i="9"/>
  <c r="I38" i="9"/>
  <c r="D38" i="9"/>
  <c r="W38" i="9"/>
  <c r="S38" i="9"/>
  <c r="Q38" i="9"/>
  <c r="G38" i="9"/>
  <c r="H38" i="9"/>
  <c r="M30" i="9"/>
  <c r="C17" i="9"/>
  <c r="P17" i="9" s="1"/>
  <c r="H604" i="8"/>
  <c r="O604" i="8"/>
  <c r="L7" i="9"/>
  <c r="U29" i="9"/>
  <c r="G29" i="9"/>
  <c r="F29" i="9"/>
  <c r="E29" i="9"/>
  <c r="T29" i="9"/>
  <c r="J29" i="9"/>
  <c r="R29" i="9"/>
  <c r="W29" i="9"/>
  <c r="V29" i="9"/>
  <c r="S29" i="9"/>
  <c r="Q29" i="9"/>
  <c r="H29" i="9"/>
  <c r="D29" i="9"/>
  <c r="I29" i="9"/>
  <c r="P631" i="8"/>
  <c r="M631" i="8"/>
  <c r="I631" i="8" s="1"/>
  <c r="Q631" i="8"/>
  <c r="N631" i="8"/>
  <c r="L631" i="8"/>
  <c r="H631" i="8" s="1"/>
  <c r="G631" i="8"/>
  <c r="J631" i="8"/>
  <c r="K631" i="8" s="1"/>
  <c r="L25" i="9"/>
  <c r="N541" i="8"/>
  <c r="G541" i="8"/>
  <c r="L541" i="8"/>
  <c r="H541" i="8" s="1"/>
  <c r="M541" i="8"/>
  <c r="I541" i="8" s="1"/>
  <c r="Q541" i="8"/>
  <c r="J541" i="8"/>
  <c r="K541" i="8" s="1"/>
  <c r="P541" i="8"/>
  <c r="O523" i="8"/>
  <c r="O463" i="8"/>
  <c r="O448" i="8"/>
  <c r="H450" i="8"/>
  <c r="O450" i="8"/>
  <c r="O519" i="8"/>
  <c r="O382" i="8"/>
  <c r="H382" i="8"/>
  <c r="H307" i="8"/>
  <c r="F307" i="8"/>
  <c r="O353" i="8"/>
  <c r="O325" i="8"/>
  <c r="O322" i="8"/>
  <c r="O142" i="8"/>
  <c r="O228" i="8"/>
  <c r="H234" i="8"/>
  <c r="F234" i="8"/>
  <c r="O244" i="8"/>
  <c r="H222" i="8"/>
  <c r="O222" i="8"/>
  <c r="I10" i="8"/>
  <c r="F10" i="8"/>
  <c r="O85" i="8"/>
  <c r="O15" i="8"/>
  <c r="J15" i="8" s="1"/>
  <c r="K15" i="8" s="1"/>
  <c r="H15" i="8"/>
  <c r="L23" i="9"/>
  <c r="H87" i="8"/>
  <c r="F87" i="8"/>
  <c r="K11" i="9"/>
  <c r="L30" i="9"/>
  <c r="K14" i="9"/>
  <c r="H442" i="8"/>
  <c r="F442" i="8"/>
  <c r="O172" i="8"/>
  <c r="H172" i="8"/>
  <c r="F172" i="8"/>
  <c r="H180" i="8"/>
  <c r="O180" i="8"/>
  <c r="F180" i="8"/>
  <c r="F5" i="8"/>
  <c r="K18" i="9"/>
  <c r="O59" i="8"/>
  <c r="I534" i="8"/>
  <c r="O534" i="8"/>
  <c r="F534" i="8"/>
  <c r="P583" i="8"/>
  <c r="N583" i="8"/>
  <c r="M583" i="8"/>
  <c r="I583" i="8" s="1"/>
  <c r="J583" i="8"/>
  <c r="K583" i="8" s="1"/>
  <c r="Q583" i="8"/>
  <c r="L583" i="8"/>
  <c r="H583" i="8" s="1"/>
  <c r="G583" i="8"/>
  <c r="M16" i="9"/>
  <c r="H511" i="8"/>
  <c r="O511" i="8"/>
  <c r="H467" i="8"/>
  <c r="F467" i="8"/>
  <c r="O467" i="8"/>
  <c r="Q594" i="8"/>
  <c r="M38" i="9" s="1"/>
  <c r="J594" i="8"/>
  <c r="G594" i="8"/>
  <c r="N594" i="8"/>
  <c r="P594" i="8"/>
  <c r="L38" i="9" s="1"/>
  <c r="M594" i="8"/>
  <c r="I594" i="8" s="1"/>
  <c r="L594" i="8"/>
  <c r="H594" i="8" s="1"/>
  <c r="K12" i="9"/>
  <c r="E37" i="9"/>
  <c r="W37" i="9"/>
  <c r="T37" i="9"/>
  <c r="S37" i="9"/>
  <c r="V37" i="9"/>
  <c r="H37" i="9"/>
  <c r="K37" i="9"/>
  <c r="I37" i="9"/>
  <c r="M37" i="9"/>
  <c r="U37" i="9"/>
  <c r="R37" i="9"/>
  <c r="L37" i="9"/>
  <c r="N37" i="9" s="1"/>
  <c r="F37" i="9"/>
  <c r="D37" i="9"/>
  <c r="J37" i="9"/>
  <c r="G37" i="9"/>
  <c r="C37" i="9"/>
  <c r="P37" i="9" s="1"/>
  <c r="Q37" i="9"/>
  <c r="C10" i="9"/>
  <c r="P10" i="9" s="1"/>
  <c r="O561" i="8"/>
  <c r="S27" i="9"/>
  <c r="J27" i="9"/>
  <c r="I27" i="9"/>
  <c r="W27" i="9"/>
  <c r="G27" i="9"/>
  <c r="F27" i="9"/>
  <c r="V27" i="9"/>
  <c r="U27" i="9"/>
  <c r="T27" i="9"/>
  <c r="R27" i="9"/>
  <c r="E27" i="9"/>
  <c r="D27" i="9"/>
  <c r="H27" i="9"/>
  <c r="Q27" i="9"/>
  <c r="O598" i="8"/>
  <c r="O619" i="8"/>
  <c r="F560" i="8"/>
  <c r="O643" i="8"/>
  <c r="F620" i="8"/>
  <c r="F597" i="8"/>
  <c r="S33" i="9"/>
  <c r="F33" i="9"/>
  <c r="T33" i="9"/>
  <c r="V33" i="9"/>
  <c r="U33" i="9"/>
  <c r="R33" i="9"/>
  <c r="Q33" i="9"/>
  <c r="I33" i="9"/>
  <c r="E33" i="9"/>
  <c r="D33" i="9"/>
  <c r="J33" i="9"/>
  <c r="H33" i="9"/>
  <c r="G33" i="9"/>
  <c r="W33" i="9"/>
  <c r="L33" i="9"/>
  <c r="N33" i="9" s="1"/>
  <c r="F468" i="8"/>
  <c r="F203" i="8"/>
  <c r="F466" i="8"/>
  <c r="O461" i="8"/>
  <c r="O342" i="8"/>
  <c r="F301" i="8"/>
  <c r="O343" i="8"/>
  <c r="O379" i="8"/>
  <c r="F252" i="8"/>
  <c r="O225" i="8"/>
  <c r="H196" i="8"/>
  <c r="F196" i="8"/>
  <c r="O106" i="8"/>
  <c r="H106" i="8"/>
  <c r="M18" i="9"/>
  <c r="F15" i="8"/>
  <c r="F133" i="8"/>
  <c r="F521" i="8"/>
  <c r="F619" i="8"/>
  <c r="O597" i="8"/>
  <c r="F400" i="8"/>
  <c r="O394" i="8"/>
  <c r="O253" i="8"/>
  <c r="H253" i="8"/>
  <c r="F253" i="8"/>
  <c r="F427" i="8"/>
  <c r="F452" i="8"/>
  <c r="O447" i="8"/>
  <c r="H401" i="8"/>
  <c r="O401" i="8"/>
  <c r="H187" i="8"/>
  <c r="O187" i="8"/>
  <c r="F187" i="8"/>
  <c r="O351" i="8"/>
  <c r="F300" i="8"/>
  <c r="O320" i="8"/>
  <c r="O77" i="8"/>
  <c r="O278" i="8"/>
  <c r="O25" i="8"/>
  <c r="J25" i="8" s="1"/>
  <c r="O133" i="8"/>
  <c r="O20" i="8"/>
  <c r="O94" i="8"/>
  <c r="L589" i="8"/>
  <c r="H589" i="8" s="1"/>
  <c r="M589" i="8"/>
  <c r="I589" i="8" s="1"/>
  <c r="Q589" i="8"/>
  <c r="P589" i="8"/>
  <c r="J589" i="8"/>
  <c r="K589" i="8" s="1"/>
  <c r="N589" i="8"/>
  <c r="G589" i="8"/>
  <c r="N655" i="8"/>
  <c r="M655" i="8"/>
  <c r="I655" i="8" s="1"/>
  <c r="L655" i="8"/>
  <c r="H655" i="8" s="1"/>
  <c r="G655" i="8"/>
  <c r="P655" i="8"/>
  <c r="J655" i="8"/>
  <c r="K655" i="8" s="1"/>
  <c r="Q655" i="8"/>
  <c r="M25" i="9"/>
  <c r="O562" i="8"/>
  <c r="O501" i="8"/>
  <c r="F660" i="8"/>
  <c r="O560" i="8"/>
  <c r="O656" i="8"/>
  <c r="O427" i="8"/>
  <c r="F501" i="8"/>
  <c r="O442" i="8"/>
  <c r="H341" i="8"/>
  <c r="F341" i="8"/>
  <c r="O105" i="8"/>
  <c r="I105" i="8"/>
  <c r="F84" i="8"/>
  <c r="H185" i="8"/>
  <c r="O185" i="8"/>
  <c r="F220" i="8"/>
  <c r="I200" i="8"/>
  <c r="F200" i="8"/>
  <c r="O149" i="8"/>
  <c r="F57" i="8"/>
  <c r="O141" i="8"/>
  <c r="O115" i="8"/>
  <c r="K15" i="9"/>
  <c r="F94" i="8"/>
  <c r="F45" i="8"/>
  <c r="H533" i="8"/>
  <c r="F533" i="8"/>
  <c r="O580" i="8"/>
  <c r="L11" i="9"/>
  <c r="O634" i="8"/>
  <c r="H628" i="8"/>
  <c r="F628" i="8"/>
  <c r="O618" i="8"/>
  <c r="N439" i="8"/>
  <c r="M439" i="8"/>
  <c r="I439" i="8" s="1"/>
  <c r="Q439" i="8"/>
  <c r="P439" i="8"/>
  <c r="L27" i="9" s="1"/>
  <c r="J439" i="8"/>
  <c r="K439" i="8" s="1"/>
  <c r="L439" i="8"/>
  <c r="H439" i="8" s="1"/>
  <c r="G439" i="8"/>
  <c r="O533" i="8"/>
  <c r="P642" i="8"/>
  <c r="Q642" i="8"/>
  <c r="N642" i="8"/>
  <c r="J642" i="8"/>
  <c r="K642" i="8" s="1"/>
  <c r="G642" i="8"/>
  <c r="L642" i="8"/>
  <c r="H642" i="8" s="1"/>
  <c r="M642" i="8"/>
  <c r="I642" i="8" s="1"/>
  <c r="M637" i="8"/>
  <c r="I637" i="8" s="1"/>
  <c r="G637" i="8"/>
  <c r="L637" i="8"/>
  <c r="H637" i="8" s="1"/>
  <c r="Q637" i="8"/>
  <c r="N637" i="8"/>
  <c r="P637" i="8"/>
  <c r="J637" i="8"/>
  <c r="K637" i="8" s="1"/>
  <c r="J24" i="9"/>
  <c r="G24" i="9"/>
  <c r="F24" i="9"/>
  <c r="H24" i="9"/>
  <c r="E24" i="9"/>
  <c r="D24" i="9"/>
  <c r="T24" i="9"/>
  <c r="L24" i="9"/>
  <c r="O24" i="9" s="1"/>
  <c r="W24" i="9"/>
  <c r="V24" i="9"/>
  <c r="U24" i="9"/>
  <c r="K24" i="9"/>
  <c r="C24" i="9"/>
  <c r="P24" i="9" s="1"/>
  <c r="M24" i="9"/>
  <c r="S24" i="9"/>
  <c r="R24" i="9"/>
  <c r="Q24" i="9"/>
  <c r="I24" i="9"/>
  <c r="J654" i="8"/>
  <c r="K654" i="8" s="1"/>
  <c r="G654" i="8"/>
  <c r="M654" i="8"/>
  <c r="I654" i="8" s="1"/>
  <c r="L654" i="8"/>
  <c r="H654" i="8" s="1"/>
  <c r="P654" i="8"/>
  <c r="N654" i="8"/>
  <c r="Q654" i="8"/>
  <c r="M10" i="9"/>
  <c r="M297" i="8"/>
  <c r="I297" i="8" s="1"/>
  <c r="G297" i="8"/>
  <c r="N297" i="8"/>
  <c r="L297" i="8"/>
  <c r="H297" i="8" s="1"/>
  <c r="P297" i="8"/>
  <c r="J297" i="8"/>
  <c r="K297" i="8" s="1"/>
  <c r="Q297" i="8"/>
  <c r="N559" i="8"/>
  <c r="M559" i="8"/>
  <c r="I559" i="8" s="1"/>
  <c r="J559" i="8"/>
  <c r="K559" i="8" s="1"/>
  <c r="L559" i="8"/>
  <c r="H559" i="8" s="1"/>
  <c r="Q559" i="8"/>
  <c r="M27" i="9" s="1"/>
  <c r="P559" i="8"/>
  <c r="G559" i="8"/>
  <c r="R26" i="9"/>
  <c r="I26" i="9"/>
  <c r="H26" i="9"/>
  <c r="T26" i="9"/>
  <c r="S26" i="9"/>
  <c r="Q26" i="9"/>
  <c r="W26" i="9"/>
  <c r="U26" i="9"/>
  <c r="V26" i="9"/>
  <c r="E26" i="9"/>
  <c r="J26" i="9"/>
  <c r="G26" i="9"/>
  <c r="D26" i="9"/>
  <c r="M26" i="9"/>
  <c r="F26" i="9"/>
  <c r="N249" i="8"/>
  <c r="P249" i="8"/>
  <c r="G249" i="8"/>
  <c r="J249" i="8"/>
  <c r="K249" i="8" s="1"/>
  <c r="Q249" i="8"/>
  <c r="M249" i="8"/>
  <c r="I249" i="8" s="1"/>
  <c r="L249" i="8"/>
  <c r="H249" i="8" s="1"/>
  <c r="F562" i="8"/>
  <c r="O622" i="8"/>
  <c r="H402" i="8"/>
  <c r="O402" i="8"/>
  <c r="F402" i="8"/>
  <c r="J606" i="8"/>
  <c r="K606" i="8" s="1"/>
  <c r="G606" i="8"/>
  <c r="P606" i="8"/>
  <c r="L26" i="9" s="1"/>
  <c r="N606" i="8"/>
  <c r="M606" i="8"/>
  <c r="I606" i="8" s="1"/>
  <c r="L606" i="8"/>
  <c r="H606" i="8" s="1"/>
  <c r="Q606" i="8"/>
  <c r="N321" i="8"/>
  <c r="P321" i="8"/>
  <c r="G321" i="8"/>
  <c r="M321" i="8"/>
  <c r="I321" i="8" s="1"/>
  <c r="J321" i="8"/>
  <c r="K321" i="8" s="1"/>
  <c r="Q321" i="8"/>
  <c r="L321" i="8"/>
  <c r="H321" i="8" s="1"/>
  <c r="F590" i="8"/>
  <c r="F500" i="8"/>
  <c r="F658" i="8"/>
  <c r="O636" i="8"/>
  <c r="M22" i="9"/>
  <c r="F445" i="8"/>
  <c r="O550" i="8"/>
  <c r="O621" i="8"/>
  <c r="O524" i="8"/>
  <c r="F511" i="8"/>
  <c r="O582" i="8"/>
  <c r="O414" i="8"/>
  <c r="H414" i="8"/>
  <c r="H492" i="8"/>
  <c r="F492" i="8"/>
  <c r="F532" i="8"/>
  <c r="O500" i="8"/>
  <c r="O426" i="8"/>
  <c r="F367" i="8"/>
  <c r="O381" i="8"/>
  <c r="F303" i="8"/>
  <c r="F280" i="8"/>
  <c r="O231" i="8"/>
  <c r="O173" i="8"/>
  <c r="O234" i="8"/>
  <c r="O214" i="8"/>
  <c r="O273" i="8"/>
  <c r="O38" i="8"/>
  <c r="M12" i="9"/>
  <c r="O12" i="8"/>
  <c r="J12" i="8" s="1"/>
  <c r="O61" i="8"/>
  <c r="F524" i="8"/>
  <c r="F491" i="8"/>
  <c r="F390" i="8"/>
  <c r="F353" i="8"/>
  <c r="O330" i="8"/>
  <c r="O100" i="8"/>
  <c r="H66" i="8"/>
  <c r="O66" i="8"/>
  <c r="H124" i="8"/>
  <c r="F124" i="8"/>
  <c r="K21" i="9"/>
  <c r="F42" i="8"/>
  <c r="F69" i="8"/>
  <c r="O670" i="8"/>
  <c r="L22" i="9"/>
  <c r="H454" i="8"/>
  <c r="O454" i="8"/>
  <c r="O664" i="8"/>
  <c r="F652" i="8"/>
  <c r="H652" i="8"/>
  <c r="N177" i="8"/>
  <c r="Q177" i="8"/>
  <c r="M29" i="9" s="1"/>
  <c r="P177" i="8"/>
  <c r="L29" i="9" s="1"/>
  <c r="J177" i="8"/>
  <c r="K177" i="8" s="1"/>
  <c r="G177" i="8"/>
  <c r="M177" i="8"/>
  <c r="I177" i="8" s="1"/>
  <c r="L177" i="8"/>
  <c r="H177" i="8" s="1"/>
  <c r="Q567" i="8"/>
  <c r="P567" i="8"/>
  <c r="L567" i="8"/>
  <c r="H567" i="8" s="1"/>
  <c r="M567" i="8"/>
  <c r="I567" i="8" s="1"/>
  <c r="G567" i="8"/>
  <c r="N567" i="8"/>
  <c r="J567" i="8"/>
  <c r="K567" i="8" s="1"/>
  <c r="L615" i="8"/>
  <c r="H615" i="8" s="1"/>
  <c r="J615" i="8"/>
  <c r="K615" i="8" s="1"/>
  <c r="G615" i="8"/>
  <c r="P615" i="8"/>
  <c r="N615" i="8"/>
  <c r="M615" i="8"/>
  <c r="I615" i="8" s="1"/>
  <c r="Q615" i="8"/>
  <c r="L8" i="9"/>
  <c r="H424" i="8"/>
  <c r="F424" i="8"/>
  <c r="L34" i="9"/>
  <c r="F568" i="8"/>
  <c r="O616" i="8"/>
  <c r="H574" i="8"/>
  <c r="F574" i="8"/>
  <c r="K22" i="9"/>
  <c r="F621" i="8"/>
  <c r="F377" i="8"/>
  <c r="F426" i="8"/>
  <c r="O367" i="8"/>
  <c r="H367" i="8"/>
  <c r="O375" i="8"/>
  <c r="H282" i="8"/>
  <c r="O282" i="8"/>
  <c r="O369" i="8"/>
  <c r="O232" i="8"/>
  <c r="F292" i="8"/>
  <c r="O204" i="8"/>
  <c r="O84" i="8"/>
  <c r="O35" i="8"/>
  <c r="F128" i="8"/>
  <c r="F149" i="8"/>
  <c r="O252" i="8"/>
  <c r="O6" i="8"/>
  <c r="J6" i="8" s="1"/>
  <c r="K6" i="8" s="1"/>
  <c r="L19" i="9"/>
  <c r="O5" i="8"/>
  <c r="J5" i="8" s="1"/>
  <c r="F29" i="8"/>
  <c r="P516" i="8"/>
  <c r="L32" i="9" s="1"/>
  <c r="L516" i="8"/>
  <c r="H516" i="8" s="1"/>
  <c r="J516" i="8"/>
  <c r="K516" i="8" s="1"/>
  <c r="M516" i="8"/>
  <c r="I516" i="8" s="1"/>
  <c r="G516" i="8"/>
  <c r="Q516" i="8"/>
  <c r="M32" i="9" s="1"/>
  <c r="N516" i="8"/>
  <c r="K7" i="9"/>
  <c r="P585" i="8"/>
  <c r="G585" i="8"/>
  <c r="J585" i="8"/>
  <c r="K585" i="8" s="1"/>
  <c r="M585" i="8"/>
  <c r="I585" i="8" s="1"/>
  <c r="Q585" i="8"/>
  <c r="L585" i="8"/>
  <c r="H585" i="8" s="1"/>
  <c r="N585" i="8"/>
  <c r="F598" i="8"/>
  <c r="Q423" i="8"/>
  <c r="N423" i="8"/>
  <c r="M423" i="8"/>
  <c r="I423" i="8" s="1"/>
  <c r="L423" i="8"/>
  <c r="H423" i="8" s="1"/>
  <c r="J423" i="8"/>
  <c r="K423" i="8" s="1"/>
  <c r="G423" i="8"/>
  <c r="P423" i="8"/>
  <c r="M8" i="9"/>
  <c r="O640" i="8"/>
  <c r="M34" i="9"/>
  <c r="F520" i="8"/>
  <c r="I488" i="8"/>
  <c r="F488" i="8"/>
  <c r="O498" i="8"/>
  <c r="O445" i="8"/>
  <c r="O452" i="8"/>
  <c r="F510" i="8"/>
  <c r="O271" i="8"/>
  <c r="H259" i="8"/>
  <c r="O259" i="8"/>
  <c r="F259" i="8"/>
  <c r="F346" i="8"/>
  <c r="O134" i="8"/>
  <c r="O220" i="8"/>
  <c r="F273" i="8"/>
  <c r="O135" i="8"/>
  <c r="I135" i="8"/>
  <c r="F135" i="8"/>
  <c r="O67" i="8"/>
  <c r="F138" i="8"/>
  <c r="F106" i="8"/>
  <c r="O130" i="8"/>
  <c r="H4" i="8"/>
  <c r="O4" i="8"/>
  <c r="M19" i="9"/>
  <c r="O42" i="8"/>
  <c r="O91" i="8"/>
  <c r="H548" i="8"/>
  <c r="O548" i="8"/>
  <c r="F548" i="8"/>
  <c r="O399" i="8"/>
  <c r="F616" i="8"/>
  <c r="O607" i="8"/>
  <c r="F656" i="8"/>
  <c r="F449" i="8"/>
  <c r="F472" i="8"/>
  <c r="O472" i="8"/>
  <c r="O565" i="8"/>
  <c r="O518" i="8"/>
  <c r="F478" i="8"/>
  <c r="F271" i="8"/>
  <c r="F422" i="8"/>
  <c r="O274" i="8"/>
  <c r="F274" i="8"/>
  <c r="O136" i="8"/>
  <c r="F182" i="8"/>
  <c r="H54" i="8"/>
  <c r="O54" i="8"/>
  <c r="O157" i="8"/>
  <c r="O199" i="8"/>
  <c r="O270" i="8"/>
  <c r="F248" i="8"/>
  <c r="O200" i="8"/>
  <c r="F92" i="8"/>
  <c r="O43" i="8"/>
  <c r="H43" i="8"/>
  <c r="M17" i="9"/>
  <c r="F91" i="8"/>
  <c r="F12" i="8"/>
  <c r="O21" i="8"/>
  <c r="G591" i="8"/>
  <c r="P591" i="8"/>
  <c r="M591" i="8"/>
  <c r="I591" i="8" s="1"/>
  <c r="L591" i="8"/>
  <c r="H591" i="8" s="1"/>
  <c r="J591" i="8"/>
  <c r="K591" i="8" s="1"/>
  <c r="N591" i="8"/>
  <c r="Q591" i="8"/>
  <c r="H365" i="8"/>
  <c r="F365" i="8"/>
  <c r="H308" i="8"/>
  <c r="O308" i="8"/>
  <c r="O510" i="8"/>
  <c r="O182" i="8"/>
  <c r="H52" i="8"/>
  <c r="O52" i="8"/>
  <c r="F56" i="8"/>
  <c r="F157" i="8"/>
  <c r="H140" i="8"/>
  <c r="F140" i="8"/>
  <c r="O140" i="8"/>
  <c r="H126" i="8"/>
  <c r="O126" i="8"/>
  <c r="H63" i="8"/>
  <c r="O63" i="8"/>
  <c r="K6" i="9"/>
  <c r="I166" i="8"/>
  <c r="F166" i="8"/>
  <c r="F6" i="8"/>
  <c r="H617" i="8"/>
  <c r="O617" i="8"/>
  <c r="L40" i="9"/>
  <c r="H668" i="8"/>
  <c r="O668" i="8"/>
  <c r="H497" i="8"/>
  <c r="O497" i="8"/>
  <c r="F497" i="8"/>
  <c r="C22" i="9"/>
  <c r="P22" i="9" s="1"/>
  <c r="O453" i="8"/>
  <c r="H306" i="8"/>
  <c r="F306" i="8"/>
  <c r="H175" i="8"/>
  <c r="F175" i="8"/>
  <c r="O31" i="8"/>
  <c r="H31" i="8"/>
  <c r="O41" i="8"/>
  <c r="O209" i="8"/>
  <c r="F14" i="8"/>
  <c r="C16" i="9"/>
  <c r="P16" i="9" s="1"/>
  <c r="Q657" i="8"/>
  <c r="P657" i="8"/>
  <c r="M657" i="8"/>
  <c r="I657" i="8" s="1"/>
  <c r="L657" i="8"/>
  <c r="H657" i="8" s="1"/>
  <c r="N657" i="8"/>
  <c r="G657" i="8"/>
  <c r="J657" i="8"/>
  <c r="K657" i="8" s="1"/>
  <c r="K8" i="9"/>
  <c r="F645" i="8"/>
  <c r="F607" i="8"/>
  <c r="F641" i="8"/>
  <c r="O609" i="8"/>
  <c r="O491" i="8"/>
  <c r="F610" i="8"/>
  <c r="F418" i="8"/>
  <c r="F565" i="8"/>
  <c r="F525" i="8"/>
  <c r="F484" i="8"/>
  <c r="O540" i="8"/>
  <c r="O465" i="8"/>
  <c r="F462" i="8"/>
  <c r="H323" i="8"/>
  <c r="F323" i="8"/>
  <c r="O390" i="8"/>
  <c r="F389" i="8"/>
  <c r="F329" i="8"/>
  <c r="F165" i="8"/>
  <c r="H251" i="8"/>
  <c r="F251" i="8"/>
  <c r="O248" i="8"/>
  <c r="H55" i="8"/>
  <c r="F55" i="8"/>
  <c r="F28" i="8"/>
  <c r="C14" i="9"/>
  <c r="P14" i="9" s="1"/>
  <c r="M36" i="9"/>
  <c r="O39" i="8"/>
  <c r="F33" i="8"/>
  <c r="O9" i="9" l="1"/>
  <c r="O5" i="9"/>
  <c r="N39" i="9"/>
  <c r="F655" i="8"/>
  <c r="F347" i="8"/>
  <c r="F493" i="8"/>
  <c r="K38" i="9"/>
  <c r="F249" i="8"/>
  <c r="F614" i="8"/>
  <c r="P13" i="9"/>
  <c r="F395" i="8"/>
  <c r="O663" i="8"/>
  <c r="O541" i="8"/>
  <c r="F275" i="8"/>
  <c r="F423" i="8"/>
  <c r="K10" i="8"/>
  <c r="C30" i="9" s="1"/>
  <c r="P30" i="9" s="1"/>
  <c r="K595" i="8"/>
  <c r="C39" i="9" s="1"/>
  <c r="P39" i="9" s="1"/>
  <c r="K27" i="9"/>
  <c r="K26" i="9"/>
  <c r="O583" i="8"/>
  <c r="K33" i="9"/>
  <c r="K28" i="9"/>
  <c r="F327" i="8"/>
  <c r="O368" i="8"/>
  <c r="K31" i="9"/>
  <c r="F321" i="8"/>
  <c r="K29" i="9"/>
  <c r="F83" i="8"/>
  <c r="F663" i="8"/>
  <c r="F224" i="8"/>
  <c r="F567" i="8"/>
  <c r="O516" i="8"/>
  <c r="F659" i="8"/>
  <c r="O423" i="8"/>
  <c r="O567" i="8"/>
  <c r="F583" i="8"/>
  <c r="F302" i="8"/>
  <c r="N24" i="9"/>
  <c r="P20" i="9"/>
  <c r="P9" i="9"/>
  <c r="N9" i="9"/>
  <c r="N27" i="9"/>
  <c r="O27" i="9"/>
  <c r="C27" i="9"/>
  <c r="N32" i="9"/>
  <c r="O32" i="9"/>
  <c r="C35" i="9"/>
  <c r="C26" i="9"/>
  <c r="C29" i="9"/>
  <c r="P29" i="9" s="1"/>
  <c r="O29" i="9"/>
  <c r="N29" i="9"/>
  <c r="N26" i="9"/>
  <c r="O26" i="9"/>
  <c r="O38" i="9"/>
  <c r="N38" i="9"/>
  <c r="N35" i="9"/>
  <c r="O35" i="9"/>
  <c r="C33" i="9"/>
  <c r="O30" i="9"/>
  <c r="N30" i="9"/>
  <c r="O7" i="9"/>
  <c r="N7" i="9"/>
  <c r="O611" i="8"/>
  <c r="O21" i="9"/>
  <c r="N21" i="9"/>
  <c r="K83" i="8"/>
  <c r="C31" i="9" s="1"/>
  <c r="F419" i="8"/>
  <c r="F177" i="8"/>
  <c r="O637" i="8"/>
  <c r="O33" i="9"/>
  <c r="O631" i="8"/>
  <c r="F611" i="8"/>
  <c r="N6" i="9"/>
  <c r="O6" i="9"/>
  <c r="O224" i="8"/>
  <c r="N14" i="9"/>
  <c r="O14" i="9"/>
  <c r="O8" i="9"/>
  <c r="N8" i="9"/>
  <c r="F368" i="8"/>
  <c r="F371" i="8"/>
  <c r="O13" i="9"/>
  <c r="N13" i="9"/>
  <c r="O606" i="8"/>
  <c r="F613" i="8"/>
  <c r="O327" i="8"/>
  <c r="O17" i="9"/>
  <c r="N17" i="9"/>
  <c r="M31" i="9"/>
  <c r="F512" i="8"/>
  <c r="F589" i="8"/>
  <c r="O23" i="9"/>
  <c r="N23" i="9"/>
  <c r="F421" i="8"/>
  <c r="O659" i="8"/>
  <c r="F584" i="8"/>
  <c r="F635" i="8"/>
  <c r="O83" i="8"/>
  <c r="O42" i="9"/>
  <c r="N42" i="9"/>
  <c r="K584" i="8"/>
  <c r="C28" i="9" s="1"/>
  <c r="L31" i="9"/>
  <c r="O585" i="8"/>
  <c r="O177" i="8"/>
  <c r="K12" i="8"/>
  <c r="C32" i="9" s="1"/>
  <c r="K32" i="9"/>
  <c r="O439" i="8"/>
  <c r="O589" i="8"/>
  <c r="O584" i="8"/>
  <c r="O302" i="8"/>
  <c r="F585" i="8"/>
  <c r="F615" i="8"/>
  <c r="F594" i="8"/>
  <c r="O661" i="8"/>
  <c r="O635" i="8"/>
  <c r="O615" i="8"/>
  <c r="F637" i="8"/>
  <c r="K594" i="8"/>
  <c r="C38" i="9" s="1"/>
  <c r="P38" i="9" s="1"/>
  <c r="N12" i="9"/>
  <c r="O12" i="9"/>
  <c r="O421" i="8"/>
  <c r="O495" i="8"/>
  <c r="O347" i="8"/>
  <c r="F661" i="8"/>
  <c r="F632" i="8"/>
  <c r="O275" i="8"/>
  <c r="O486" i="8"/>
  <c r="K35" i="9"/>
  <c r="O11" i="9"/>
  <c r="N11" i="9"/>
  <c r="F541" i="8"/>
  <c r="O16" i="9"/>
  <c r="N16" i="9"/>
  <c r="F486" i="8"/>
  <c r="F543" i="8"/>
  <c r="F657" i="8"/>
  <c r="O297" i="8"/>
  <c r="O657" i="8"/>
  <c r="O40" i="9"/>
  <c r="N40" i="9"/>
  <c r="F495" i="8"/>
  <c r="O37" i="9"/>
  <c r="O639" i="8"/>
  <c r="F587" i="8"/>
  <c r="O10" i="9"/>
  <c r="N10" i="9"/>
  <c r="F392" i="8"/>
  <c r="O632" i="8"/>
  <c r="F639" i="8"/>
  <c r="F297" i="8"/>
  <c r="K25" i="8"/>
  <c r="C19" i="9" s="1"/>
  <c r="K19" i="9"/>
  <c r="O594" i="8"/>
  <c r="N25" i="9"/>
  <c r="O25" i="9"/>
  <c r="O608" i="8"/>
  <c r="O28" i="9"/>
  <c r="O515" i="8"/>
  <c r="O543" i="8"/>
  <c r="O321" i="8"/>
  <c r="F642" i="8"/>
  <c r="F631" i="8"/>
  <c r="F595" i="8"/>
  <c r="O662" i="8"/>
  <c r="O395" i="8"/>
  <c r="O371" i="8"/>
  <c r="O654" i="8"/>
  <c r="O642" i="8"/>
  <c r="N41" i="9"/>
  <c r="O41" i="9"/>
  <c r="O595" i="8"/>
  <c r="F630" i="8"/>
  <c r="O587" i="8"/>
  <c r="F559" i="8"/>
  <c r="O655" i="8"/>
  <c r="O18" i="9"/>
  <c r="N18" i="9"/>
  <c r="O493" i="8"/>
  <c r="F608" i="8"/>
  <c r="O397" i="8"/>
  <c r="O630" i="8"/>
  <c r="O392" i="8"/>
  <c r="O345" i="8"/>
  <c r="F591" i="8"/>
  <c r="F439" i="8"/>
  <c r="O614" i="8"/>
  <c r="F516" i="8"/>
  <c r="K5" i="8"/>
  <c r="C25" i="9" s="1"/>
  <c r="K25" i="9"/>
  <c r="F606" i="8"/>
  <c r="O249" i="8"/>
  <c r="O559" i="8"/>
  <c r="O613" i="8"/>
  <c r="F397" i="8"/>
  <c r="O277" i="8"/>
  <c r="K34" i="9"/>
  <c r="K14" i="8"/>
  <c r="C34" i="9" s="1"/>
  <c r="F662" i="8"/>
  <c r="F345" i="8"/>
  <c r="O22" i="9"/>
  <c r="N22" i="9"/>
  <c r="O591" i="8"/>
  <c r="O19" i="9"/>
  <c r="N19" i="9"/>
  <c r="N34" i="9"/>
  <c r="O34" i="9"/>
  <c r="F654" i="8"/>
  <c r="F277" i="8"/>
  <c r="F515" i="8"/>
  <c r="O20" i="9"/>
  <c r="N20" i="9"/>
  <c r="O512" i="8"/>
  <c r="O419" i="8"/>
  <c r="P31" i="9" l="1"/>
  <c r="P34" i="9"/>
  <c r="P27" i="9"/>
  <c r="P26" i="9"/>
  <c r="P33" i="9"/>
  <c r="P28" i="9"/>
  <c r="P19" i="9"/>
  <c r="P32" i="9"/>
  <c r="P25" i="9"/>
  <c r="O31" i="9"/>
  <c r="N31" i="9"/>
  <c r="P35" i="9"/>
</calcChain>
</file>

<file path=xl/sharedStrings.xml><?xml version="1.0" encoding="utf-8"?>
<sst xmlns="http://schemas.openxmlformats.org/spreadsheetml/2006/main" count="264" uniqueCount="204">
  <si>
    <t>SUIVI DE SAISON U18 - JOURNAL CONTINU</t>
  </si>
  <si>
    <t>Principe</t>
  </si>
  <si>
    <t>Un seul classeur pour toute la saison, pour les deux effectifs (Équipe 1 et Équipe 2). Chaque match reçoit un numéro ("N° Match") dans l'onglet Matchs, reporté ensuite dans les autres onglets pour rattacher chaque ligne (convocation, but, carton, changement) au bon match. Les stats de saison et le suivi des renforts se mettent à jour tout seuls.</t>
  </si>
  <si>
    <t>Effectif Saison</t>
  </si>
  <si>
    <t>Liste unique des joueurs des deux équipes, avec leur équipe habituelle (Équipe 1 / Équipe 2), saisie une fois en début de saison.</t>
  </si>
  <si>
    <t>Matchs</t>
  </si>
  <si>
    <t>Un match = une ligne. Le N° Match est automatique. Le nombre de convoqués et le nombre de renforts venus de l'Équipe 1 se calculent seuls, avec une alerte si vous dépassez 14 convoqués. Renseignez "Niveau adversaire" et "Classement adversaire" (manuel, facultatif) : un bilan victoires/nuls/défaites par niveau se calcule automatiquement à droite du tableau.</t>
  </si>
  <si>
    <t>Convocations &amp; Temps de jeu</t>
  </si>
  <si>
    <t>Une ligne par passage sur le terrain. Un joueur qui sort et rentre plusieurs fois (courant en U18) prend simplement une ligne de plus pour le même match. La colonne "Équipe habituelle" repère automatiquement les renforts de l'Équipe 1.</t>
  </si>
  <si>
    <t>Buts</t>
  </si>
  <si>
    <t>Une ligne par but, rattachée à un N° Match. Le type de but se choisit dans une liste (Jeu, Tête, Penalty, Coup franc, CSC, Autre).</t>
  </si>
  <si>
    <t>Cartons</t>
  </si>
  <si>
    <t>Une ligne par carton, rattachée à un N° Match.</t>
  </si>
  <si>
    <t>Changements</t>
  </si>
  <si>
    <t>Journal désormais 100% automatique : reconstruit à partir de l'onglet "Convocations &amp; Temps de jeu" (Minute entrée / Minute sortie), pour garder une trace chronologique lisible sans ressaisir les changements. Rien à remplir dans cet onglet. Le rapprochement Sort/Entre se fait par match + minute (et par ordre en cas de plusieurs changements à la même minute).</t>
  </si>
  <si>
    <t>Gardien</t>
  </si>
  <si>
    <t>Une ligne par match (deux lignes si deux gardiens se sont partagé la rencontre). Le clean sheet et le contrôle vs score encaissé se calculent seuls ; ces stats remontent aussi dans le Cumul Saison (matchs gardés, clean sheets, buts encaissés).</t>
  </si>
  <si>
    <t>Cumul Saison</t>
  </si>
  <si>
    <t>100% automatique : totaux par joueur (équipe habituelle, matchs joués, buts, passes, cartons, temps de jeu), quelle que soit l'équipe pour laquelle il a joué. Inclut aussi le taux de convocation/titularisation, le temps de jeu moyen, l'historique des motifs d'absence, et pour les gardiens : matchs gardés, clean sheets, buts encaissés.</t>
  </si>
  <si>
    <t>Suivi des renforts</t>
  </si>
  <si>
    <t>Ce classeur suit les convocations de l'Équipe 2. Un joueur de l'Équipe 1 appelé en renfort apparaît normalement dans "Convocations &amp; Temps de jeu" comme n'importe quel joueur : la colonne "Équipe habituelle" le repère automatiquement (grâce à l'onglet Effectif Saison), et l'onglet Matchs compte le nombre de renforts par match. Ses stats individuelles (buts, passes, temps de jeu) restent suivies comme celles de tout autre joueur dans le Cumul Saison.</t>
  </si>
  <si>
    <t>A savoir</t>
  </si>
  <si>
    <t>•</t>
  </si>
  <si>
    <t>Choisissez toujours le joueur dans la liste déroulante (ne retapez pas son nom à la main) : cela garantit que les stats de saison et le suivi des renforts le retrouvent correctement.</t>
  </si>
  <si>
    <t>Le N° Match se choisit aussi dans une liste déroulante, alimentée par l'onglet Matchs.</t>
  </si>
  <si>
    <t>Un joueur qui sort et rentre plusieurs fois dans le même match (fréquent en U18) prend une ligne par passage dans "Convocations &amp; Temps de jeu" : même N° Match, même joueur, juste un "N° de passage" différent (1, 2, 3...). Le temps de jeu total du joueur additionne alors tous ses passages, sur tous les matchs.</t>
  </si>
  <si>
    <t>Pour ajouter un match au-delà du numéro 30, ou un joueur au-delà de 30, il suffit d'étirer les formules d'une ligne vers le bas.</t>
  </si>
  <si>
    <t>Code couleur</t>
  </si>
  <si>
    <t>Exemple</t>
  </si>
  <si>
    <t>Texte bleu : cellule à remplir manuellement</t>
  </si>
  <si>
    <t>Texte noir : cellule calculée automatiquement (ne pas modifier)</t>
  </si>
  <si>
    <t>Fond jaune pâle : ligne d'exemple, à remplacer par vos données</t>
  </si>
  <si>
    <t>Fond jaune vif : cellule clé (ex. durée du match)</t>
  </si>
  <si>
    <t>Fond rouge : alerte (ex. plus de 14 joueurs convoqués)</t>
  </si>
  <si>
    <t>EFFECTIF SAISON (EQUIPE 1 + EQUIPE 2)</t>
  </si>
  <si>
    <t>Nom</t>
  </si>
  <si>
    <t>Prénom</t>
  </si>
  <si>
    <t>Poste</t>
  </si>
  <si>
    <t>Équipe</t>
  </si>
  <si>
    <t>Nom complet</t>
  </si>
  <si>
    <t>MICHON</t>
  </si>
  <si>
    <t>Alan</t>
  </si>
  <si>
    <t>Équipe 1</t>
  </si>
  <si>
    <t>BRUNTZ</t>
  </si>
  <si>
    <t>Jean</t>
  </si>
  <si>
    <t>SBK</t>
  </si>
  <si>
    <t>Marouane</t>
  </si>
  <si>
    <t>BIHL</t>
  </si>
  <si>
    <t>Noé</t>
  </si>
  <si>
    <t>COLAIANNI</t>
  </si>
  <si>
    <t>Luca</t>
  </si>
  <si>
    <t>ER</t>
  </si>
  <si>
    <t>Atilla</t>
  </si>
  <si>
    <t>BUHR</t>
  </si>
  <si>
    <t>Lucas</t>
  </si>
  <si>
    <t>HOUX</t>
  </si>
  <si>
    <t>Yanis</t>
  </si>
  <si>
    <t>Tino</t>
  </si>
  <si>
    <t>KELLERKNECHT</t>
  </si>
  <si>
    <t>Achille</t>
  </si>
  <si>
    <t>LEPERT</t>
  </si>
  <si>
    <t>Charly</t>
  </si>
  <si>
    <t>STANGRET</t>
  </si>
  <si>
    <t>Basile</t>
  </si>
  <si>
    <t>KELLER</t>
  </si>
  <si>
    <t>Maxence</t>
  </si>
  <si>
    <t>SCHMITT</t>
  </si>
  <si>
    <t>Evan</t>
  </si>
  <si>
    <t>SIMON</t>
  </si>
  <si>
    <t>William</t>
  </si>
  <si>
    <t>LEPPER</t>
  </si>
  <si>
    <t>Lenny</t>
  </si>
  <si>
    <t>Malo</t>
  </si>
  <si>
    <t>SCHILLER</t>
  </si>
  <si>
    <t>Tom</t>
  </si>
  <si>
    <t>LEIBY</t>
  </si>
  <si>
    <t>Eliot</t>
  </si>
  <si>
    <t>STRAUB</t>
  </si>
  <si>
    <t>Mathias</t>
  </si>
  <si>
    <t>Équipe 2</t>
  </si>
  <si>
    <t>GENDRIN</t>
  </si>
  <si>
    <t>Paul</t>
  </si>
  <si>
    <t>JEHL</t>
  </si>
  <si>
    <t>Jules</t>
  </si>
  <si>
    <t>BOHN</t>
  </si>
  <si>
    <t>Bastien</t>
  </si>
  <si>
    <t>KUHLMANN</t>
  </si>
  <si>
    <t>Victor</t>
  </si>
  <si>
    <t>GOERIG</t>
  </si>
  <si>
    <t>Nathan</t>
  </si>
  <si>
    <t>OPPERMANN</t>
  </si>
  <si>
    <t>Florian</t>
  </si>
  <si>
    <t>OBRECHT</t>
  </si>
  <si>
    <t>GASS</t>
  </si>
  <si>
    <t>Arthur</t>
  </si>
  <si>
    <t>TROESTER</t>
  </si>
  <si>
    <t>Alex</t>
  </si>
  <si>
    <t>MEYER</t>
  </si>
  <si>
    <t>Tristan</t>
  </si>
  <si>
    <t>AHAMADA</t>
  </si>
  <si>
    <t>Noam</t>
  </si>
  <si>
    <t>NOUVELOT</t>
  </si>
  <si>
    <t>Baptiste</t>
  </si>
  <si>
    <t>JEHAN</t>
  </si>
  <si>
    <t>Mael</t>
  </si>
  <si>
    <t>WOLF</t>
  </si>
  <si>
    <t>Maxime</t>
  </si>
  <si>
    <t>MART</t>
  </si>
  <si>
    <t>Devran</t>
  </si>
  <si>
    <t>KLEIN</t>
  </si>
  <si>
    <t>Nathéo</t>
  </si>
  <si>
    <t>LUDAESCHER</t>
  </si>
  <si>
    <t>Jérémy</t>
  </si>
  <si>
    <t>WIOLAND</t>
  </si>
  <si>
    <t>Anthony</t>
  </si>
  <si>
    <t>MATCHS DE LA SAISON (EQUIPE 2)</t>
  </si>
  <si>
    <t>Bilan par niveau d'adversaire (100% automatique)</t>
  </si>
  <si>
    <t>N° Match</t>
  </si>
  <si>
    <t>Date</t>
  </si>
  <si>
    <t>Adversaire</t>
  </si>
  <si>
    <t>Compétition</t>
  </si>
  <si>
    <t>Lieu</t>
  </si>
  <si>
    <t>Durée (min)</t>
  </si>
  <si>
    <t>Score Nous</t>
  </si>
  <si>
    <t>Score Adverse</t>
  </si>
  <si>
    <t>Convoqués</t>
  </si>
  <si>
    <t>Dont renforts Éq.1</t>
  </si>
  <si>
    <t>Alerte</t>
  </si>
  <si>
    <t>Niveau adversaire</t>
  </si>
  <si>
    <t>Classement adversaire</t>
  </si>
  <si>
    <t>Niveau</t>
  </si>
  <si>
    <t>Matchs joués (score renseigné)</t>
  </si>
  <si>
    <t>Victoires</t>
  </si>
  <si>
    <t>Nuls</t>
  </si>
  <si>
    <t>Défaites</t>
  </si>
  <si>
    <t>% Victoires</t>
  </si>
  <si>
    <t>Inconnu</t>
  </si>
  <si>
    <t>Plus fort</t>
  </si>
  <si>
    <t>Similaire</t>
  </si>
  <si>
    <t>Plus faible</t>
  </si>
  <si>
    <t>BUTS ET PASSES DECISIVES</t>
  </si>
  <si>
    <t>Astuce : choisissez le N° Match et les joueurs dans les listes déroulantes.</t>
  </si>
  <si>
    <t>Minute</t>
  </si>
  <si>
    <t>Buteur</t>
  </si>
  <si>
    <t>Passeur décisif</t>
  </si>
  <si>
    <t>Camp</t>
  </si>
  <si>
    <t>Type</t>
  </si>
  <si>
    <t>CARTONS</t>
  </si>
  <si>
    <t>Astuce : choisissez le N° Match et le joueur dans les listes déroulantes.</t>
  </si>
  <si>
    <t>Joueur</t>
  </si>
  <si>
    <t>Motif</t>
  </si>
  <si>
    <t>GARDIEN (suivi buts encaissés / clean sheets)</t>
  </si>
  <si>
    <t>Astuce : une ligne par match. Si deux gardiens se sont partagé le match, faites une ligne par gardien (le contrôle en colonne G signale un écart avec le score encaissé du match).</t>
  </si>
  <si>
    <t>Buts encaissés</t>
  </si>
  <si>
    <t>Clean sheet</t>
  </si>
  <si>
    <t>Arrêts (optionnel)</t>
  </si>
  <si>
    <t>Observations</t>
  </si>
  <si>
    <t>Contrôle (technique)</t>
  </si>
  <si>
    <t>CHANGEMENTS (saisie manuelle, à recopier depuis votre feuille de match)</t>
  </si>
  <si>
    <t>Recopiez ici votre relevé papier tel quel : une ligne par changement (Minute, Joueur sorti, Joueur entré), avec le N° Match. Le temps de jeu de chaque joueur se calcule automatiquement dans l'onglet "Convocations &amp; Temps de jeu", même s'il sort et rentre plusieurs fois.</t>
  </si>
  <si>
    <t>Joueur sorti</t>
  </si>
  <si>
    <t>Joueur entré</t>
  </si>
  <si>
    <t>Ligne sortie (technique)</t>
  </si>
  <si>
    <t>Clé recherche (technique)</t>
  </si>
  <si>
    <t>CONVOCATIONS ET TEMPS DE JEU (une ligne par passage sur le terrain)</t>
  </si>
  <si>
    <t>Astuce : les 19 joueurs Équipe 2 sont pré-remplis automatiquement pour chaque match (lignes fixes). Ne saisissez plus aucune minute ici : renseignez chaque changement (Minute, Joueur sorti, Joueur entré) dans l'onglet "Changements" -- le temps de jeu se calcule tout seul, même si un joueur sort et rentre plusieurs fois dans le match. Les 5 lignes libres en bas de chaque bloc servent uniquement aux renforts de l'Équipe 1 (ou à un joueur Équipe 2 en plus si besoin) : choisissez le joueur dans la liste déroulante.</t>
  </si>
  <si>
    <t>Convoqué</t>
  </si>
  <si>
    <t>Motif absence</t>
  </si>
  <si>
    <t>Titulaire</t>
  </si>
  <si>
    <t>Contrôle temps de jeu (technique)</t>
  </si>
  <si>
    <t>Équipe habituelle</t>
  </si>
  <si>
    <t>Minute d'entrée (info, calculée)</t>
  </si>
  <si>
    <t>Minute de sortie (info, calculée)</t>
  </si>
  <si>
    <t>Temps de jeu (min)</t>
  </si>
  <si>
    <t>Match unique (technique)</t>
  </si>
  <si>
    <t>Nb entrées (technique)</t>
  </si>
  <si>
    <t>Nb sorties (technique)</t>
  </si>
  <si>
    <t>Somme minutes entrée (technique)</t>
  </si>
  <si>
    <t>Somme minutes sortie (technique)</t>
  </si>
  <si>
    <t>Convocation unique (technique)</t>
  </si>
  <si>
    <t>Titularisation unique (technique)</t>
  </si>
  <si>
    <t>CUMUL SAISON (100% AUTOMATIQUE)</t>
  </si>
  <si>
    <t>Matchs disputés (Équipe 2) cette saison :</t>
  </si>
  <si>
    <t>Cet onglet se met à jour tout seul à partir des autres onglets. Ne rien saisir ici.</t>
  </si>
  <si>
    <t>Matchs joués</t>
  </si>
  <si>
    <t>Dont tête</t>
  </si>
  <si>
    <t>Dont penalty</t>
  </si>
  <si>
    <t>Dont coup franc</t>
  </si>
  <si>
    <t>Passes décisives</t>
  </si>
  <si>
    <t>Cartons jaunes</t>
  </si>
  <si>
    <t>Cartons rouges</t>
  </si>
  <si>
    <t>Temps de jeu total (min)</t>
  </si>
  <si>
    <t>Convocations</t>
  </si>
  <si>
    <t>Titularisations</t>
  </si>
  <si>
    <t>Taux de convocation</t>
  </si>
  <si>
    <t>Taux de titularisation</t>
  </si>
  <si>
    <t>Temps de jeu moyen (min)</t>
  </si>
  <si>
    <t>Absences - Non retenu</t>
  </si>
  <si>
    <t>Absences - Blessé/malade</t>
  </si>
  <si>
    <t>Absences - Pas venu entraînement</t>
  </si>
  <si>
    <t>Absences - Autre</t>
  </si>
  <si>
    <t>Matchs gardés</t>
  </si>
  <si>
    <t>Clean sheets</t>
  </si>
  <si>
    <t>Buts encaissés (gardien)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</si>
</sst>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10" x14ac:knownFonts="1">
    <font>
      <sz val="11"/>
      <color theme="1"/>
      <name val="Calibri"/>
      <family val="2"/>
      <charset val="1"/>
    </font>
    <font>
      <b/>
      <sz val="11"/>
      <color rgb="FFFFFFFF"/>
      <name val="Arial"/>
      <charset val="1"/>
    </font>
    <font>
      <b/>
      <sz val="12"/>
      <name val="Arial"/>
      <charset val="1"/>
    </font>
    <font>
      <b/>
      <sz val="10"/>
      <name val="Arial"/>
      <charset val="1"/>
    </font>
    <font>
      <sz val="10"/>
      <color rgb="FF0000FF"/>
      <name val="Arial"/>
      <charset val="1"/>
    </font>
    <font>
      <sz val="10"/>
      <color rgb="FF000000"/>
      <name val="Arial"/>
      <charset val="1"/>
    </font>
    <font>
      <b/>
      <sz val="10"/>
      <color rgb="FF9C0006"/>
      <name val="Arial"/>
      <charset val="1"/>
    </font>
    <font>
      <i/>
      <sz val="9"/>
      <color rgb="FF7F7F7F"/>
      <name val="Arial"/>
      <charset val="1"/>
    </font>
    <font>
      <sz val="9"/>
      <color rgb="FFA6A6A6"/>
      <name val="Arial"/>
      <charset val="1"/>
    </font>
    <font>
      <b/>
      <sz val="10"/>
      <color rgb="FF000000"/>
      <name val="Arial"/>
      <charset val="1"/>
    </font>
  </fonts>
  <fills count="7">
    <fill>
      <patternFill patternType="none"/>
    </fill>
    <fill>
      <patternFill patternType="gray125"/>
    </fill>
    <fill>
      <patternFill patternType="solid">
        <fgColor rgb="FF1F4E3D"/>
        <bgColor rgb="FF003366"/>
      </patternFill>
    </fill>
    <fill>
      <patternFill patternType="solid">
        <fgColor rgb="FFFFF2CC"/>
        <bgColor rgb="FFFFFFFF"/>
      </patternFill>
    </fill>
    <fill>
      <patternFill patternType="solid">
        <fgColor rgb="FFFFFF00"/>
        <bgColor rgb="FFFFFF00"/>
      </patternFill>
    </fill>
    <fill>
      <patternFill patternType="solid">
        <fgColor rgb="FFFFC7CE"/>
        <bgColor rgb="FFD9E5DA"/>
      </patternFill>
    </fill>
    <fill>
      <patternFill patternType="solid">
        <fgColor rgb="FFD9E5DA"/>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2" fillId="0" borderId="0" xfId="0" applyFont="1"/>
    <xf numFmtId="0" fontId="0" fillId="0" borderId="0" xfId="0" applyAlignment="1">
      <alignment vertical="top" wrapText="1"/>
    </xf>
    <xf numFmtId="0" fontId="3" fillId="0" borderId="0" xfId="0" applyFont="1"/>
    <xf numFmtId="0" fontId="4" fillId="0" borderId="0" xfId="0" applyFont="1"/>
    <xf numFmtId="0" fontId="5" fillId="0" borderId="0" xfId="0" applyFont="1"/>
    <xf numFmtId="0" fontId="0" fillId="3" borderId="0" xfId="0" applyFill="1"/>
    <xf numFmtId="0" fontId="0" fillId="4" borderId="0" xfId="0" applyFill="1"/>
    <xf numFmtId="0" fontId="6" fillId="5" borderId="0" xfId="0" applyFont="1" applyFill="1"/>
    <xf numFmtId="0" fontId="3" fillId="6" borderId="1" xfId="0" applyFont="1" applyFill="1" applyBorder="1" applyAlignment="1">
      <alignment horizontal="center" vertical="center" wrapText="1"/>
    </xf>
    <xf numFmtId="0" fontId="4" fillId="0" borderId="1" xfId="0" applyFont="1" applyBorder="1"/>
    <xf numFmtId="0" fontId="5" fillId="0" borderId="1" xfId="0" applyFont="1" applyBorder="1"/>
    <xf numFmtId="0" fontId="3" fillId="6" borderId="0" xfId="0" applyFont="1" applyFill="1"/>
    <xf numFmtId="164" fontId="4" fillId="3" borderId="1" xfId="0" applyNumberFormat="1" applyFont="1" applyFill="1" applyBorder="1"/>
    <xf numFmtId="0" fontId="4" fillId="3" borderId="1" xfId="0" applyFont="1" applyFill="1" applyBorder="1"/>
    <xf numFmtId="0" fontId="4" fillId="4" borderId="1" xfId="0" applyFont="1" applyFill="1" applyBorder="1"/>
    <xf numFmtId="9" fontId="5" fillId="0" borderId="0" xfId="0" applyNumberFormat="1" applyFont="1"/>
    <xf numFmtId="0" fontId="8" fillId="0" borderId="0" xfId="0" applyFont="1"/>
    <xf numFmtId="0" fontId="9" fillId="6" borderId="1" xfId="0" applyFont="1" applyFill="1" applyBorder="1" applyAlignment="1">
      <alignment horizontal="center" vertical="center" wrapText="1"/>
    </xf>
    <xf numFmtId="0" fontId="8" fillId="0" borderId="1" xfId="0" applyFont="1" applyBorder="1"/>
    <xf numFmtId="165" fontId="5" fillId="0" borderId="0" xfId="0" applyNumberFormat="1" applyFont="1"/>
    <xf numFmtId="0" fontId="1" fillId="2" borderId="0" xfId="0" applyFont="1" applyFill="1" applyAlignment="1">
      <alignment horizontal="left" vertical="center" indent="1"/>
    </xf>
    <xf numFmtId="0" fontId="0" fillId="0" borderId="0" xfId="0" applyAlignment="1">
      <alignment vertical="top" wrapText="1"/>
    </xf>
    <xf numFmtId="0" fontId="2" fillId="0" borderId="0" xfId="0" applyFont="1"/>
    <xf numFmtId="0" fontId="7" fillId="0" borderId="0" xfId="0" applyFont="1"/>
    <xf numFmtId="0" fontId="1" fillId="2" borderId="0" xfId="0" applyFont="1" applyFill="1"/>
  </cellXfs>
  <cellStyles count="1">
    <cellStyle name="Normal" xfId="0" builtinId="0"/>
  </cellStyles>
  <dxfs count="4">
    <dxf>
      <fill>
        <patternFill>
          <bgColor rgb="FFDDEBF7"/>
        </patternFill>
      </fill>
    </dxf>
    <dxf>
      <fill>
        <patternFill>
          <bgColor rgb="FFDDEBF7"/>
        </patternFill>
      </fill>
    </dxf>
    <dxf>
      <font>
        <b/>
        <sz val="10"/>
        <color rgb="FF9C0006"/>
        <name val="Arial"/>
        <charset val="1"/>
      </font>
      <fill>
        <patternFill>
          <bgColor rgb="FFFFC7CE"/>
        </patternFill>
      </fill>
    </dxf>
    <dxf>
      <font>
        <b/>
        <sz val="10"/>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5DA"/>
      <rgbColor rgb="FFFFFF99"/>
      <rgbColor rgb="FF99CCFF"/>
      <rgbColor rgb="FFFF99CC"/>
      <rgbColor rgb="FFCC99FF"/>
      <rgbColor rgb="FFFFC7CE"/>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1F4E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showGridLines="0" zoomScaleNormal="100" workbookViewId="0">
      <selection sqref="A1:B1"/>
    </sheetView>
  </sheetViews>
  <sheetFormatPr baseColWidth="10" defaultColWidth="8.7109375" defaultRowHeight="15" x14ac:dyDescent="0.25"/>
  <cols>
    <col min="1" max="1" width="28" customWidth="1"/>
    <col min="2" max="2" width="95" customWidth="1"/>
  </cols>
  <sheetData>
    <row r="1" spans="1:2" ht="21.75" customHeight="1" x14ac:dyDescent="0.25">
      <c r="A1" s="21" t="s">
        <v>0</v>
      </c>
      <c r="B1" s="21"/>
    </row>
    <row r="3" spans="1:2" ht="15" customHeight="1" x14ac:dyDescent="0.25">
      <c r="A3" s="1" t="s">
        <v>1</v>
      </c>
    </row>
    <row r="4" spans="1:2" ht="55.5" customHeight="1" x14ac:dyDescent="0.25">
      <c r="A4" s="22" t="s">
        <v>2</v>
      </c>
      <c r="B4" s="22"/>
    </row>
    <row r="6" spans="1:2" ht="36" customHeight="1" x14ac:dyDescent="0.25">
      <c r="A6" s="3" t="s">
        <v>3</v>
      </c>
      <c r="B6" s="2" t="s">
        <v>4</v>
      </c>
    </row>
    <row r="8" spans="1:2" ht="36" customHeight="1" x14ac:dyDescent="0.25">
      <c r="A8" s="3" t="s">
        <v>5</v>
      </c>
      <c r="B8" s="2" t="s">
        <v>6</v>
      </c>
    </row>
    <row r="10" spans="1:2" ht="36" customHeight="1" x14ac:dyDescent="0.25">
      <c r="A10" s="3" t="s">
        <v>7</v>
      </c>
      <c r="B10" s="2" t="s">
        <v>8</v>
      </c>
    </row>
    <row r="12" spans="1:2" ht="36" customHeight="1" x14ac:dyDescent="0.25">
      <c r="A12" s="3" t="s">
        <v>9</v>
      </c>
      <c r="B12" s="2" t="s">
        <v>10</v>
      </c>
    </row>
    <row r="14" spans="1:2" ht="36" customHeight="1" x14ac:dyDescent="0.25">
      <c r="A14" s="3" t="s">
        <v>11</v>
      </c>
      <c r="B14" s="2" t="s">
        <v>12</v>
      </c>
    </row>
    <row r="16" spans="1:2" ht="36" customHeight="1" x14ac:dyDescent="0.25">
      <c r="A16" s="3" t="s">
        <v>13</v>
      </c>
      <c r="B16" s="2" t="s">
        <v>14</v>
      </c>
    </row>
    <row r="18" spans="1:2" ht="36" customHeight="1" x14ac:dyDescent="0.25">
      <c r="A18" s="3" t="s">
        <v>15</v>
      </c>
      <c r="B18" t="s">
        <v>16</v>
      </c>
    </row>
    <row r="20" spans="1:2" ht="60" customHeight="1" x14ac:dyDescent="0.25">
      <c r="A20" s="3" t="s">
        <v>17</v>
      </c>
      <c r="B20" s="2" t="s">
        <v>18</v>
      </c>
    </row>
    <row r="21" spans="1:2" ht="15" customHeight="1" x14ac:dyDescent="0.25"/>
    <row r="23" spans="1:2" ht="79.5" customHeight="1" x14ac:dyDescent="0.25">
      <c r="A23" s="23" t="s">
        <v>19</v>
      </c>
      <c r="B23" s="23"/>
    </row>
    <row r="25" spans="1:2" ht="15" customHeight="1" x14ac:dyDescent="0.25">
      <c r="A25" s="2" t="s">
        <v>20</v>
      </c>
    </row>
    <row r="27" spans="1:2" ht="39.75" customHeight="1" x14ac:dyDescent="0.25">
      <c r="A27" s="1" t="s">
        <v>21</v>
      </c>
    </row>
    <row r="28" spans="1:2" ht="39.75" customHeight="1" x14ac:dyDescent="0.25"/>
    <row r="29" spans="1:2" ht="39.75" customHeight="1" x14ac:dyDescent="0.25">
      <c r="A29" s="3" t="s">
        <v>22</v>
      </c>
      <c r="B29" s="2" t="s">
        <v>23</v>
      </c>
    </row>
    <row r="30" spans="1:2" ht="39.75" customHeight="1" x14ac:dyDescent="0.25">
      <c r="A30" s="3" t="s">
        <v>22</v>
      </c>
      <c r="B30" s="2" t="s">
        <v>24</v>
      </c>
    </row>
    <row r="31" spans="1:2" ht="60" customHeight="1" x14ac:dyDescent="0.25">
      <c r="A31" s="3" t="s">
        <v>22</v>
      </c>
      <c r="B31" s="2" t="s">
        <v>25</v>
      </c>
    </row>
    <row r="32" spans="1:2" ht="15" customHeight="1" x14ac:dyDescent="0.25">
      <c r="A32" s="3" t="s">
        <v>22</v>
      </c>
      <c r="B32" s="2" t="s">
        <v>26</v>
      </c>
    </row>
    <row r="34" spans="1:2" ht="15" customHeight="1" x14ac:dyDescent="0.25">
      <c r="A34" s="1" t="s">
        <v>27</v>
      </c>
    </row>
    <row r="35" spans="1:2" ht="15" customHeight="1" x14ac:dyDescent="0.25"/>
    <row r="36" spans="1:2" ht="15" customHeight="1" x14ac:dyDescent="0.25">
      <c r="A36" s="4" t="s">
        <v>28</v>
      </c>
      <c r="B36" t="s">
        <v>29</v>
      </c>
    </row>
    <row r="37" spans="1:2" ht="15" customHeight="1" x14ac:dyDescent="0.25">
      <c r="A37" s="5" t="s">
        <v>28</v>
      </c>
      <c r="B37" t="s">
        <v>30</v>
      </c>
    </row>
    <row r="38" spans="1:2" ht="15" customHeight="1" x14ac:dyDescent="0.25">
      <c r="A38" s="6" t="s">
        <v>28</v>
      </c>
      <c r="B38" t="s">
        <v>31</v>
      </c>
    </row>
    <row r="39" spans="1:2" ht="15" customHeight="1" x14ac:dyDescent="0.25">
      <c r="A39" s="7" t="s">
        <v>28</v>
      </c>
      <c r="B39" t="s">
        <v>32</v>
      </c>
    </row>
    <row r="40" spans="1:2" ht="15" customHeight="1" x14ac:dyDescent="0.25">
      <c r="A40" s="8" t="s">
        <v>28</v>
      </c>
      <c r="B40" t="s">
        <v>33</v>
      </c>
    </row>
  </sheetData>
  <mergeCells count="3">
    <mergeCell ref="A1:B1"/>
    <mergeCell ref="A4:B4"/>
    <mergeCell ref="A23:B23"/>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1"/>
  <sheetViews>
    <sheetView showGridLines="0" zoomScaleNormal="100" workbookViewId="0">
      <pane ySplit="3" topLeftCell="A4" activePane="bottomLeft" state="frozen"/>
      <selection pane="bottomLeft" activeCell="H29" sqref="H29"/>
    </sheetView>
  </sheetViews>
  <sheetFormatPr baseColWidth="10" defaultColWidth="8.7109375" defaultRowHeight="15" x14ac:dyDescent="0.25"/>
  <cols>
    <col min="1" max="1" width="18" customWidth="1"/>
    <col min="2" max="2" width="16" customWidth="1"/>
    <col min="3" max="3" width="14" customWidth="1"/>
    <col min="4" max="4" width="12" customWidth="1"/>
    <col min="5" max="5" width="22" customWidth="1"/>
  </cols>
  <sheetData>
    <row r="1" spans="1:5" ht="21.75" customHeight="1" x14ac:dyDescent="0.25">
      <c r="A1" s="21" t="s">
        <v>34</v>
      </c>
      <c r="B1" s="21"/>
      <c r="C1" s="21"/>
      <c r="D1" s="21"/>
      <c r="E1" s="21"/>
    </row>
    <row r="3" spans="1:5" ht="15" customHeight="1" x14ac:dyDescent="0.25">
      <c r="A3" s="9" t="s">
        <v>35</v>
      </c>
      <c r="B3" s="9" t="s">
        <v>36</v>
      </c>
      <c r="C3" s="9" t="s">
        <v>37</v>
      </c>
      <c r="D3" s="9" t="s">
        <v>38</v>
      </c>
      <c r="E3" s="9" t="s">
        <v>39</v>
      </c>
    </row>
    <row r="4" spans="1:5" ht="15" customHeight="1" x14ac:dyDescent="0.25">
      <c r="A4" s="10" t="s">
        <v>40</v>
      </c>
      <c r="B4" s="10" t="s">
        <v>41</v>
      </c>
      <c r="C4" s="10"/>
      <c r="D4" s="10" t="s">
        <v>42</v>
      </c>
      <c r="E4" s="11" t="str">
        <f t="shared" ref="E4:E51" si="0">IF(B4="","",B4&amp;" "&amp;A4)</f>
        <v>Alan MICHON</v>
      </c>
    </row>
    <row r="5" spans="1:5" ht="15" customHeight="1" x14ac:dyDescent="0.25">
      <c r="A5" s="10" t="s">
        <v>43</v>
      </c>
      <c r="B5" s="10" t="s">
        <v>44</v>
      </c>
      <c r="C5" s="10"/>
      <c r="D5" s="10" t="s">
        <v>42</v>
      </c>
      <c r="E5" s="11" t="str">
        <f t="shared" si="0"/>
        <v>Jean BRUNTZ</v>
      </c>
    </row>
    <row r="6" spans="1:5" ht="15" customHeight="1" x14ac:dyDescent="0.25">
      <c r="A6" s="10" t="s">
        <v>45</v>
      </c>
      <c r="B6" s="10" t="s">
        <v>46</v>
      </c>
      <c r="C6" s="10"/>
      <c r="D6" s="10" t="s">
        <v>42</v>
      </c>
      <c r="E6" s="11" t="str">
        <f t="shared" si="0"/>
        <v>Marouane SBK</v>
      </c>
    </row>
    <row r="7" spans="1:5" ht="15" customHeight="1" x14ac:dyDescent="0.25">
      <c r="A7" s="10" t="s">
        <v>47</v>
      </c>
      <c r="B7" s="10" t="s">
        <v>48</v>
      </c>
      <c r="C7" s="10"/>
      <c r="D7" s="10" t="s">
        <v>42</v>
      </c>
      <c r="E7" s="11" t="str">
        <f t="shared" si="0"/>
        <v>Noé BIHL</v>
      </c>
    </row>
    <row r="8" spans="1:5" ht="15" customHeight="1" x14ac:dyDescent="0.25">
      <c r="A8" s="10" t="s">
        <v>49</v>
      </c>
      <c r="B8" s="10" t="s">
        <v>50</v>
      </c>
      <c r="C8" s="10"/>
      <c r="D8" s="10" t="s">
        <v>42</v>
      </c>
      <c r="E8" s="11" t="str">
        <f t="shared" si="0"/>
        <v>Luca COLAIANNI</v>
      </c>
    </row>
    <row r="9" spans="1:5" ht="15" customHeight="1" x14ac:dyDescent="0.25">
      <c r="A9" s="10" t="s">
        <v>51</v>
      </c>
      <c r="B9" s="10" t="s">
        <v>52</v>
      </c>
      <c r="C9" s="10"/>
      <c r="D9" s="10" t="s">
        <v>42</v>
      </c>
      <c r="E9" s="11" t="str">
        <f t="shared" si="0"/>
        <v>Atilla ER</v>
      </c>
    </row>
    <row r="10" spans="1:5" ht="15" customHeight="1" x14ac:dyDescent="0.25">
      <c r="A10" s="10" t="s">
        <v>53</v>
      </c>
      <c r="B10" s="10" t="s">
        <v>54</v>
      </c>
      <c r="C10" s="10"/>
      <c r="D10" s="10" t="s">
        <v>42</v>
      </c>
      <c r="E10" s="11" t="str">
        <f t="shared" si="0"/>
        <v>Lucas BUHR</v>
      </c>
    </row>
    <row r="11" spans="1:5" ht="15" customHeight="1" x14ac:dyDescent="0.25">
      <c r="A11" s="10" t="s">
        <v>55</v>
      </c>
      <c r="B11" s="10" t="s">
        <v>56</v>
      </c>
      <c r="C11" s="10"/>
      <c r="D11" s="10" t="s">
        <v>42</v>
      </c>
      <c r="E11" s="11" t="str">
        <f t="shared" si="0"/>
        <v>Yanis HOUX</v>
      </c>
    </row>
    <row r="12" spans="1:5" ht="15" customHeight="1" x14ac:dyDescent="0.25">
      <c r="A12" s="10" t="s">
        <v>49</v>
      </c>
      <c r="B12" s="10" t="s">
        <v>57</v>
      </c>
      <c r="C12" s="10"/>
      <c r="D12" s="10" t="s">
        <v>42</v>
      </c>
      <c r="E12" s="11" t="str">
        <f t="shared" si="0"/>
        <v>Tino COLAIANNI</v>
      </c>
    </row>
    <row r="13" spans="1:5" ht="15" customHeight="1" x14ac:dyDescent="0.25">
      <c r="A13" s="10" t="s">
        <v>58</v>
      </c>
      <c r="B13" s="10" t="s">
        <v>59</v>
      </c>
      <c r="C13" s="10"/>
      <c r="D13" s="10" t="s">
        <v>42</v>
      </c>
      <c r="E13" s="11" t="str">
        <f t="shared" si="0"/>
        <v>Achille KELLERKNECHT</v>
      </c>
    </row>
    <row r="14" spans="1:5" ht="15" customHeight="1" x14ac:dyDescent="0.25">
      <c r="A14" s="10" t="s">
        <v>60</v>
      </c>
      <c r="B14" s="10" t="s">
        <v>61</v>
      </c>
      <c r="C14" s="10"/>
      <c r="D14" s="10" t="s">
        <v>42</v>
      </c>
      <c r="E14" s="11" t="str">
        <f t="shared" si="0"/>
        <v>Charly LEPERT</v>
      </c>
    </row>
    <row r="15" spans="1:5" ht="15" customHeight="1" x14ac:dyDescent="0.25">
      <c r="A15" s="10" t="s">
        <v>62</v>
      </c>
      <c r="B15" s="10" t="s">
        <v>63</v>
      </c>
      <c r="C15" s="10"/>
      <c r="D15" s="10" t="s">
        <v>42</v>
      </c>
      <c r="E15" s="11" t="str">
        <f t="shared" si="0"/>
        <v>Basile STANGRET</v>
      </c>
    </row>
    <row r="16" spans="1:5" ht="15" customHeight="1" x14ac:dyDescent="0.25">
      <c r="A16" s="10" t="s">
        <v>64</v>
      </c>
      <c r="B16" s="10" t="s">
        <v>65</v>
      </c>
      <c r="C16" s="10"/>
      <c r="D16" s="10" t="s">
        <v>42</v>
      </c>
      <c r="E16" s="11" t="str">
        <f t="shared" si="0"/>
        <v>Maxence KELLER</v>
      </c>
    </row>
    <row r="17" spans="1:5" ht="15" customHeight="1" x14ac:dyDescent="0.25">
      <c r="A17" s="10" t="s">
        <v>66</v>
      </c>
      <c r="B17" s="10" t="s">
        <v>67</v>
      </c>
      <c r="C17" s="10"/>
      <c r="D17" s="10" t="s">
        <v>42</v>
      </c>
      <c r="E17" s="11" t="str">
        <f t="shared" si="0"/>
        <v>Evan SCHMITT</v>
      </c>
    </row>
    <row r="18" spans="1:5" ht="15" customHeight="1" x14ac:dyDescent="0.25">
      <c r="A18" s="10" t="s">
        <v>68</v>
      </c>
      <c r="B18" s="10" t="s">
        <v>69</v>
      </c>
      <c r="C18" s="10"/>
      <c r="D18" s="10" t="s">
        <v>42</v>
      </c>
      <c r="E18" s="11" t="str">
        <f t="shared" si="0"/>
        <v>William SIMON</v>
      </c>
    </row>
    <row r="19" spans="1:5" ht="15" customHeight="1" x14ac:dyDescent="0.25">
      <c r="A19" s="10" t="s">
        <v>70</v>
      </c>
      <c r="B19" s="10" t="s">
        <v>71</v>
      </c>
      <c r="C19" s="10"/>
      <c r="D19" s="10" t="s">
        <v>42</v>
      </c>
      <c r="E19" s="11" t="str">
        <f t="shared" si="0"/>
        <v>Lenny LEPPER</v>
      </c>
    </row>
    <row r="20" spans="1:5" ht="15" customHeight="1" x14ac:dyDescent="0.25">
      <c r="A20" s="10" t="s">
        <v>64</v>
      </c>
      <c r="B20" s="10" t="s">
        <v>72</v>
      </c>
      <c r="C20" s="10"/>
      <c r="D20" s="10" t="s">
        <v>42</v>
      </c>
      <c r="E20" s="11" t="str">
        <f t="shared" si="0"/>
        <v>Malo KELLER</v>
      </c>
    </row>
    <row r="21" spans="1:5" ht="15" customHeight="1" x14ac:dyDescent="0.25">
      <c r="A21" s="10" t="s">
        <v>73</v>
      </c>
      <c r="B21" s="10" t="s">
        <v>74</v>
      </c>
      <c r="C21" s="10"/>
      <c r="D21" s="10" t="s">
        <v>42</v>
      </c>
      <c r="E21" s="11" t="str">
        <f t="shared" si="0"/>
        <v>Tom SCHILLER</v>
      </c>
    </row>
    <row r="22" spans="1:5" ht="15" customHeight="1" x14ac:dyDescent="0.25">
      <c r="A22" s="10" t="s">
        <v>75</v>
      </c>
      <c r="B22" s="10" t="s">
        <v>76</v>
      </c>
      <c r="C22" s="10"/>
      <c r="D22" s="10" t="s">
        <v>42</v>
      </c>
      <c r="E22" s="11" t="str">
        <f t="shared" si="0"/>
        <v>Eliot LEIBY</v>
      </c>
    </row>
    <row r="23" spans="1:5" ht="15" customHeight="1" x14ac:dyDescent="0.25">
      <c r="A23" s="10" t="s">
        <v>77</v>
      </c>
      <c r="B23" s="10" t="s">
        <v>78</v>
      </c>
      <c r="C23" s="10"/>
      <c r="D23" s="10" t="s">
        <v>79</v>
      </c>
      <c r="E23" s="11" t="str">
        <f t="shared" si="0"/>
        <v>Mathias STRAUB</v>
      </c>
    </row>
    <row r="24" spans="1:5" ht="15" customHeight="1" x14ac:dyDescent="0.25">
      <c r="A24" s="10" t="s">
        <v>80</v>
      </c>
      <c r="B24" s="10" t="s">
        <v>81</v>
      </c>
      <c r="C24" s="10"/>
      <c r="D24" s="10" t="s">
        <v>79</v>
      </c>
      <c r="E24" s="11" t="str">
        <f t="shared" si="0"/>
        <v>Paul GENDRIN</v>
      </c>
    </row>
    <row r="25" spans="1:5" ht="15" customHeight="1" x14ac:dyDescent="0.25">
      <c r="A25" s="10" t="s">
        <v>82</v>
      </c>
      <c r="B25" s="10" t="s">
        <v>83</v>
      </c>
      <c r="C25" s="10"/>
      <c r="D25" s="10" t="s">
        <v>79</v>
      </c>
      <c r="E25" s="11" t="str">
        <f t="shared" si="0"/>
        <v>Jules JEHL</v>
      </c>
    </row>
    <row r="26" spans="1:5" ht="15" customHeight="1" x14ac:dyDescent="0.25">
      <c r="A26" s="10" t="s">
        <v>84</v>
      </c>
      <c r="B26" s="10" t="s">
        <v>85</v>
      </c>
      <c r="C26" s="10"/>
      <c r="D26" s="10" t="s">
        <v>79</v>
      </c>
      <c r="E26" s="11" t="str">
        <f t="shared" si="0"/>
        <v>Bastien BOHN</v>
      </c>
    </row>
    <row r="27" spans="1:5" ht="15" customHeight="1" x14ac:dyDescent="0.25">
      <c r="A27" s="10" t="s">
        <v>86</v>
      </c>
      <c r="B27" s="10" t="s">
        <v>87</v>
      </c>
      <c r="C27" s="10"/>
      <c r="D27" s="10" t="s">
        <v>79</v>
      </c>
      <c r="E27" s="11" t="str">
        <f t="shared" si="0"/>
        <v>Victor KUHLMANN</v>
      </c>
    </row>
    <row r="28" spans="1:5" ht="15" customHeight="1" x14ac:dyDescent="0.25">
      <c r="A28" s="10" t="s">
        <v>88</v>
      </c>
      <c r="B28" s="10" t="s">
        <v>89</v>
      </c>
      <c r="C28" s="10"/>
      <c r="D28" s="10" t="s">
        <v>79</v>
      </c>
      <c r="E28" s="11" t="str">
        <f t="shared" si="0"/>
        <v>Nathan GOERIG</v>
      </c>
    </row>
    <row r="29" spans="1:5" ht="15" customHeight="1" x14ac:dyDescent="0.25">
      <c r="A29" s="10" t="s">
        <v>90</v>
      </c>
      <c r="B29" s="10" t="s">
        <v>91</v>
      </c>
      <c r="C29" s="10"/>
      <c r="D29" s="10" t="s">
        <v>79</v>
      </c>
      <c r="E29" s="11" t="str">
        <f t="shared" si="0"/>
        <v>Florian OPPERMANN</v>
      </c>
    </row>
    <row r="30" spans="1:5" ht="15" customHeight="1" x14ac:dyDescent="0.25">
      <c r="A30" s="10" t="s">
        <v>92</v>
      </c>
      <c r="B30" s="10" t="s">
        <v>67</v>
      </c>
      <c r="C30" s="10"/>
      <c r="D30" s="10" t="s">
        <v>79</v>
      </c>
      <c r="E30" s="11" t="str">
        <f t="shared" si="0"/>
        <v>Evan OBRECHT</v>
      </c>
    </row>
    <row r="31" spans="1:5" ht="15" customHeight="1" x14ac:dyDescent="0.25">
      <c r="A31" s="10" t="s">
        <v>93</v>
      </c>
      <c r="B31" s="10" t="s">
        <v>94</v>
      </c>
      <c r="C31" s="10"/>
      <c r="D31" s="10" t="s">
        <v>79</v>
      </c>
      <c r="E31" s="11" t="str">
        <f t="shared" si="0"/>
        <v>Arthur GASS</v>
      </c>
    </row>
    <row r="32" spans="1:5" ht="15" customHeight="1" x14ac:dyDescent="0.25">
      <c r="A32" s="10" t="s">
        <v>95</v>
      </c>
      <c r="B32" s="10" t="s">
        <v>96</v>
      </c>
      <c r="C32" s="10"/>
      <c r="D32" s="10" t="s">
        <v>79</v>
      </c>
      <c r="E32" s="11" t="str">
        <f t="shared" si="0"/>
        <v>Alex TROESTER</v>
      </c>
    </row>
    <row r="33" spans="1:5" ht="15" customHeight="1" x14ac:dyDescent="0.25">
      <c r="A33" s="10" t="s">
        <v>97</v>
      </c>
      <c r="B33" s="10" t="s">
        <v>98</v>
      </c>
      <c r="C33" s="10"/>
      <c r="D33" s="10" t="s">
        <v>79</v>
      </c>
      <c r="E33" s="11" t="str">
        <f t="shared" si="0"/>
        <v>Tristan MEYER</v>
      </c>
    </row>
    <row r="34" spans="1:5" ht="15" customHeight="1" x14ac:dyDescent="0.25">
      <c r="A34" s="10" t="s">
        <v>99</v>
      </c>
      <c r="B34" s="10" t="s">
        <v>100</v>
      </c>
      <c r="C34" s="10"/>
      <c r="D34" s="10" t="s">
        <v>79</v>
      </c>
      <c r="E34" s="11" t="str">
        <f t="shared" si="0"/>
        <v>Noam AHAMADA</v>
      </c>
    </row>
    <row r="35" spans="1:5" ht="15" customHeight="1" x14ac:dyDescent="0.25">
      <c r="A35" s="10" t="s">
        <v>101</v>
      </c>
      <c r="B35" s="10" t="s">
        <v>102</v>
      </c>
      <c r="C35" s="10"/>
      <c r="D35" s="10" t="s">
        <v>79</v>
      </c>
      <c r="E35" s="11" t="str">
        <f t="shared" si="0"/>
        <v>Baptiste NOUVELOT</v>
      </c>
    </row>
    <row r="36" spans="1:5" ht="15" customHeight="1" x14ac:dyDescent="0.25">
      <c r="A36" s="10" t="s">
        <v>103</v>
      </c>
      <c r="B36" s="10" t="s">
        <v>104</v>
      </c>
      <c r="C36" s="10"/>
      <c r="D36" s="10" t="s">
        <v>79</v>
      </c>
      <c r="E36" s="11" t="str">
        <f t="shared" si="0"/>
        <v>Mael JEHAN</v>
      </c>
    </row>
    <row r="37" spans="1:5" ht="15" customHeight="1" x14ac:dyDescent="0.25">
      <c r="A37" s="10" t="s">
        <v>105</v>
      </c>
      <c r="B37" s="10" t="s">
        <v>106</v>
      </c>
      <c r="C37" s="10"/>
      <c r="D37" s="10" t="s">
        <v>79</v>
      </c>
      <c r="E37" s="11" t="str">
        <f t="shared" si="0"/>
        <v>Maxime WOLF</v>
      </c>
    </row>
    <row r="38" spans="1:5" ht="15" customHeight="1" x14ac:dyDescent="0.25">
      <c r="A38" s="10" t="s">
        <v>107</v>
      </c>
      <c r="B38" s="10" t="s">
        <v>108</v>
      </c>
      <c r="C38" s="10"/>
      <c r="D38" s="10" t="s">
        <v>79</v>
      </c>
      <c r="E38" s="11" t="str">
        <f t="shared" si="0"/>
        <v>Devran MART</v>
      </c>
    </row>
    <row r="39" spans="1:5" ht="15" customHeight="1" x14ac:dyDescent="0.25">
      <c r="A39" s="10" t="s">
        <v>109</v>
      </c>
      <c r="B39" s="10" t="s">
        <v>110</v>
      </c>
      <c r="C39" s="10"/>
      <c r="D39" s="10" t="s">
        <v>79</v>
      </c>
      <c r="E39" s="11" t="str">
        <f t="shared" si="0"/>
        <v>Nathéo KLEIN</v>
      </c>
    </row>
    <row r="40" spans="1:5" ht="15" customHeight="1" x14ac:dyDescent="0.25">
      <c r="A40" s="10" t="s">
        <v>111</v>
      </c>
      <c r="B40" s="10" t="s">
        <v>112</v>
      </c>
      <c r="C40" s="10"/>
      <c r="D40" s="10" t="s">
        <v>79</v>
      </c>
      <c r="E40" s="11" t="str">
        <f t="shared" si="0"/>
        <v>Jérémy LUDAESCHER</v>
      </c>
    </row>
    <row r="41" spans="1:5" ht="15" customHeight="1" x14ac:dyDescent="0.25">
      <c r="A41" s="10" t="s">
        <v>113</v>
      </c>
      <c r="B41" s="10" t="s">
        <v>114</v>
      </c>
      <c r="C41" s="10"/>
      <c r="D41" s="10" t="s">
        <v>79</v>
      </c>
      <c r="E41" s="11" t="str">
        <f t="shared" si="0"/>
        <v>Anthony WIOLAND</v>
      </c>
    </row>
    <row r="42" spans="1:5" ht="15" customHeight="1" x14ac:dyDescent="0.25">
      <c r="A42" s="10"/>
      <c r="B42" s="10"/>
      <c r="C42" s="10"/>
      <c r="D42" s="10"/>
      <c r="E42" s="11" t="str">
        <f t="shared" si="0"/>
        <v/>
      </c>
    </row>
    <row r="43" spans="1:5" ht="15" customHeight="1" x14ac:dyDescent="0.25">
      <c r="A43" s="10"/>
      <c r="B43" s="10"/>
      <c r="C43" s="10"/>
      <c r="D43" s="10"/>
      <c r="E43" s="11" t="str">
        <f t="shared" si="0"/>
        <v/>
      </c>
    </row>
    <row r="44" spans="1:5" ht="15" customHeight="1" x14ac:dyDescent="0.25">
      <c r="A44" s="10"/>
      <c r="B44" s="10"/>
      <c r="C44" s="10"/>
      <c r="D44" s="10"/>
      <c r="E44" s="11" t="str">
        <f t="shared" si="0"/>
        <v/>
      </c>
    </row>
    <row r="45" spans="1:5" ht="15" customHeight="1" x14ac:dyDescent="0.25">
      <c r="A45" s="10"/>
      <c r="B45" s="10"/>
      <c r="C45" s="10"/>
      <c r="D45" s="10"/>
      <c r="E45" s="11" t="str">
        <f t="shared" si="0"/>
        <v/>
      </c>
    </row>
    <row r="46" spans="1:5" ht="15" customHeight="1" x14ac:dyDescent="0.25">
      <c r="A46" s="10"/>
      <c r="B46" s="10"/>
      <c r="C46" s="10"/>
      <c r="D46" s="10"/>
      <c r="E46" s="11" t="str">
        <f t="shared" si="0"/>
        <v/>
      </c>
    </row>
    <row r="47" spans="1:5" ht="15" customHeight="1" x14ac:dyDescent="0.25">
      <c r="A47" s="10"/>
      <c r="B47" s="10"/>
      <c r="C47" s="10"/>
      <c r="D47" s="10"/>
      <c r="E47" s="11" t="str">
        <f t="shared" si="0"/>
        <v/>
      </c>
    </row>
    <row r="48" spans="1:5" ht="15" customHeight="1" x14ac:dyDescent="0.25">
      <c r="A48" s="10"/>
      <c r="B48" s="10"/>
      <c r="C48" s="10"/>
      <c r="D48" s="10"/>
      <c r="E48" s="11" t="str">
        <f t="shared" si="0"/>
        <v/>
      </c>
    </row>
    <row r="49" spans="1:5" ht="15" customHeight="1" x14ac:dyDescent="0.25">
      <c r="A49" s="10"/>
      <c r="B49" s="10"/>
      <c r="C49" s="10"/>
      <c r="D49" s="10"/>
      <c r="E49" s="11" t="str">
        <f t="shared" si="0"/>
        <v/>
      </c>
    </row>
    <row r="50" spans="1:5" ht="15" customHeight="1" x14ac:dyDescent="0.25">
      <c r="A50" s="10"/>
      <c r="B50" s="10"/>
      <c r="C50" s="10"/>
      <c r="D50" s="10"/>
      <c r="E50" s="11" t="str">
        <f t="shared" si="0"/>
        <v/>
      </c>
    </row>
    <row r="51" spans="1:5" ht="15" customHeight="1" x14ac:dyDescent="0.25">
      <c r="A51" s="10"/>
      <c r="B51" s="10"/>
      <c r="C51" s="10"/>
      <c r="D51" s="10"/>
      <c r="E51" s="11" t="str">
        <f t="shared" si="0"/>
        <v/>
      </c>
    </row>
  </sheetData>
  <mergeCells count="1">
    <mergeCell ref="A1:E1"/>
  </mergeCells>
  <dataValidations count="1">
    <dataValidation type="list" allowBlank="1" sqref="D4:D51" xr:uid="{00000000-0002-0000-0100-000000000000}">
      <formula1>"Équipe 1,Équipe 2"</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1"/>
  <sheetViews>
    <sheetView showGridLines="0" zoomScaleNormal="100" workbookViewId="0">
      <pane ySplit="3" topLeftCell="A4" activePane="bottomLeft" state="frozen"/>
      <selection pane="bottomLeft" activeCell="J10" sqref="J10"/>
    </sheetView>
  </sheetViews>
  <sheetFormatPr baseColWidth="10" defaultColWidth="8.7109375" defaultRowHeight="15" x14ac:dyDescent="0.25"/>
  <cols>
    <col min="1" max="1" width="10" customWidth="1"/>
    <col min="2" max="2" width="14" customWidth="1"/>
    <col min="3" max="3" width="20" customWidth="1"/>
    <col min="4" max="4" width="16" customWidth="1"/>
    <col min="5" max="5" width="14" customWidth="1"/>
    <col min="6" max="7" width="12" customWidth="1"/>
    <col min="8" max="8" width="14" customWidth="1"/>
    <col min="9" max="9" width="12" customWidth="1"/>
    <col min="10" max="10" width="14" customWidth="1"/>
    <col min="11" max="11" width="20" customWidth="1"/>
    <col min="12" max="12" width="18" customWidth="1"/>
    <col min="13" max="13" width="20" customWidth="1"/>
    <col min="15" max="15" width="14" customWidth="1"/>
    <col min="16" max="16" width="22" customWidth="1"/>
    <col min="17" max="17" width="12" customWidth="1"/>
    <col min="18" max="18" width="10" customWidth="1"/>
    <col min="19" max="19" width="12" customWidth="1"/>
    <col min="20" max="20" width="13" customWidth="1"/>
  </cols>
  <sheetData>
    <row r="1" spans="1:20" ht="21.75" customHeight="1" x14ac:dyDescent="0.25">
      <c r="A1" s="21" t="s">
        <v>115</v>
      </c>
      <c r="B1" s="21"/>
      <c r="C1" s="21"/>
      <c r="D1" s="21"/>
      <c r="E1" s="21"/>
      <c r="F1" s="21"/>
      <c r="G1" s="21"/>
      <c r="H1" s="21"/>
      <c r="I1" s="21"/>
      <c r="J1" s="21"/>
      <c r="K1" s="21"/>
      <c r="O1" s="3" t="s">
        <v>116</v>
      </c>
    </row>
    <row r="3" spans="1:20" ht="23.25" customHeight="1" x14ac:dyDescent="0.25">
      <c r="A3" s="9" t="s">
        <v>117</v>
      </c>
      <c r="B3" s="9" t="s">
        <v>118</v>
      </c>
      <c r="C3" s="9" t="s">
        <v>119</v>
      </c>
      <c r="D3" s="9" t="s">
        <v>120</v>
      </c>
      <c r="E3" s="9" t="s">
        <v>121</v>
      </c>
      <c r="F3" s="9" t="s">
        <v>122</v>
      </c>
      <c r="G3" s="9" t="s">
        <v>123</v>
      </c>
      <c r="H3" s="9" t="s">
        <v>124</v>
      </c>
      <c r="I3" s="9" t="s">
        <v>125</v>
      </c>
      <c r="J3" s="9" t="s">
        <v>126</v>
      </c>
      <c r="K3" s="9" t="s">
        <v>127</v>
      </c>
      <c r="L3" s="12" t="s">
        <v>128</v>
      </c>
      <c r="M3" s="12" t="s">
        <v>129</v>
      </c>
      <c r="O3" s="12" t="s">
        <v>130</v>
      </c>
      <c r="P3" s="12" t="s">
        <v>131</v>
      </c>
      <c r="Q3" s="12" t="s">
        <v>132</v>
      </c>
      <c r="R3" s="12" t="s">
        <v>133</v>
      </c>
      <c r="S3" s="12" t="s">
        <v>134</v>
      </c>
      <c r="T3" s="12" t="s">
        <v>135</v>
      </c>
    </row>
    <row r="4" spans="1:20" ht="15" customHeight="1" x14ac:dyDescent="0.25">
      <c r="A4" s="11">
        <f t="shared" ref="A4:A31" si="0">ROW()-3</f>
        <v>1</v>
      </c>
      <c r="B4" s="13"/>
      <c r="C4" s="14"/>
      <c r="D4" s="14"/>
      <c r="E4" s="14"/>
      <c r="F4" s="15"/>
      <c r="G4" s="11"/>
      <c r="H4" s="11"/>
      <c r="I4" s="11">
        <f>COUNTIFS('Convocations &amp; Temps de jeu'!$A$4:$A$675,A4,'Convocations &amp; Temps de jeu'!$C$4:$C$675,"Oui")</f>
        <v>0</v>
      </c>
      <c r="J4" s="11">
        <f>COUNTIFS('Convocations &amp; Temps de jeu'!$A$4:$A$675,A4,'Convocations &amp; Temps de jeu'!$C$4:$C$675,"Oui",'Convocations &amp; Temps de jeu'!$G$4:$G$675,"Équipe 1")</f>
        <v>0</v>
      </c>
      <c r="K4" s="11" t="str">
        <f>IF(I4&gt;14,"⚠ Plus de 14 convoqués","")</f>
        <v/>
      </c>
      <c r="L4" s="4"/>
      <c r="M4" s="4"/>
      <c r="O4" s="5" t="s">
        <v>137</v>
      </c>
      <c r="P4" s="5">
        <f>Q4+R4+S4</f>
        <v>0</v>
      </c>
      <c r="Q4" s="5">
        <f>SUMPRODUCT(($L$4:$L$31=O4)*($G$4:$G$31&gt;$H$4:$H$31)*ISNUMBER($G$4:$G$31)*ISNUMBER($H$4:$H$31))</f>
        <v>0</v>
      </c>
      <c r="R4" s="5">
        <f>SUMPRODUCT(($L$4:$L$31=O4)*($G$4:$G$31=$H$4:$H$31)*ISNUMBER($G$4:$G$31)*ISNUMBER($H$4:$H$31))</f>
        <v>0</v>
      </c>
      <c r="S4" s="5">
        <f>SUMPRODUCT(($L$4:$L$31=O4)*($G$4:$G$31&lt;$H$4:$H$31)*ISNUMBER($G$4:$G$31)*ISNUMBER($H$4:$H$31))</f>
        <v>0</v>
      </c>
      <c r="T4" s="16" t="str">
        <f>IF(P4=0,"",Q4/P4)</f>
        <v/>
      </c>
    </row>
    <row r="5" spans="1:20" ht="15" customHeight="1" x14ac:dyDescent="0.25">
      <c r="A5" s="11">
        <f t="shared" si="0"/>
        <v>2</v>
      </c>
      <c r="B5" s="10"/>
      <c r="C5" s="10"/>
      <c r="D5" s="10"/>
      <c r="E5" s="10"/>
      <c r="F5" s="10"/>
      <c r="G5" s="11" t="str">
        <f>IF(B5="","",COUNTIFS(Buts!$A$4:$A$151,A5,Buts!$E$4:$E$151,"Nous"))</f>
        <v/>
      </c>
      <c r="H5" s="11" t="str">
        <f>IF(B5="","",COUNTIFS(Buts!$A$4:$A$151,A5,Buts!$E$4:$E$151,"Adverse"))</f>
        <v/>
      </c>
      <c r="I5" s="11" t="str">
        <f>IF(B5="","",COUNTIFS('Convocations &amp; Temps de jeu'!$A$4:$A$675,A5,'Convocations &amp; Temps de jeu'!$C$4:$C$675,"Oui"))</f>
        <v/>
      </c>
      <c r="J5" s="11" t="str">
        <f>IF(B5="","",COUNTIFS('Convocations &amp; Temps de jeu'!$A$4:$A$675,A5,'Convocations &amp; Temps de jeu'!$C$4:$C$675,"Oui",'Convocations &amp; Temps de jeu'!$G$4:$G$675,"Équipe 1"))</f>
        <v/>
      </c>
      <c r="K5" s="11" t="str">
        <f t="shared" ref="K5:K31" si="1">IF(I5="","",IF(I5&gt;14,"⚠ Plus de 14 convoqués",""))</f>
        <v/>
      </c>
      <c r="L5" s="4"/>
      <c r="M5" s="4"/>
      <c r="O5" s="5" t="s">
        <v>138</v>
      </c>
      <c r="P5" s="5">
        <f>Q5+R5+S5</f>
        <v>0</v>
      </c>
      <c r="Q5" s="5">
        <f>SUMPRODUCT(($L$4:$L$31=O5)*($G$4:$G$31&gt;$H$4:$H$31)*ISNUMBER($G$4:$G$31)*ISNUMBER($H$4:$H$31))</f>
        <v>0</v>
      </c>
      <c r="R5" s="5">
        <f>SUMPRODUCT(($L$4:$L$31=O5)*($G$4:$G$31=$H$4:$H$31)*ISNUMBER($G$4:$G$31)*ISNUMBER($H$4:$H$31))</f>
        <v>0</v>
      </c>
      <c r="S5" s="5">
        <f>SUMPRODUCT(($L$4:$L$31=O5)*($G$4:$G$31&lt;$H$4:$H$31)*ISNUMBER($G$4:$G$31)*ISNUMBER($H$4:$H$31))</f>
        <v>0</v>
      </c>
      <c r="T5" s="16" t="str">
        <f>IF(P5=0,"",Q5/P5)</f>
        <v/>
      </c>
    </row>
    <row r="6" spans="1:20" ht="15" customHeight="1" x14ac:dyDescent="0.25">
      <c r="A6" s="11">
        <f t="shared" si="0"/>
        <v>3</v>
      </c>
      <c r="B6" s="10"/>
      <c r="C6" s="10"/>
      <c r="D6" s="10"/>
      <c r="E6" s="10"/>
      <c r="F6" s="10"/>
      <c r="G6" s="11" t="str">
        <f>IF(B6="","",COUNTIFS(Buts!$A$4:$A$151,A6,Buts!$E$4:$E$151,"Nous"))</f>
        <v/>
      </c>
      <c r="H6" s="11" t="str">
        <f>IF(B6="","",COUNTIFS(Buts!$A$4:$A$151,A6,Buts!$E$4:$E$151,"Adverse"))</f>
        <v/>
      </c>
      <c r="I6" s="11" t="str">
        <f>IF(B6="","",COUNTIFS('Convocations &amp; Temps de jeu'!$A$4:$A$675,A6,'Convocations &amp; Temps de jeu'!$C$4:$C$675,"Oui"))</f>
        <v/>
      </c>
      <c r="J6" s="11" t="str">
        <f>IF(B6="","",COUNTIFS('Convocations &amp; Temps de jeu'!$A$4:$A$675,A6,'Convocations &amp; Temps de jeu'!$C$4:$C$675,"Oui",'Convocations &amp; Temps de jeu'!$G$4:$G$675,"Équipe 1"))</f>
        <v/>
      </c>
      <c r="K6" s="11" t="str">
        <f t="shared" si="1"/>
        <v/>
      </c>
      <c r="L6" s="4"/>
      <c r="M6" s="4"/>
      <c r="O6" s="5" t="s">
        <v>139</v>
      </c>
      <c r="P6" s="5">
        <f>Q6+R6+S6</f>
        <v>0</v>
      </c>
      <c r="Q6" s="5">
        <f>SUMPRODUCT(($L$4:$L$31=O6)*($G$4:$G$31&gt;$H$4:$H$31)*ISNUMBER($G$4:$G$31)*ISNUMBER($H$4:$H$31))</f>
        <v>0</v>
      </c>
      <c r="R6" s="5">
        <f>SUMPRODUCT(($L$4:$L$31=O6)*($G$4:$G$31=$H$4:$H$31)*ISNUMBER($G$4:$G$31)*ISNUMBER($H$4:$H$31))</f>
        <v>0</v>
      </c>
      <c r="S6" s="5">
        <f>SUMPRODUCT(($L$4:$L$31=O6)*($G$4:$G$31&lt;$H$4:$H$31)*ISNUMBER($G$4:$G$31)*ISNUMBER($H$4:$H$31))</f>
        <v>0</v>
      </c>
      <c r="T6" s="16" t="str">
        <f>IF(P6=0,"",Q6/P6)</f>
        <v/>
      </c>
    </row>
    <row r="7" spans="1:20" ht="15" customHeight="1" x14ac:dyDescent="0.25">
      <c r="A7" s="11">
        <f t="shared" si="0"/>
        <v>4</v>
      </c>
      <c r="B7" s="10"/>
      <c r="C7" s="10"/>
      <c r="D7" s="10"/>
      <c r="E7" s="10"/>
      <c r="F7" s="10"/>
      <c r="G7" s="11" t="str">
        <f>IF(B7="","",COUNTIFS(Buts!$A$4:$A$151,A7,Buts!$E$4:$E$151,"Nous"))</f>
        <v/>
      </c>
      <c r="H7" s="11" t="str">
        <f>IF(B7="","",COUNTIFS(Buts!$A$4:$A$151,A7,Buts!$E$4:$E$151,"Adverse"))</f>
        <v/>
      </c>
      <c r="I7" s="11" t="str">
        <f>IF(B7="","",COUNTIFS('Convocations &amp; Temps de jeu'!$A$4:$A$675,A7,'Convocations &amp; Temps de jeu'!$C$4:$C$675,"Oui"))</f>
        <v/>
      </c>
      <c r="J7" s="11" t="str">
        <f>IF(B7="","",COUNTIFS('Convocations &amp; Temps de jeu'!$A$4:$A$675,A7,'Convocations &amp; Temps de jeu'!$C$4:$C$675,"Oui",'Convocations &amp; Temps de jeu'!$G$4:$G$675,"Équipe 1"))</f>
        <v/>
      </c>
      <c r="K7" s="11" t="str">
        <f t="shared" si="1"/>
        <v/>
      </c>
      <c r="L7" s="4"/>
      <c r="M7" s="4"/>
      <c r="O7" s="5" t="s">
        <v>136</v>
      </c>
      <c r="P7" s="5">
        <f>Q7+R7+S7</f>
        <v>0</v>
      </c>
      <c r="Q7" s="5">
        <f>SUMPRODUCT(($L$4:$L$31=O7)*($G$4:$G$31&gt;$H$4:$H$31)*ISNUMBER($G$4:$G$31)*ISNUMBER($H$4:$H$31))</f>
        <v>0</v>
      </c>
      <c r="R7" s="5">
        <f>SUMPRODUCT(($L$4:$L$31=O7)*($G$4:$G$31=$H$4:$H$31)*ISNUMBER($G$4:$G$31)*ISNUMBER($H$4:$H$31))</f>
        <v>0</v>
      </c>
      <c r="S7" s="5">
        <f>SUMPRODUCT(($L$4:$L$31=O7)*($G$4:$G$31&lt;$H$4:$H$31)*ISNUMBER($G$4:$G$31)*ISNUMBER($H$4:$H$31))</f>
        <v>0</v>
      </c>
      <c r="T7" s="16" t="str">
        <f>IF(P7=0,"",Q7/P7)</f>
        <v/>
      </c>
    </row>
    <row r="8" spans="1:20" ht="15" customHeight="1" x14ac:dyDescent="0.25">
      <c r="A8" s="11">
        <f t="shared" si="0"/>
        <v>5</v>
      </c>
      <c r="B8" s="10"/>
      <c r="C8" s="10"/>
      <c r="D8" s="10"/>
      <c r="E8" s="10"/>
      <c r="F8" s="10"/>
      <c r="G8" s="11" t="str">
        <f>IF(B8="","",COUNTIFS(Buts!$A$4:$A$151,A8,Buts!$E$4:$E$151,"Nous"))</f>
        <v/>
      </c>
      <c r="H8" s="11" t="str">
        <f>IF(B8="","",COUNTIFS(Buts!$A$4:$A$151,A8,Buts!$E$4:$E$151,"Adverse"))</f>
        <v/>
      </c>
      <c r="I8" s="11" t="str">
        <f>IF(B8="","",COUNTIFS('Convocations &amp; Temps de jeu'!$A$4:$A$675,A8,'Convocations &amp; Temps de jeu'!$C$4:$C$675,"Oui"))</f>
        <v/>
      </c>
      <c r="J8" s="11" t="str">
        <f>IF(B8="","",COUNTIFS('Convocations &amp; Temps de jeu'!$A$4:$A$675,A8,'Convocations &amp; Temps de jeu'!$C$4:$C$675,"Oui",'Convocations &amp; Temps de jeu'!$G$4:$G$675,"Équipe 1"))</f>
        <v/>
      </c>
      <c r="K8" s="11" t="str">
        <f t="shared" si="1"/>
        <v/>
      </c>
      <c r="L8" s="4"/>
      <c r="M8" s="4"/>
    </row>
    <row r="9" spans="1:20" ht="15" customHeight="1" x14ac:dyDescent="0.25">
      <c r="A9" s="11">
        <f t="shared" si="0"/>
        <v>6</v>
      </c>
      <c r="B9" s="10"/>
      <c r="C9" s="10"/>
      <c r="D9" s="10"/>
      <c r="E9" s="10"/>
      <c r="F9" s="10"/>
      <c r="G9" s="11" t="str">
        <f>IF(B9="","",COUNTIFS(Buts!$A$4:$A$151,A9,Buts!$E$4:$E$151,"Nous"))</f>
        <v/>
      </c>
      <c r="H9" s="11" t="str">
        <f>IF(B9="","",COUNTIFS(Buts!$A$4:$A$151,A9,Buts!$E$4:$E$151,"Adverse"))</f>
        <v/>
      </c>
      <c r="I9" s="11" t="str">
        <f>IF(B9="","",COUNTIFS('Convocations &amp; Temps de jeu'!$A$4:$A$675,A9,'Convocations &amp; Temps de jeu'!$C$4:$C$675,"Oui"))</f>
        <v/>
      </c>
      <c r="J9" s="11" t="str">
        <f>IF(B9="","",COUNTIFS('Convocations &amp; Temps de jeu'!$A$4:$A$675,A9,'Convocations &amp; Temps de jeu'!$C$4:$C$675,"Oui",'Convocations &amp; Temps de jeu'!$G$4:$G$675,"Équipe 1"))</f>
        <v/>
      </c>
      <c r="K9" s="11" t="str">
        <f t="shared" si="1"/>
        <v/>
      </c>
      <c r="L9" s="4"/>
      <c r="M9" s="4"/>
    </row>
    <row r="10" spans="1:20" ht="15" customHeight="1" x14ac:dyDescent="0.25">
      <c r="A10" s="11">
        <f t="shared" si="0"/>
        <v>7</v>
      </c>
      <c r="B10" s="10"/>
      <c r="C10" s="10"/>
      <c r="D10" s="10"/>
      <c r="E10" s="10"/>
      <c r="F10" s="10"/>
      <c r="G10" s="11" t="str">
        <f>IF(B10="","",COUNTIFS(Buts!$A$4:$A$151,A10,Buts!$E$4:$E$151,"Nous"))</f>
        <v/>
      </c>
      <c r="H10" s="11" t="str">
        <f>IF(B10="","",COUNTIFS(Buts!$A$4:$A$151,A10,Buts!$E$4:$E$151,"Adverse"))</f>
        <v/>
      </c>
      <c r="I10" s="11" t="str">
        <f>IF(B10="","",COUNTIFS('Convocations &amp; Temps de jeu'!$A$4:$A$675,A10,'Convocations &amp; Temps de jeu'!$C$4:$C$675,"Oui"))</f>
        <v/>
      </c>
      <c r="J10" s="11" t="str">
        <f>IF(B10="","",COUNTIFS('Convocations &amp; Temps de jeu'!$A$4:$A$675,A10,'Convocations &amp; Temps de jeu'!$C$4:$C$675,"Oui",'Convocations &amp; Temps de jeu'!$G$4:$G$675,"Équipe 1"))</f>
        <v/>
      </c>
      <c r="K10" s="11" t="str">
        <f t="shared" si="1"/>
        <v/>
      </c>
      <c r="L10" s="4"/>
      <c r="M10" s="4"/>
    </row>
    <row r="11" spans="1:20" ht="15" customHeight="1" x14ac:dyDescent="0.25">
      <c r="A11" s="11">
        <f t="shared" si="0"/>
        <v>8</v>
      </c>
      <c r="B11" s="10"/>
      <c r="C11" s="10"/>
      <c r="D11" s="10"/>
      <c r="E11" s="10"/>
      <c r="F11" s="10"/>
      <c r="G11" s="11" t="str">
        <f>IF(B11="","",COUNTIFS(Buts!$A$4:$A$151,A11,Buts!$E$4:$E$151,"Nous"))</f>
        <v/>
      </c>
      <c r="H11" s="11" t="str">
        <f>IF(B11="","",COUNTIFS(Buts!$A$4:$A$151,A11,Buts!$E$4:$E$151,"Adverse"))</f>
        <v/>
      </c>
      <c r="I11" s="11" t="str">
        <f>IF(B11="","",COUNTIFS('Convocations &amp; Temps de jeu'!$A$4:$A$675,A11,'Convocations &amp; Temps de jeu'!$C$4:$C$675,"Oui"))</f>
        <v/>
      </c>
      <c r="J11" s="11" t="str">
        <f>IF(B11="","",COUNTIFS('Convocations &amp; Temps de jeu'!$A$4:$A$675,A11,'Convocations &amp; Temps de jeu'!$C$4:$C$675,"Oui",'Convocations &amp; Temps de jeu'!$G$4:$G$675,"Équipe 1"))</f>
        <v/>
      </c>
      <c r="K11" s="11" t="str">
        <f t="shared" si="1"/>
        <v/>
      </c>
      <c r="L11" s="4"/>
      <c r="M11" s="4"/>
    </row>
    <row r="12" spans="1:20" ht="15" customHeight="1" x14ac:dyDescent="0.25">
      <c r="A12" s="11">
        <f t="shared" si="0"/>
        <v>9</v>
      </c>
      <c r="B12" s="10"/>
      <c r="C12" s="10"/>
      <c r="D12" s="10"/>
      <c r="E12" s="10"/>
      <c r="F12" s="10"/>
      <c r="G12" s="11" t="str">
        <f>IF(B12="","",COUNTIFS(Buts!$A$4:$A$151,A12,Buts!$E$4:$E$151,"Nous"))</f>
        <v/>
      </c>
      <c r="H12" s="11" t="str">
        <f>IF(B12="","",COUNTIFS(Buts!$A$4:$A$151,A12,Buts!$E$4:$E$151,"Adverse"))</f>
        <v/>
      </c>
      <c r="I12" s="11" t="str">
        <f>IF(B12="","",COUNTIFS('Convocations &amp; Temps de jeu'!$A$4:$A$675,A12,'Convocations &amp; Temps de jeu'!$C$4:$C$675,"Oui"))</f>
        <v/>
      </c>
      <c r="J12" s="11" t="str">
        <f>IF(B12="","",COUNTIFS('Convocations &amp; Temps de jeu'!$A$4:$A$675,A12,'Convocations &amp; Temps de jeu'!$C$4:$C$675,"Oui",'Convocations &amp; Temps de jeu'!$G$4:$G$675,"Équipe 1"))</f>
        <v/>
      </c>
      <c r="K12" s="11" t="str">
        <f t="shared" si="1"/>
        <v/>
      </c>
      <c r="L12" s="4"/>
      <c r="M12" s="4"/>
    </row>
    <row r="13" spans="1:20" ht="15" customHeight="1" x14ac:dyDescent="0.25">
      <c r="A13" s="11">
        <f t="shared" si="0"/>
        <v>10</v>
      </c>
      <c r="B13" s="10"/>
      <c r="C13" s="10"/>
      <c r="D13" s="10"/>
      <c r="E13" s="10"/>
      <c r="F13" s="10"/>
      <c r="G13" s="11" t="str">
        <f>IF(B13="","",COUNTIFS(Buts!$A$4:$A$151,A13,Buts!$E$4:$E$151,"Nous"))</f>
        <v/>
      </c>
      <c r="H13" s="11" t="str">
        <f>IF(B13="","",COUNTIFS(Buts!$A$4:$A$151,A13,Buts!$E$4:$E$151,"Adverse"))</f>
        <v/>
      </c>
      <c r="I13" s="11" t="str">
        <f>IF(B13="","",COUNTIFS('Convocations &amp; Temps de jeu'!$A$4:$A$675,A13,'Convocations &amp; Temps de jeu'!$C$4:$C$675,"Oui"))</f>
        <v/>
      </c>
      <c r="J13" s="11" t="str">
        <f>IF(B13="","",COUNTIFS('Convocations &amp; Temps de jeu'!$A$4:$A$675,A13,'Convocations &amp; Temps de jeu'!$C$4:$C$675,"Oui",'Convocations &amp; Temps de jeu'!$G$4:$G$675,"Équipe 1"))</f>
        <v/>
      </c>
      <c r="K13" s="11" t="str">
        <f t="shared" si="1"/>
        <v/>
      </c>
      <c r="L13" s="4"/>
      <c r="M13" s="4"/>
    </row>
    <row r="14" spans="1:20" ht="15" customHeight="1" x14ac:dyDescent="0.25">
      <c r="A14" s="11">
        <f t="shared" si="0"/>
        <v>11</v>
      </c>
      <c r="B14" s="10"/>
      <c r="C14" s="10"/>
      <c r="D14" s="10"/>
      <c r="E14" s="10"/>
      <c r="F14" s="10"/>
      <c r="G14" s="11" t="str">
        <f>IF(B14="","",COUNTIFS(Buts!$A$4:$A$151,A14,Buts!$E$4:$E$151,"Nous"))</f>
        <v/>
      </c>
      <c r="H14" s="11" t="str">
        <f>IF(B14="","",COUNTIFS(Buts!$A$4:$A$151,A14,Buts!$E$4:$E$151,"Adverse"))</f>
        <v/>
      </c>
      <c r="I14" s="11" t="str">
        <f>IF(B14="","",COUNTIFS('Convocations &amp; Temps de jeu'!$A$4:$A$675,A14,'Convocations &amp; Temps de jeu'!$C$4:$C$675,"Oui"))</f>
        <v/>
      </c>
      <c r="J14" s="11" t="str">
        <f>IF(B14="","",COUNTIFS('Convocations &amp; Temps de jeu'!$A$4:$A$675,A14,'Convocations &amp; Temps de jeu'!$C$4:$C$675,"Oui",'Convocations &amp; Temps de jeu'!$G$4:$G$675,"Équipe 1"))</f>
        <v/>
      </c>
      <c r="K14" s="11" t="str">
        <f t="shared" si="1"/>
        <v/>
      </c>
      <c r="L14" s="4"/>
      <c r="M14" s="4"/>
    </row>
    <row r="15" spans="1:20" ht="15" customHeight="1" x14ac:dyDescent="0.25">
      <c r="A15" s="11">
        <f t="shared" si="0"/>
        <v>12</v>
      </c>
      <c r="B15" s="10"/>
      <c r="C15" s="10"/>
      <c r="D15" s="10"/>
      <c r="E15" s="10"/>
      <c r="F15" s="10"/>
      <c r="G15" s="11" t="str">
        <f>IF(B15="","",COUNTIFS(Buts!$A$4:$A$151,A15,Buts!$E$4:$E$151,"Nous"))</f>
        <v/>
      </c>
      <c r="H15" s="11" t="str">
        <f>IF(B15="","",COUNTIFS(Buts!$A$4:$A$151,A15,Buts!$E$4:$E$151,"Adverse"))</f>
        <v/>
      </c>
      <c r="I15" s="11" t="str">
        <f>IF(B15="","",COUNTIFS('Convocations &amp; Temps de jeu'!$A$4:$A$675,A15,'Convocations &amp; Temps de jeu'!$C$4:$C$675,"Oui"))</f>
        <v/>
      </c>
      <c r="J15" s="11" t="str">
        <f>IF(B15="","",COUNTIFS('Convocations &amp; Temps de jeu'!$A$4:$A$675,A15,'Convocations &amp; Temps de jeu'!$C$4:$C$675,"Oui",'Convocations &amp; Temps de jeu'!$G$4:$G$675,"Équipe 1"))</f>
        <v/>
      </c>
      <c r="K15" s="11" t="str">
        <f t="shared" si="1"/>
        <v/>
      </c>
      <c r="L15" s="4"/>
      <c r="M15" s="4"/>
    </row>
    <row r="16" spans="1:20" ht="15" customHeight="1" x14ac:dyDescent="0.25">
      <c r="A16" s="11">
        <f t="shared" si="0"/>
        <v>13</v>
      </c>
      <c r="B16" s="10"/>
      <c r="C16" s="10"/>
      <c r="D16" s="10"/>
      <c r="E16" s="10"/>
      <c r="F16" s="10"/>
      <c r="G16" s="11" t="str">
        <f>IF(B16="","",COUNTIFS(Buts!$A$4:$A$151,A16,Buts!$E$4:$E$151,"Nous"))</f>
        <v/>
      </c>
      <c r="H16" s="11" t="str">
        <f>IF(B16="","",COUNTIFS(Buts!$A$4:$A$151,A16,Buts!$E$4:$E$151,"Adverse"))</f>
        <v/>
      </c>
      <c r="I16" s="11" t="str">
        <f>IF(B16="","",COUNTIFS('Convocations &amp; Temps de jeu'!$A$4:$A$675,A16,'Convocations &amp; Temps de jeu'!$C$4:$C$675,"Oui"))</f>
        <v/>
      </c>
      <c r="J16" s="11" t="str">
        <f>IF(B16="","",COUNTIFS('Convocations &amp; Temps de jeu'!$A$4:$A$675,A16,'Convocations &amp; Temps de jeu'!$C$4:$C$675,"Oui",'Convocations &amp; Temps de jeu'!$G$4:$G$675,"Équipe 1"))</f>
        <v/>
      </c>
      <c r="K16" s="11" t="str">
        <f t="shared" si="1"/>
        <v/>
      </c>
      <c r="L16" s="4"/>
      <c r="M16" s="4"/>
    </row>
    <row r="17" spans="1:13" ht="15" customHeight="1" x14ac:dyDescent="0.25">
      <c r="A17" s="11">
        <f t="shared" si="0"/>
        <v>14</v>
      </c>
      <c r="B17" s="10"/>
      <c r="C17" s="10"/>
      <c r="D17" s="10"/>
      <c r="E17" s="10"/>
      <c r="F17" s="10"/>
      <c r="G17" s="11" t="str">
        <f>IF(B17="","",COUNTIFS(Buts!$A$4:$A$151,A17,Buts!$E$4:$E$151,"Nous"))</f>
        <v/>
      </c>
      <c r="H17" s="11" t="str">
        <f>IF(B17="","",COUNTIFS(Buts!$A$4:$A$151,A17,Buts!$E$4:$E$151,"Adverse"))</f>
        <v/>
      </c>
      <c r="I17" s="11" t="str">
        <f>IF(B17="","",COUNTIFS('Convocations &amp; Temps de jeu'!$A$4:$A$675,A17,'Convocations &amp; Temps de jeu'!$C$4:$C$675,"Oui"))</f>
        <v/>
      </c>
      <c r="J17" s="11" t="str">
        <f>IF(B17="","",COUNTIFS('Convocations &amp; Temps de jeu'!$A$4:$A$675,A17,'Convocations &amp; Temps de jeu'!$C$4:$C$675,"Oui",'Convocations &amp; Temps de jeu'!$G$4:$G$675,"Équipe 1"))</f>
        <v/>
      </c>
      <c r="K17" s="11" t="str">
        <f t="shared" si="1"/>
        <v/>
      </c>
      <c r="L17" s="4"/>
      <c r="M17" s="4"/>
    </row>
    <row r="18" spans="1:13" ht="15" customHeight="1" x14ac:dyDescent="0.25">
      <c r="A18" s="11">
        <f t="shared" si="0"/>
        <v>15</v>
      </c>
      <c r="B18" s="10"/>
      <c r="C18" s="10"/>
      <c r="D18" s="10"/>
      <c r="E18" s="10"/>
      <c r="F18" s="10"/>
      <c r="G18" s="11" t="str">
        <f>IF(B18="","",COUNTIFS(Buts!$A$4:$A$151,A18,Buts!$E$4:$E$151,"Nous"))</f>
        <v/>
      </c>
      <c r="H18" s="11" t="str">
        <f>IF(B18="","",COUNTIFS(Buts!$A$4:$A$151,A18,Buts!$E$4:$E$151,"Adverse"))</f>
        <v/>
      </c>
      <c r="I18" s="11" t="str">
        <f>IF(B18="","",COUNTIFS('Convocations &amp; Temps de jeu'!$A$4:$A$675,A18,'Convocations &amp; Temps de jeu'!$C$4:$C$675,"Oui"))</f>
        <v/>
      </c>
      <c r="J18" s="11" t="str">
        <f>IF(B18="","",COUNTIFS('Convocations &amp; Temps de jeu'!$A$4:$A$675,A18,'Convocations &amp; Temps de jeu'!$C$4:$C$675,"Oui",'Convocations &amp; Temps de jeu'!$G$4:$G$675,"Équipe 1"))</f>
        <v/>
      </c>
      <c r="K18" s="11" t="str">
        <f t="shared" si="1"/>
        <v/>
      </c>
      <c r="L18" s="4"/>
      <c r="M18" s="4"/>
    </row>
    <row r="19" spans="1:13" ht="15" customHeight="1" x14ac:dyDescent="0.25">
      <c r="A19" s="11">
        <f t="shared" si="0"/>
        <v>16</v>
      </c>
      <c r="B19" s="10"/>
      <c r="C19" s="10"/>
      <c r="D19" s="10"/>
      <c r="E19" s="10"/>
      <c r="F19" s="10"/>
      <c r="G19" s="11" t="str">
        <f>IF(B19="","",COUNTIFS(Buts!$A$4:$A$151,A19,Buts!$E$4:$E$151,"Nous"))</f>
        <v/>
      </c>
      <c r="H19" s="11" t="str">
        <f>IF(B19="","",COUNTIFS(Buts!$A$4:$A$151,A19,Buts!$E$4:$E$151,"Adverse"))</f>
        <v/>
      </c>
      <c r="I19" s="11" t="str">
        <f>IF(B19="","",COUNTIFS('Convocations &amp; Temps de jeu'!$A$4:$A$675,A19,'Convocations &amp; Temps de jeu'!$C$4:$C$675,"Oui"))</f>
        <v/>
      </c>
      <c r="J19" s="11" t="str">
        <f>IF(B19="","",COUNTIFS('Convocations &amp; Temps de jeu'!$A$4:$A$675,A19,'Convocations &amp; Temps de jeu'!$C$4:$C$675,"Oui",'Convocations &amp; Temps de jeu'!$G$4:$G$675,"Équipe 1"))</f>
        <v/>
      </c>
      <c r="K19" s="11" t="str">
        <f t="shared" si="1"/>
        <v/>
      </c>
      <c r="L19" s="4"/>
      <c r="M19" s="4"/>
    </row>
    <row r="20" spans="1:13" ht="15" customHeight="1" x14ac:dyDescent="0.25">
      <c r="A20" s="11">
        <f t="shared" si="0"/>
        <v>17</v>
      </c>
      <c r="B20" s="10"/>
      <c r="C20" s="10"/>
      <c r="D20" s="10"/>
      <c r="E20" s="10"/>
      <c r="F20" s="10"/>
      <c r="G20" s="11" t="str">
        <f>IF(B20="","",COUNTIFS(Buts!$A$4:$A$151,A20,Buts!$E$4:$E$151,"Nous"))</f>
        <v/>
      </c>
      <c r="H20" s="11" t="str">
        <f>IF(B20="","",COUNTIFS(Buts!$A$4:$A$151,A20,Buts!$E$4:$E$151,"Adverse"))</f>
        <v/>
      </c>
      <c r="I20" s="11" t="str">
        <f>IF(B20="","",COUNTIFS('Convocations &amp; Temps de jeu'!$A$4:$A$675,A20,'Convocations &amp; Temps de jeu'!$C$4:$C$675,"Oui"))</f>
        <v/>
      </c>
      <c r="J20" s="11" t="str">
        <f>IF(B20="","",COUNTIFS('Convocations &amp; Temps de jeu'!$A$4:$A$675,A20,'Convocations &amp; Temps de jeu'!$C$4:$C$675,"Oui",'Convocations &amp; Temps de jeu'!$G$4:$G$675,"Équipe 1"))</f>
        <v/>
      </c>
      <c r="K20" s="11" t="str">
        <f t="shared" si="1"/>
        <v/>
      </c>
      <c r="L20" s="4"/>
      <c r="M20" s="4"/>
    </row>
    <row r="21" spans="1:13" ht="15" customHeight="1" x14ac:dyDescent="0.25">
      <c r="A21" s="11">
        <f t="shared" si="0"/>
        <v>18</v>
      </c>
      <c r="B21" s="10"/>
      <c r="C21" s="10"/>
      <c r="D21" s="10"/>
      <c r="E21" s="10"/>
      <c r="F21" s="10"/>
      <c r="G21" s="11" t="str">
        <f>IF(B21="","",COUNTIFS(Buts!$A$4:$A$151,A21,Buts!$E$4:$E$151,"Nous"))</f>
        <v/>
      </c>
      <c r="H21" s="11" t="str">
        <f>IF(B21="","",COUNTIFS(Buts!$A$4:$A$151,A21,Buts!$E$4:$E$151,"Adverse"))</f>
        <v/>
      </c>
      <c r="I21" s="11" t="str">
        <f>IF(B21="","",COUNTIFS('Convocations &amp; Temps de jeu'!$A$4:$A$675,A21,'Convocations &amp; Temps de jeu'!$C$4:$C$675,"Oui"))</f>
        <v/>
      </c>
      <c r="J21" s="11" t="str">
        <f>IF(B21="","",COUNTIFS('Convocations &amp; Temps de jeu'!$A$4:$A$675,A21,'Convocations &amp; Temps de jeu'!$C$4:$C$675,"Oui",'Convocations &amp; Temps de jeu'!$G$4:$G$675,"Équipe 1"))</f>
        <v/>
      </c>
      <c r="K21" s="11" t="str">
        <f t="shared" si="1"/>
        <v/>
      </c>
      <c r="L21" s="4"/>
      <c r="M21" s="4"/>
    </row>
    <row r="22" spans="1:13" ht="15" customHeight="1" x14ac:dyDescent="0.25">
      <c r="A22" s="11">
        <f t="shared" si="0"/>
        <v>19</v>
      </c>
      <c r="B22" s="10"/>
      <c r="C22" s="10"/>
      <c r="D22" s="10"/>
      <c r="E22" s="10"/>
      <c r="F22" s="10"/>
      <c r="G22" s="11" t="str">
        <f>IF(B22="","",COUNTIFS(Buts!$A$4:$A$151,A22,Buts!$E$4:$E$151,"Nous"))</f>
        <v/>
      </c>
      <c r="H22" s="11" t="str">
        <f>IF(B22="","",COUNTIFS(Buts!$A$4:$A$151,A22,Buts!$E$4:$E$151,"Adverse"))</f>
        <v/>
      </c>
      <c r="I22" s="11" t="str">
        <f>IF(B22="","",COUNTIFS('Convocations &amp; Temps de jeu'!$A$4:$A$675,A22,'Convocations &amp; Temps de jeu'!$C$4:$C$675,"Oui"))</f>
        <v/>
      </c>
      <c r="J22" s="11" t="str">
        <f>IF(B22="","",COUNTIFS('Convocations &amp; Temps de jeu'!$A$4:$A$675,A22,'Convocations &amp; Temps de jeu'!$C$4:$C$675,"Oui",'Convocations &amp; Temps de jeu'!$G$4:$G$675,"Équipe 1"))</f>
        <v/>
      </c>
      <c r="K22" s="11" t="str">
        <f t="shared" si="1"/>
        <v/>
      </c>
      <c r="L22" s="4"/>
      <c r="M22" s="4"/>
    </row>
    <row r="23" spans="1:13" ht="15" customHeight="1" x14ac:dyDescent="0.25">
      <c r="A23" s="11">
        <f t="shared" si="0"/>
        <v>20</v>
      </c>
      <c r="B23" s="10"/>
      <c r="C23" s="10"/>
      <c r="D23" s="10"/>
      <c r="E23" s="10"/>
      <c r="F23" s="10"/>
      <c r="G23" s="11" t="str">
        <f>IF(B23="","",COUNTIFS(Buts!$A$4:$A$151,A23,Buts!$E$4:$E$151,"Nous"))</f>
        <v/>
      </c>
      <c r="H23" s="11" t="str">
        <f>IF(B23="","",COUNTIFS(Buts!$A$4:$A$151,A23,Buts!$E$4:$E$151,"Adverse"))</f>
        <v/>
      </c>
      <c r="I23" s="11" t="str">
        <f>IF(B23="","",COUNTIFS('Convocations &amp; Temps de jeu'!$A$4:$A$675,A23,'Convocations &amp; Temps de jeu'!$C$4:$C$675,"Oui"))</f>
        <v/>
      </c>
      <c r="J23" s="11" t="str">
        <f>IF(B23="","",COUNTIFS('Convocations &amp; Temps de jeu'!$A$4:$A$675,A23,'Convocations &amp; Temps de jeu'!$C$4:$C$675,"Oui",'Convocations &amp; Temps de jeu'!$G$4:$G$675,"Équipe 1"))</f>
        <v/>
      </c>
      <c r="K23" s="11" t="str">
        <f t="shared" si="1"/>
        <v/>
      </c>
      <c r="L23" s="4"/>
      <c r="M23" s="4"/>
    </row>
    <row r="24" spans="1:13" ht="15" customHeight="1" x14ac:dyDescent="0.25">
      <c r="A24" s="11">
        <f t="shared" si="0"/>
        <v>21</v>
      </c>
      <c r="B24" s="10"/>
      <c r="C24" s="10"/>
      <c r="D24" s="10"/>
      <c r="E24" s="10"/>
      <c r="F24" s="10"/>
      <c r="G24" s="11" t="str">
        <f>IF(B24="","",COUNTIFS(Buts!$A$4:$A$151,A24,Buts!$E$4:$E$151,"Nous"))</f>
        <v/>
      </c>
      <c r="H24" s="11" t="str">
        <f>IF(B24="","",COUNTIFS(Buts!$A$4:$A$151,A24,Buts!$E$4:$E$151,"Adverse"))</f>
        <v/>
      </c>
      <c r="I24" s="11" t="str">
        <f>IF(B24="","",COUNTIFS('Convocations &amp; Temps de jeu'!$A$4:$A$675,A24,'Convocations &amp; Temps de jeu'!$C$4:$C$675,"Oui"))</f>
        <v/>
      </c>
      <c r="J24" s="11" t="str">
        <f>IF(B24="","",COUNTIFS('Convocations &amp; Temps de jeu'!$A$4:$A$675,A24,'Convocations &amp; Temps de jeu'!$C$4:$C$675,"Oui",'Convocations &amp; Temps de jeu'!$G$4:$G$675,"Équipe 1"))</f>
        <v/>
      </c>
      <c r="K24" s="11" t="str">
        <f t="shared" si="1"/>
        <v/>
      </c>
      <c r="L24" s="4"/>
      <c r="M24" s="4"/>
    </row>
    <row r="25" spans="1:13" ht="15" customHeight="1" x14ac:dyDescent="0.25">
      <c r="A25" s="11">
        <f t="shared" si="0"/>
        <v>22</v>
      </c>
      <c r="B25" s="10"/>
      <c r="C25" s="10"/>
      <c r="D25" s="10"/>
      <c r="E25" s="10"/>
      <c r="F25" s="10"/>
      <c r="G25" s="11" t="str">
        <f>IF(B25="","",COUNTIFS(Buts!$A$4:$A$151,A25,Buts!$E$4:$E$151,"Nous"))</f>
        <v/>
      </c>
      <c r="H25" s="11" t="str">
        <f>IF(B25="","",COUNTIFS(Buts!$A$4:$A$151,A25,Buts!$E$4:$E$151,"Adverse"))</f>
        <v/>
      </c>
      <c r="I25" s="11" t="str">
        <f>IF(B25="","",COUNTIFS('Convocations &amp; Temps de jeu'!$A$4:$A$675,A25,'Convocations &amp; Temps de jeu'!$C$4:$C$675,"Oui"))</f>
        <v/>
      </c>
      <c r="J25" s="11" t="str">
        <f>IF(B25="","",COUNTIFS('Convocations &amp; Temps de jeu'!$A$4:$A$675,A25,'Convocations &amp; Temps de jeu'!$C$4:$C$675,"Oui",'Convocations &amp; Temps de jeu'!$G$4:$G$675,"Équipe 1"))</f>
        <v/>
      </c>
      <c r="K25" s="11" t="str">
        <f t="shared" si="1"/>
        <v/>
      </c>
      <c r="L25" s="4"/>
      <c r="M25" s="4"/>
    </row>
    <row r="26" spans="1:13" ht="15" customHeight="1" x14ac:dyDescent="0.25">
      <c r="A26" s="11">
        <f t="shared" si="0"/>
        <v>23</v>
      </c>
      <c r="B26" s="10"/>
      <c r="C26" s="10"/>
      <c r="D26" s="10"/>
      <c r="E26" s="10"/>
      <c r="F26" s="10"/>
      <c r="G26" s="11" t="str">
        <f>IF(B26="","",COUNTIFS(Buts!$A$4:$A$151,A26,Buts!$E$4:$E$151,"Nous"))</f>
        <v/>
      </c>
      <c r="H26" s="11" t="str">
        <f>IF(B26="","",COUNTIFS(Buts!$A$4:$A$151,A26,Buts!$E$4:$E$151,"Adverse"))</f>
        <v/>
      </c>
      <c r="I26" s="11" t="str">
        <f>IF(B26="","",COUNTIFS('Convocations &amp; Temps de jeu'!$A$4:$A$675,A26,'Convocations &amp; Temps de jeu'!$C$4:$C$675,"Oui"))</f>
        <v/>
      </c>
      <c r="J26" s="11" t="str">
        <f>IF(B26="","",COUNTIFS('Convocations &amp; Temps de jeu'!$A$4:$A$675,A26,'Convocations &amp; Temps de jeu'!$C$4:$C$675,"Oui",'Convocations &amp; Temps de jeu'!$G$4:$G$675,"Équipe 1"))</f>
        <v/>
      </c>
      <c r="K26" s="11" t="str">
        <f t="shared" si="1"/>
        <v/>
      </c>
      <c r="L26" s="4"/>
      <c r="M26" s="4"/>
    </row>
    <row r="27" spans="1:13" ht="15" customHeight="1" x14ac:dyDescent="0.25">
      <c r="A27" s="11">
        <f t="shared" si="0"/>
        <v>24</v>
      </c>
      <c r="B27" s="10"/>
      <c r="C27" s="10"/>
      <c r="D27" s="10"/>
      <c r="E27" s="10"/>
      <c r="F27" s="10"/>
      <c r="G27" s="11" t="str">
        <f>IF(B27="","",COUNTIFS(Buts!$A$4:$A$151,A27,Buts!$E$4:$E$151,"Nous"))</f>
        <v/>
      </c>
      <c r="H27" s="11" t="str">
        <f>IF(B27="","",COUNTIFS(Buts!$A$4:$A$151,A27,Buts!$E$4:$E$151,"Adverse"))</f>
        <v/>
      </c>
      <c r="I27" s="11" t="str">
        <f>IF(B27="","",COUNTIFS('Convocations &amp; Temps de jeu'!$A$4:$A$675,A27,'Convocations &amp; Temps de jeu'!$C$4:$C$675,"Oui"))</f>
        <v/>
      </c>
      <c r="J27" s="11" t="str">
        <f>IF(B27="","",COUNTIFS('Convocations &amp; Temps de jeu'!$A$4:$A$675,A27,'Convocations &amp; Temps de jeu'!$C$4:$C$675,"Oui",'Convocations &amp; Temps de jeu'!$G$4:$G$675,"Équipe 1"))</f>
        <v/>
      </c>
      <c r="K27" s="11" t="str">
        <f t="shared" si="1"/>
        <v/>
      </c>
      <c r="L27" s="4"/>
      <c r="M27" s="4"/>
    </row>
    <row r="28" spans="1:13" ht="15" customHeight="1" x14ac:dyDescent="0.25">
      <c r="A28" s="11">
        <f t="shared" si="0"/>
        <v>25</v>
      </c>
      <c r="B28" s="10"/>
      <c r="C28" s="10"/>
      <c r="D28" s="10"/>
      <c r="E28" s="10"/>
      <c r="F28" s="10"/>
      <c r="G28" s="11" t="str">
        <f>IF(B28="","",COUNTIFS(Buts!$A$4:$A$151,A28,Buts!$E$4:$E$151,"Nous"))</f>
        <v/>
      </c>
      <c r="H28" s="11" t="str">
        <f>IF(B28="","",COUNTIFS(Buts!$A$4:$A$151,A28,Buts!$E$4:$E$151,"Adverse"))</f>
        <v/>
      </c>
      <c r="I28" s="11" t="str">
        <f>IF(B28="","",COUNTIFS('Convocations &amp; Temps de jeu'!$A$4:$A$675,A28,'Convocations &amp; Temps de jeu'!$C$4:$C$675,"Oui"))</f>
        <v/>
      </c>
      <c r="J28" s="11" t="str">
        <f>IF(B28="","",COUNTIFS('Convocations &amp; Temps de jeu'!$A$4:$A$675,A28,'Convocations &amp; Temps de jeu'!$C$4:$C$675,"Oui",'Convocations &amp; Temps de jeu'!$G$4:$G$675,"Équipe 1"))</f>
        <v/>
      </c>
      <c r="K28" s="11" t="str">
        <f t="shared" si="1"/>
        <v/>
      </c>
      <c r="L28" s="4"/>
      <c r="M28" s="4"/>
    </row>
    <row r="29" spans="1:13" ht="15" customHeight="1" x14ac:dyDescent="0.25">
      <c r="A29" s="11">
        <f t="shared" si="0"/>
        <v>26</v>
      </c>
      <c r="B29" s="10"/>
      <c r="C29" s="10"/>
      <c r="D29" s="10"/>
      <c r="E29" s="10"/>
      <c r="F29" s="10"/>
      <c r="G29" s="11" t="str">
        <f>IF(B29="","",COUNTIFS(Buts!$A$4:$A$151,A29,Buts!$E$4:$E$151,"Nous"))</f>
        <v/>
      </c>
      <c r="H29" s="11" t="str">
        <f>IF(B29="","",COUNTIFS(Buts!$A$4:$A$151,A29,Buts!$E$4:$E$151,"Adverse"))</f>
        <v/>
      </c>
      <c r="I29" s="11" t="str">
        <f>IF(B29="","",COUNTIFS('Convocations &amp; Temps de jeu'!$A$4:$A$675,A29,'Convocations &amp; Temps de jeu'!$C$4:$C$675,"Oui"))</f>
        <v/>
      </c>
      <c r="J29" s="11" t="str">
        <f>IF(B29="","",COUNTIFS('Convocations &amp; Temps de jeu'!$A$4:$A$675,A29,'Convocations &amp; Temps de jeu'!$C$4:$C$675,"Oui",'Convocations &amp; Temps de jeu'!$G$4:$G$675,"Équipe 1"))</f>
        <v/>
      </c>
      <c r="K29" s="11" t="str">
        <f t="shared" si="1"/>
        <v/>
      </c>
      <c r="L29" s="4"/>
      <c r="M29" s="4"/>
    </row>
    <row r="30" spans="1:13" ht="15" customHeight="1" x14ac:dyDescent="0.25">
      <c r="A30" s="11">
        <f t="shared" si="0"/>
        <v>27</v>
      </c>
      <c r="B30" s="10"/>
      <c r="C30" s="10"/>
      <c r="D30" s="10"/>
      <c r="E30" s="10"/>
      <c r="F30" s="10"/>
      <c r="G30" s="11" t="str">
        <f>IF(B30="","",COUNTIFS(Buts!$A$4:$A$151,A30,Buts!$E$4:$E$151,"Nous"))</f>
        <v/>
      </c>
      <c r="H30" s="11" t="str">
        <f>IF(B30="","",COUNTIFS(Buts!$A$4:$A$151,A30,Buts!$E$4:$E$151,"Adverse"))</f>
        <v/>
      </c>
      <c r="I30" s="11" t="str">
        <f>IF(B30="","",COUNTIFS('Convocations &amp; Temps de jeu'!$A$4:$A$675,A30,'Convocations &amp; Temps de jeu'!$C$4:$C$675,"Oui"))</f>
        <v/>
      </c>
      <c r="J30" s="11" t="str">
        <f>IF(B30="","",COUNTIFS('Convocations &amp; Temps de jeu'!$A$4:$A$675,A30,'Convocations &amp; Temps de jeu'!$C$4:$C$675,"Oui",'Convocations &amp; Temps de jeu'!$G$4:$G$675,"Équipe 1"))</f>
        <v/>
      </c>
      <c r="K30" s="11" t="str">
        <f t="shared" si="1"/>
        <v/>
      </c>
      <c r="L30" s="4"/>
      <c r="M30" s="4"/>
    </row>
    <row r="31" spans="1:13" ht="15" customHeight="1" x14ac:dyDescent="0.25">
      <c r="A31" s="11">
        <f t="shared" si="0"/>
        <v>28</v>
      </c>
      <c r="B31" s="10"/>
      <c r="C31" s="10"/>
      <c r="D31" s="10"/>
      <c r="E31" s="10"/>
      <c r="F31" s="10"/>
      <c r="G31" s="11" t="str">
        <f>IF(B31="","",COUNTIFS(Buts!$A$4:$A$151,A31,Buts!$E$4:$E$151,"Nous"))</f>
        <v/>
      </c>
      <c r="H31" s="11" t="str">
        <f>IF(B31="","",COUNTIFS(Buts!$A$4:$A$151,A31,Buts!$E$4:$E$151,"Adverse"))</f>
        <v/>
      </c>
      <c r="I31" s="11" t="str">
        <f>IF(B31="","",COUNTIFS('Convocations &amp; Temps de jeu'!$A$4:$A$675,A31,'Convocations &amp; Temps de jeu'!$C$4:$C$675,"Oui"))</f>
        <v/>
      </c>
      <c r="J31" s="11" t="str">
        <f>IF(B31="","",COUNTIFS('Convocations &amp; Temps de jeu'!$A$4:$A$675,A31,'Convocations &amp; Temps de jeu'!$C$4:$C$675,"Oui",'Convocations &amp; Temps de jeu'!$G$4:$G$675,"Équipe 1"))</f>
        <v/>
      </c>
      <c r="K31" s="11" t="str">
        <f t="shared" si="1"/>
        <v/>
      </c>
      <c r="L31" s="4"/>
      <c r="M31" s="4"/>
    </row>
  </sheetData>
  <mergeCells count="1">
    <mergeCell ref="A1:K1"/>
  </mergeCells>
  <conditionalFormatting sqref="I4:I31">
    <cfRule type="cellIs" dxfId="3" priority="2" operator="greaterThan">
      <formula>14</formula>
    </cfRule>
  </conditionalFormatting>
  <conditionalFormatting sqref="K4:K31">
    <cfRule type="cellIs" dxfId="2" priority="3" operator="notEqual">
      <formula>""</formula>
    </cfRule>
  </conditionalFormatting>
  <dataValidations count="2">
    <dataValidation type="list" allowBlank="1" sqref="E4:E31" xr:uid="{00000000-0002-0000-0200-000000000000}">
      <formula1>"Domicile,Extérieur"</formula1>
      <formula2>0</formula2>
    </dataValidation>
    <dataValidation type="list" allowBlank="1" sqref="L4:L31" xr:uid="{00000000-0002-0000-0200-000001000000}">
      <formula1>"Plus fort,Similaire,Plus faible,Inconnu"</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1"/>
  <sheetViews>
    <sheetView showGridLines="0" zoomScaleNormal="100" workbookViewId="0">
      <pane ySplit="3" topLeftCell="A4" activePane="bottomLeft" state="frozen"/>
      <selection pane="bottomLeft" activeCell="I9" sqref="I9"/>
    </sheetView>
  </sheetViews>
  <sheetFormatPr baseColWidth="10" defaultColWidth="8.7109375" defaultRowHeight="15" x14ac:dyDescent="0.25"/>
  <cols>
    <col min="1" max="2" width="10" customWidth="1"/>
    <col min="3" max="4" width="20" customWidth="1"/>
    <col min="5" max="5" width="16" customWidth="1"/>
    <col min="6" max="6" width="18" customWidth="1"/>
  </cols>
  <sheetData>
    <row r="1" spans="1:6" ht="21.75" customHeight="1" x14ac:dyDescent="0.25">
      <c r="A1" s="21" t="s">
        <v>140</v>
      </c>
      <c r="B1" s="21"/>
      <c r="C1" s="21"/>
      <c r="D1" s="21"/>
      <c r="E1" s="21"/>
      <c r="F1" s="21"/>
    </row>
    <row r="2" spans="1:6" ht="15" customHeight="1" x14ac:dyDescent="0.25">
      <c r="A2" s="24" t="s">
        <v>141</v>
      </c>
      <c r="B2" s="24"/>
      <c r="C2" s="24"/>
      <c r="D2" s="24"/>
      <c r="E2" s="24"/>
      <c r="F2" s="24"/>
    </row>
    <row r="3" spans="1:6" ht="15" customHeight="1" x14ac:dyDescent="0.25">
      <c r="A3" s="9" t="s">
        <v>117</v>
      </c>
      <c r="B3" s="9" t="s">
        <v>142</v>
      </c>
      <c r="C3" s="9" t="s">
        <v>143</v>
      </c>
      <c r="D3" s="9" t="s">
        <v>144</v>
      </c>
      <c r="E3" s="9" t="s">
        <v>145</v>
      </c>
      <c r="F3" s="9" t="s">
        <v>146</v>
      </c>
    </row>
    <row r="4" spans="1:6" ht="15" customHeight="1" x14ac:dyDescent="0.25">
      <c r="A4" s="14"/>
      <c r="B4" s="14"/>
      <c r="C4" s="14"/>
      <c r="D4" s="14"/>
      <c r="E4" s="14"/>
      <c r="F4" s="14"/>
    </row>
    <row r="5" spans="1:6" ht="15" customHeight="1" x14ac:dyDescent="0.25">
      <c r="A5" s="10"/>
      <c r="B5" s="10"/>
      <c r="C5" s="10"/>
      <c r="D5" s="10"/>
      <c r="E5" s="10"/>
      <c r="F5" s="10"/>
    </row>
    <row r="6" spans="1:6" ht="15" customHeight="1" x14ac:dyDescent="0.25">
      <c r="A6" s="10"/>
      <c r="B6" s="10"/>
      <c r="C6" s="10"/>
      <c r="D6" s="10"/>
      <c r="E6" s="10"/>
      <c r="F6" s="10"/>
    </row>
    <row r="7" spans="1:6" ht="15" customHeight="1" x14ac:dyDescent="0.25">
      <c r="A7" s="10"/>
      <c r="B7" s="10"/>
      <c r="C7" s="10"/>
      <c r="D7" s="10"/>
      <c r="E7" s="10"/>
      <c r="F7" s="10"/>
    </row>
    <row r="8" spans="1:6" ht="15" customHeight="1" x14ac:dyDescent="0.25">
      <c r="A8" s="10"/>
      <c r="B8" s="10"/>
      <c r="C8" s="10"/>
      <c r="D8" s="10"/>
      <c r="E8" s="10"/>
      <c r="F8" s="10"/>
    </row>
    <row r="9" spans="1:6" ht="15" customHeight="1" x14ac:dyDescent="0.25">
      <c r="A9" s="10"/>
      <c r="B9" s="10"/>
      <c r="C9" s="10"/>
      <c r="D9" s="10"/>
      <c r="E9" s="10"/>
      <c r="F9" s="10"/>
    </row>
    <row r="10" spans="1:6" ht="15" customHeight="1" x14ac:dyDescent="0.25">
      <c r="A10" s="10"/>
      <c r="B10" s="10"/>
      <c r="C10" s="10"/>
      <c r="D10" s="10"/>
      <c r="E10" s="10"/>
      <c r="F10" s="10"/>
    </row>
    <row r="11" spans="1:6" ht="15" customHeight="1" x14ac:dyDescent="0.25">
      <c r="A11" s="10"/>
      <c r="B11" s="10"/>
      <c r="C11" s="10"/>
      <c r="D11" s="10"/>
      <c r="E11" s="10"/>
      <c r="F11" s="10"/>
    </row>
    <row r="12" spans="1:6" ht="15" customHeight="1" x14ac:dyDescent="0.25">
      <c r="A12" s="10"/>
      <c r="B12" s="10"/>
      <c r="C12" s="10"/>
      <c r="D12" s="10"/>
      <c r="E12" s="10"/>
      <c r="F12" s="10"/>
    </row>
    <row r="13" spans="1:6" ht="15" customHeight="1" x14ac:dyDescent="0.25">
      <c r="A13" s="10"/>
      <c r="B13" s="10"/>
      <c r="C13" s="10"/>
      <c r="D13" s="10"/>
      <c r="E13" s="10"/>
      <c r="F13" s="10"/>
    </row>
    <row r="14" spans="1:6" ht="15" customHeight="1" x14ac:dyDescent="0.25">
      <c r="A14" s="10"/>
      <c r="B14" s="10"/>
      <c r="C14" s="10"/>
      <c r="D14" s="10"/>
      <c r="E14" s="10"/>
      <c r="F14" s="10"/>
    </row>
    <row r="15" spans="1:6" ht="15" customHeight="1" x14ac:dyDescent="0.25">
      <c r="A15" s="10"/>
      <c r="B15" s="10"/>
      <c r="C15" s="10"/>
      <c r="D15" s="10"/>
      <c r="E15" s="10"/>
      <c r="F15" s="10"/>
    </row>
    <row r="16" spans="1:6" ht="15" customHeight="1" x14ac:dyDescent="0.25">
      <c r="A16" s="10"/>
      <c r="B16" s="10"/>
      <c r="C16" s="10"/>
      <c r="D16" s="10"/>
      <c r="E16" s="10"/>
      <c r="F16" s="10"/>
    </row>
    <row r="17" spans="1:6" ht="15" customHeight="1" x14ac:dyDescent="0.25">
      <c r="A17" s="10"/>
      <c r="B17" s="10"/>
      <c r="C17" s="10"/>
      <c r="D17" s="10"/>
      <c r="E17" s="10"/>
      <c r="F17" s="10"/>
    </row>
    <row r="18" spans="1:6" ht="15" customHeight="1" x14ac:dyDescent="0.25">
      <c r="A18" s="10"/>
      <c r="B18" s="10"/>
      <c r="C18" s="10"/>
      <c r="D18" s="10"/>
      <c r="E18" s="10"/>
      <c r="F18" s="10"/>
    </row>
    <row r="19" spans="1:6" ht="15" customHeight="1" x14ac:dyDescent="0.25">
      <c r="A19" s="10"/>
      <c r="B19" s="10"/>
      <c r="C19" s="10"/>
      <c r="D19" s="10"/>
      <c r="E19" s="10"/>
      <c r="F19" s="10"/>
    </row>
    <row r="20" spans="1:6" ht="15" customHeight="1" x14ac:dyDescent="0.25">
      <c r="A20" s="10"/>
      <c r="B20" s="10"/>
      <c r="C20" s="10"/>
      <c r="D20" s="10"/>
      <c r="E20" s="10"/>
      <c r="F20" s="10"/>
    </row>
    <row r="21" spans="1:6" ht="15" customHeight="1" x14ac:dyDescent="0.25">
      <c r="A21" s="10"/>
      <c r="B21" s="10"/>
      <c r="C21" s="10"/>
      <c r="D21" s="10"/>
      <c r="E21" s="10"/>
      <c r="F21" s="10"/>
    </row>
    <row r="22" spans="1:6" ht="15" customHeight="1" x14ac:dyDescent="0.25">
      <c r="A22" s="10"/>
      <c r="B22" s="10"/>
      <c r="C22" s="10"/>
      <c r="D22" s="10"/>
      <c r="E22" s="10"/>
      <c r="F22" s="10"/>
    </row>
    <row r="23" spans="1:6" ht="15" customHeight="1" x14ac:dyDescent="0.25">
      <c r="A23" s="10"/>
      <c r="B23" s="10"/>
      <c r="C23" s="10"/>
      <c r="D23" s="10"/>
      <c r="E23" s="10"/>
      <c r="F23" s="10"/>
    </row>
    <row r="24" spans="1:6" ht="15" customHeight="1" x14ac:dyDescent="0.25">
      <c r="A24" s="10"/>
      <c r="B24" s="10"/>
      <c r="C24" s="10"/>
      <c r="D24" s="10"/>
      <c r="E24" s="10"/>
      <c r="F24" s="10"/>
    </row>
    <row r="25" spans="1:6" ht="15" customHeight="1" x14ac:dyDescent="0.25">
      <c r="A25" s="10"/>
      <c r="B25" s="10"/>
      <c r="C25" s="10"/>
      <c r="D25" s="10"/>
      <c r="E25" s="10"/>
      <c r="F25" s="10"/>
    </row>
    <row r="26" spans="1:6" ht="15" customHeight="1" x14ac:dyDescent="0.25">
      <c r="A26" s="10"/>
      <c r="B26" s="10"/>
      <c r="C26" s="10"/>
      <c r="D26" s="10"/>
      <c r="E26" s="10"/>
      <c r="F26" s="10"/>
    </row>
    <row r="27" spans="1:6" ht="15" customHeight="1" x14ac:dyDescent="0.25">
      <c r="A27" s="10"/>
      <c r="B27" s="10"/>
      <c r="C27" s="10"/>
      <c r="D27" s="10"/>
      <c r="E27" s="10"/>
      <c r="F27" s="10"/>
    </row>
    <row r="28" spans="1:6" ht="15" customHeight="1" x14ac:dyDescent="0.25">
      <c r="A28" s="10"/>
      <c r="B28" s="10"/>
      <c r="C28" s="10"/>
      <c r="D28" s="10"/>
      <c r="E28" s="10"/>
      <c r="F28" s="10"/>
    </row>
    <row r="29" spans="1:6" ht="15" customHeight="1" x14ac:dyDescent="0.25">
      <c r="A29" s="10"/>
      <c r="B29" s="10"/>
      <c r="C29" s="10"/>
      <c r="D29" s="10"/>
      <c r="E29" s="10"/>
      <c r="F29" s="10"/>
    </row>
    <row r="30" spans="1:6" ht="15" customHeight="1" x14ac:dyDescent="0.25">
      <c r="A30" s="10"/>
      <c r="B30" s="10"/>
      <c r="C30" s="10"/>
      <c r="D30" s="10"/>
      <c r="E30" s="10"/>
      <c r="F30" s="10"/>
    </row>
    <row r="31" spans="1:6" ht="15" customHeight="1" x14ac:dyDescent="0.25">
      <c r="A31" s="10"/>
      <c r="B31" s="10"/>
      <c r="C31" s="10"/>
      <c r="D31" s="10"/>
      <c r="E31" s="10"/>
      <c r="F31" s="10"/>
    </row>
    <row r="32" spans="1:6" ht="15" customHeight="1" x14ac:dyDescent="0.25">
      <c r="A32" s="10"/>
      <c r="B32" s="10"/>
      <c r="C32" s="10"/>
      <c r="D32" s="10"/>
      <c r="E32" s="10"/>
      <c r="F32" s="10"/>
    </row>
    <row r="33" spans="1:6" ht="15" customHeight="1" x14ac:dyDescent="0.25">
      <c r="A33" s="10"/>
      <c r="B33" s="10"/>
      <c r="C33" s="10"/>
      <c r="D33" s="10"/>
      <c r="E33" s="10"/>
      <c r="F33" s="10"/>
    </row>
    <row r="34" spans="1:6" ht="15" customHeight="1" x14ac:dyDescent="0.25">
      <c r="A34" s="10"/>
      <c r="B34" s="10"/>
      <c r="C34" s="10"/>
      <c r="D34" s="10"/>
      <c r="E34" s="10"/>
      <c r="F34" s="10"/>
    </row>
    <row r="35" spans="1:6" ht="15" customHeight="1" x14ac:dyDescent="0.25">
      <c r="A35" s="10"/>
      <c r="B35" s="10"/>
      <c r="C35" s="10"/>
      <c r="D35" s="10"/>
      <c r="E35" s="10"/>
      <c r="F35" s="10"/>
    </row>
    <row r="36" spans="1:6" ht="15" customHeight="1" x14ac:dyDescent="0.25">
      <c r="A36" s="10"/>
      <c r="B36" s="10"/>
      <c r="C36" s="10"/>
      <c r="D36" s="10"/>
      <c r="E36" s="10"/>
      <c r="F36" s="10"/>
    </row>
    <row r="37" spans="1:6" ht="15" customHeight="1" x14ac:dyDescent="0.25">
      <c r="A37" s="10"/>
      <c r="B37" s="10"/>
      <c r="C37" s="10"/>
      <c r="D37" s="10"/>
      <c r="E37" s="10"/>
      <c r="F37" s="10"/>
    </row>
    <row r="38" spans="1:6" ht="15" customHeight="1" x14ac:dyDescent="0.25">
      <c r="A38" s="10"/>
      <c r="B38" s="10"/>
      <c r="C38" s="10"/>
      <c r="D38" s="10"/>
      <c r="E38" s="10"/>
      <c r="F38" s="10"/>
    </row>
    <row r="39" spans="1:6" ht="15" customHeight="1" x14ac:dyDescent="0.25">
      <c r="A39" s="10"/>
      <c r="B39" s="10"/>
      <c r="C39" s="10"/>
      <c r="D39" s="10"/>
      <c r="E39" s="10"/>
      <c r="F39" s="10"/>
    </row>
    <row r="40" spans="1:6" ht="15" customHeight="1" x14ac:dyDescent="0.25">
      <c r="A40" s="10"/>
      <c r="B40" s="10"/>
      <c r="C40" s="10"/>
      <c r="D40" s="10"/>
      <c r="E40" s="10"/>
      <c r="F40" s="10"/>
    </row>
    <row r="41" spans="1:6" ht="15" customHeight="1" x14ac:dyDescent="0.25">
      <c r="A41" s="10"/>
      <c r="B41" s="10"/>
      <c r="C41" s="10"/>
      <c r="D41" s="10"/>
      <c r="E41" s="10"/>
      <c r="F41" s="10"/>
    </row>
    <row r="42" spans="1:6" ht="15" customHeight="1" x14ac:dyDescent="0.25">
      <c r="A42" s="10"/>
      <c r="B42" s="10"/>
      <c r="C42" s="10"/>
      <c r="D42" s="10"/>
      <c r="E42" s="10"/>
      <c r="F42" s="10"/>
    </row>
    <row r="43" spans="1:6" ht="15" customHeight="1" x14ac:dyDescent="0.25">
      <c r="A43" s="10"/>
      <c r="B43" s="10"/>
      <c r="C43" s="10"/>
      <c r="D43" s="10"/>
      <c r="E43" s="10"/>
      <c r="F43" s="10"/>
    </row>
    <row r="44" spans="1:6" ht="15" customHeight="1" x14ac:dyDescent="0.25">
      <c r="A44" s="10"/>
      <c r="B44" s="10"/>
      <c r="C44" s="10"/>
      <c r="D44" s="10"/>
      <c r="E44" s="10"/>
      <c r="F44" s="10"/>
    </row>
    <row r="45" spans="1:6" ht="15" customHeight="1" x14ac:dyDescent="0.25">
      <c r="A45" s="10"/>
      <c r="B45" s="10"/>
      <c r="C45" s="10"/>
      <c r="D45" s="10"/>
      <c r="E45" s="10"/>
      <c r="F45" s="10"/>
    </row>
    <row r="46" spans="1:6" ht="15" customHeight="1" x14ac:dyDescent="0.25">
      <c r="A46" s="10"/>
      <c r="B46" s="10"/>
      <c r="C46" s="10"/>
      <c r="D46" s="10"/>
      <c r="E46" s="10"/>
      <c r="F46" s="10"/>
    </row>
    <row r="47" spans="1:6" ht="15" customHeight="1" x14ac:dyDescent="0.25">
      <c r="A47" s="10"/>
      <c r="B47" s="10"/>
      <c r="C47" s="10"/>
      <c r="D47" s="10"/>
      <c r="E47" s="10"/>
      <c r="F47" s="10"/>
    </row>
    <row r="48" spans="1:6" ht="15" customHeight="1" x14ac:dyDescent="0.25">
      <c r="A48" s="10"/>
      <c r="B48" s="10"/>
      <c r="C48" s="10"/>
      <c r="D48" s="10"/>
      <c r="E48" s="10"/>
      <c r="F48" s="10"/>
    </row>
    <row r="49" spans="1:6" ht="15" customHeight="1" x14ac:dyDescent="0.25">
      <c r="A49" s="10"/>
      <c r="B49" s="10"/>
      <c r="C49" s="10"/>
      <c r="D49" s="10"/>
      <c r="E49" s="10"/>
      <c r="F49" s="10"/>
    </row>
    <row r="50" spans="1:6" ht="15" customHeight="1" x14ac:dyDescent="0.25">
      <c r="A50" s="10"/>
      <c r="B50" s="10"/>
      <c r="C50" s="10"/>
      <c r="D50" s="10"/>
      <c r="E50" s="10"/>
      <c r="F50" s="10"/>
    </row>
    <row r="51" spans="1:6" ht="15" customHeight="1" x14ac:dyDescent="0.25">
      <c r="A51" s="10"/>
      <c r="B51" s="10"/>
      <c r="C51" s="10"/>
      <c r="D51" s="10"/>
      <c r="E51" s="10"/>
      <c r="F51" s="10"/>
    </row>
    <row r="52" spans="1:6" ht="15" customHeight="1" x14ac:dyDescent="0.25">
      <c r="A52" s="10"/>
      <c r="B52" s="10"/>
      <c r="C52" s="10"/>
      <c r="D52" s="10"/>
      <c r="E52" s="10"/>
      <c r="F52" s="10"/>
    </row>
    <row r="53" spans="1:6" ht="15" customHeight="1" x14ac:dyDescent="0.25">
      <c r="A53" s="10"/>
      <c r="B53" s="10"/>
      <c r="C53" s="10"/>
      <c r="D53" s="10"/>
      <c r="E53" s="10"/>
      <c r="F53" s="10"/>
    </row>
    <row r="54" spans="1:6" ht="15" customHeight="1" x14ac:dyDescent="0.25">
      <c r="A54" s="10"/>
      <c r="B54" s="10"/>
      <c r="C54" s="10"/>
      <c r="D54" s="10"/>
      <c r="E54" s="10"/>
      <c r="F54" s="10"/>
    </row>
    <row r="55" spans="1:6" ht="15" customHeight="1" x14ac:dyDescent="0.25">
      <c r="A55" s="10"/>
      <c r="B55" s="10"/>
      <c r="C55" s="10"/>
      <c r="D55" s="10"/>
      <c r="E55" s="10"/>
      <c r="F55" s="10"/>
    </row>
    <row r="56" spans="1:6" ht="15" customHeight="1" x14ac:dyDescent="0.25">
      <c r="A56" s="10"/>
      <c r="B56" s="10"/>
      <c r="C56" s="10"/>
      <c r="D56" s="10"/>
      <c r="E56" s="10"/>
      <c r="F56" s="10"/>
    </row>
    <row r="57" spans="1:6" ht="15" customHeight="1" x14ac:dyDescent="0.25">
      <c r="A57" s="10"/>
      <c r="B57" s="10"/>
      <c r="C57" s="10"/>
      <c r="D57" s="10"/>
      <c r="E57" s="10"/>
      <c r="F57" s="10"/>
    </row>
    <row r="58" spans="1:6" ht="15" customHeight="1" x14ac:dyDescent="0.25">
      <c r="A58" s="10"/>
      <c r="B58" s="10"/>
      <c r="C58" s="10"/>
      <c r="D58" s="10"/>
      <c r="E58" s="10"/>
      <c r="F58" s="10"/>
    </row>
    <row r="59" spans="1:6" ht="15" customHeight="1" x14ac:dyDescent="0.25">
      <c r="A59" s="10"/>
      <c r="B59" s="10"/>
      <c r="C59" s="10"/>
      <c r="D59" s="10"/>
      <c r="E59" s="10"/>
      <c r="F59" s="10"/>
    </row>
    <row r="60" spans="1:6" ht="15" customHeight="1" x14ac:dyDescent="0.25">
      <c r="A60" s="10"/>
      <c r="B60" s="10"/>
      <c r="C60" s="10"/>
      <c r="D60" s="10"/>
      <c r="E60" s="10"/>
      <c r="F60" s="10"/>
    </row>
    <row r="61" spans="1:6" ht="15" customHeight="1" x14ac:dyDescent="0.25">
      <c r="A61" s="10"/>
      <c r="B61" s="10"/>
      <c r="C61" s="10"/>
      <c r="D61" s="10"/>
      <c r="E61" s="10"/>
      <c r="F61" s="10"/>
    </row>
    <row r="62" spans="1:6" ht="15" customHeight="1" x14ac:dyDescent="0.25">
      <c r="A62" s="10"/>
      <c r="B62" s="10"/>
      <c r="C62" s="10"/>
      <c r="D62" s="10"/>
      <c r="E62" s="10"/>
      <c r="F62" s="10"/>
    </row>
    <row r="63" spans="1:6" ht="15" customHeight="1" x14ac:dyDescent="0.25">
      <c r="A63" s="10"/>
      <c r="B63" s="10"/>
      <c r="C63" s="10"/>
      <c r="D63" s="10"/>
      <c r="E63" s="10"/>
      <c r="F63" s="10"/>
    </row>
    <row r="64" spans="1:6" ht="15" customHeight="1" x14ac:dyDescent="0.25">
      <c r="A64" s="10"/>
      <c r="B64" s="10"/>
      <c r="C64" s="10"/>
      <c r="D64" s="10"/>
      <c r="E64" s="10"/>
      <c r="F64" s="10"/>
    </row>
    <row r="65" spans="1:6" ht="15" customHeight="1" x14ac:dyDescent="0.25">
      <c r="A65" s="10"/>
      <c r="B65" s="10"/>
      <c r="C65" s="10"/>
      <c r="D65" s="10"/>
      <c r="E65" s="10"/>
      <c r="F65" s="10"/>
    </row>
    <row r="66" spans="1:6" ht="15" customHeight="1" x14ac:dyDescent="0.25">
      <c r="A66" s="10"/>
      <c r="B66" s="10"/>
      <c r="C66" s="10"/>
      <c r="D66" s="10"/>
      <c r="E66" s="10"/>
      <c r="F66" s="10"/>
    </row>
    <row r="67" spans="1:6" ht="15" customHeight="1" x14ac:dyDescent="0.25">
      <c r="A67" s="10"/>
      <c r="B67" s="10"/>
      <c r="C67" s="10"/>
      <c r="D67" s="10"/>
      <c r="E67" s="10"/>
      <c r="F67" s="10"/>
    </row>
    <row r="68" spans="1:6" ht="15" customHeight="1" x14ac:dyDescent="0.25">
      <c r="A68" s="10"/>
      <c r="B68" s="10"/>
      <c r="C68" s="10"/>
      <c r="D68" s="10"/>
      <c r="E68" s="10"/>
      <c r="F68" s="10"/>
    </row>
    <row r="69" spans="1:6" ht="15" customHeight="1" x14ac:dyDescent="0.25">
      <c r="A69" s="10"/>
      <c r="B69" s="10"/>
      <c r="C69" s="10"/>
      <c r="D69" s="10"/>
      <c r="E69" s="10"/>
      <c r="F69" s="10"/>
    </row>
    <row r="70" spans="1:6" ht="15" customHeight="1" x14ac:dyDescent="0.25">
      <c r="A70" s="10"/>
      <c r="B70" s="10"/>
      <c r="C70" s="10"/>
      <c r="D70" s="10"/>
      <c r="E70" s="10"/>
      <c r="F70" s="10"/>
    </row>
    <row r="71" spans="1:6" ht="15" customHeight="1" x14ac:dyDescent="0.25">
      <c r="A71" s="10"/>
      <c r="B71" s="10"/>
      <c r="C71" s="10"/>
      <c r="D71" s="10"/>
      <c r="E71" s="10"/>
      <c r="F71" s="10"/>
    </row>
    <row r="72" spans="1:6" ht="15" customHeight="1" x14ac:dyDescent="0.25">
      <c r="A72" s="10"/>
      <c r="B72" s="10"/>
      <c r="C72" s="10"/>
      <c r="D72" s="10"/>
      <c r="E72" s="10"/>
      <c r="F72" s="10"/>
    </row>
    <row r="73" spans="1:6" ht="15" customHeight="1" x14ac:dyDescent="0.25">
      <c r="A73" s="10"/>
      <c r="B73" s="10"/>
      <c r="C73" s="10"/>
      <c r="D73" s="10"/>
      <c r="E73" s="10"/>
      <c r="F73" s="10"/>
    </row>
    <row r="74" spans="1:6" ht="15" customHeight="1" x14ac:dyDescent="0.25">
      <c r="A74" s="10"/>
      <c r="B74" s="10"/>
      <c r="C74" s="10"/>
      <c r="D74" s="10"/>
      <c r="E74" s="10"/>
      <c r="F74" s="10"/>
    </row>
    <row r="75" spans="1:6" ht="15" customHeight="1" x14ac:dyDescent="0.25">
      <c r="A75" s="10"/>
      <c r="B75" s="10"/>
      <c r="C75" s="10"/>
      <c r="D75" s="10"/>
      <c r="E75" s="10"/>
      <c r="F75" s="10"/>
    </row>
    <row r="76" spans="1:6" ht="15" customHeight="1" x14ac:dyDescent="0.25">
      <c r="A76" s="10"/>
      <c r="B76" s="10"/>
      <c r="C76" s="10"/>
      <c r="D76" s="10"/>
      <c r="E76" s="10"/>
      <c r="F76" s="10"/>
    </row>
    <row r="77" spans="1:6" ht="15" customHeight="1" x14ac:dyDescent="0.25">
      <c r="A77" s="10"/>
      <c r="B77" s="10"/>
      <c r="C77" s="10"/>
      <c r="D77" s="10"/>
      <c r="E77" s="10"/>
      <c r="F77" s="10"/>
    </row>
    <row r="78" spans="1:6" ht="15" customHeight="1" x14ac:dyDescent="0.25">
      <c r="A78" s="10"/>
      <c r="B78" s="10"/>
      <c r="C78" s="10"/>
      <c r="D78" s="10"/>
      <c r="E78" s="10"/>
      <c r="F78" s="10"/>
    </row>
    <row r="79" spans="1:6" ht="15" customHeight="1" x14ac:dyDescent="0.25">
      <c r="A79" s="10"/>
      <c r="B79" s="10"/>
      <c r="C79" s="10"/>
      <c r="D79" s="10"/>
      <c r="E79" s="10"/>
      <c r="F79" s="10"/>
    </row>
    <row r="80" spans="1:6" ht="15" customHeight="1" x14ac:dyDescent="0.25">
      <c r="A80" s="10"/>
      <c r="B80" s="10"/>
      <c r="C80" s="10"/>
      <c r="D80" s="10"/>
      <c r="E80" s="10"/>
      <c r="F80" s="10"/>
    </row>
    <row r="81" spans="1:6" ht="15" customHeight="1" x14ac:dyDescent="0.25">
      <c r="A81" s="10"/>
      <c r="B81" s="10"/>
      <c r="C81" s="10"/>
      <c r="D81" s="10"/>
      <c r="E81" s="10"/>
      <c r="F81" s="10"/>
    </row>
    <row r="82" spans="1:6" ht="15" customHeight="1" x14ac:dyDescent="0.25">
      <c r="A82" s="10"/>
      <c r="B82" s="10"/>
      <c r="C82" s="10"/>
      <c r="D82" s="10"/>
      <c r="E82" s="10"/>
      <c r="F82" s="10"/>
    </row>
    <row r="83" spans="1:6" ht="15" customHeight="1" x14ac:dyDescent="0.25">
      <c r="A83" s="10"/>
      <c r="B83" s="10"/>
      <c r="C83" s="10"/>
      <c r="D83" s="10"/>
      <c r="E83" s="10"/>
      <c r="F83" s="10"/>
    </row>
    <row r="84" spans="1:6" ht="15" customHeight="1" x14ac:dyDescent="0.25">
      <c r="A84" s="10"/>
      <c r="B84" s="10"/>
      <c r="C84" s="10"/>
      <c r="D84" s="10"/>
      <c r="E84" s="10"/>
      <c r="F84" s="10"/>
    </row>
    <row r="85" spans="1:6" ht="15" customHeight="1" x14ac:dyDescent="0.25">
      <c r="A85" s="10"/>
      <c r="B85" s="10"/>
      <c r="C85" s="10"/>
      <c r="D85" s="10"/>
      <c r="E85" s="10"/>
      <c r="F85" s="10"/>
    </row>
    <row r="86" spans="1:6" ht="15" customHeight="1" x14ac:dyDescent="0.25">
      <c r="A86" s="10"/>
      <c r="B86" s="10"/>
      <c r="C86" s="10"/>
      <c r="D86" s="10"/>
      <c r="E86" s="10"/>
      <c r="F86" s="10"/>
    </row>
    <row r="87" spans="1:6" ht="15" customHeight="1" x14ac:dyDescent="0.25">
      <c r="A87" s="10"/>
      <c r="B87" s="10"/>
      <c r="C87" s="10"/>
      <c r="D87" s="10"/>
      <c r="E87" s="10"/>
      <c r="F87" s="10"/>
    </row>
    <row r="88" spans="1:6" ht="15" customHeight="1" x14ac:dyDescent="0.25">
      <c r="A88" s="10"/>
      <c r="B88" s="10"/>
      <c r="C88" s="10"/>
      <c r="D88" s="10"/>
      <c r="E88" s="10"/>
      <c r="F88" s="10"/>
    </row>
    <row r="89" spans="1:6" ht="15" customHeight="1" x14ac:dyDescent="0.25">
      <c r="A89" s="10"/>
      <c r="B89" s="10"/>
      <c r="C89" s="10"/>
      <c r="D89" s="10"/>
      <c r="E89" s="10"/>
      <c r="F89" s="10"/>
    </row>
    <row r="90" spans="1:6" ht="15" customHeight="1" x14ac:dyDescent="0.25">
      <c r="A90" s="10"/>
      <c r="B90" s="10"/>
      <c r="C90" s="10"/>
      <c r="D90" s="10"/>
      <c r="E90" s="10"/>
      <c r="F90" s="10"/>
    </row>
    <row r="91" spans="1:6" ht="15" customHeight="1" x14ac:dyDescent="0.25">
      <c r="A91" s="10"/>
      <c r="B91" s="10"/>
      <c r="C91" s="10"/>
      <c r="D91" s="10"/>
      <c r="E91" s="10"/>
      <c r="F91" s="10"/>
    </row>
    <row r="92" spans="1:6" ht="15" customHeight="1" x14ac:dyDescent="0.25">
      <c r="A92" s="10"/>
      <c r="B92" s="10"/>
      <c r="C92" s="10"/>
      <c r="D92" s="10"/>
      <c r="E92" s="10"/>
      <c r="F92" s="10"/>
    </row>
    <row r="93" spans="1:6" ht="15" customHeight="1" x14ac:dyDescent="0.25">
      <c r="A93" s="10"/>
      <c r="B93" s="10"/>
      <c r="C93" s="10"/>
      <c r="D93" s="10"/>
      <c r="E93" s="10"/>
      <c r="F93" s="10"/>
    </row>
    <row r="94" spans="1:6" ht="15" customHeight="1" x14ac:dyDescent="0.25">
      <c r="A94" s="10"/>
      <c r="B94" s="10"/>
      <c r="C94" s="10"/>
      <c r="D94" s="10"/>
      <c r="E94" s="10"/>
      <c r="F94" s="10"/>
    </row>
    <row r="95" spans="1:6" ht="15" customHeight="1" x14ac:dyDescent="0.25">
      <c r="A95" s="10"/>
      <c r="B95" s="10"/>
      <c r="C95" s="10"/>
      <c r="D95" s="10"/>
      <c r="E95" s="10"/>
      <c r="F95" s="10"/>
    </row>
    <row r="96" spans="1:6" ht="15" customHeight="1" x14ac:dyDescent="0.25">
      <c r="A96" s="10"/>
      <c r="B96" s="10"/>
      <c r="C96" s="10"/>
      <c r="D96" s="10"/>
      <c r="E96" s="10"/>
      <c r="F96" s="10"/>
    </row>
    <row r="97" spans="1:6" ht="15" customHeight="1" x14ac:dyDescent="0.25">
      <c r="A97" s="10"/>
      <c r="B97" s="10"/>
      <c r="C97" s="10"/>
      <c r="D97" s="10"/>
      <c r="E97" s="10"/>
      <c r="F97" s="10"/>
    </row>
    <row r="98" spans="1:6" ht="15" customHeight="1" x14ac:dyDescent="0.25">
      <c r="A98" s="10"/>
      <c r="B98" s="10"/>
      <c r="C98" s="10"/>
      <c r="D98" s="10"/>
      <c r="E98" s="10"/>
      <c r="F98" s="10"/>
    </row>
    <row r="99" spans="1:6" ht="15" customHeight="1" x14ac:dyDescent="0.25">
      <c r="A99" s="10"/>
      <c r="B99" s="10"/>
      <c r="C99" s="10"/>
      <c r="D99" s="10"/>
      <c r="E99" s="10"/>
      <c r="F99" s="10"/>
    </row>
    <row r="100" spans="1:6" ht="15" customHeight="1" x14ac:dyDescent="0.25">
      <c r="A100" s="10"/>
      <c r="B100" s="10"/>
      <c r="C100" s="10"/>
      <c r="D100" s="10"/>
      <c r="E100" s="10"/>
      <c r="F100" s="10"/>
    </row>
    <row r="101" spans="1:6" ht="15" customHeight="1" x14ac:dyDescent="0.25">
      <c r="A101" s="10"/>
      <c r="B101" s="10"/>
      <c r="C101" s="10"/>
      <c r="D101" s="10"/>
      <c r="E101" s="10"/>
      <c r="F101" s="10"/>
    </row>
    <row r="102" spans="1:6" ht="15" customHeight="1" x14ac:dyDescent="0.25">
      <c r="A102" s="10"/>
      <c r="B102" s="10"/>
      <c r="C102" s="10"/>
      <c r="D102" s="10"/>
      <c r="E102" s="10"/>
      <c r="F102" s="10"/>
    </row>
    <row r="103" spans="1:6" ht="15" customHeight="1" x14ac:dyDescent="0.25">
      <c r="A103" s="10"/>
      <c r="B103" s="10"/>
      <c r="C103" s="10"/>
      <c r="D103" s="10"/>
      <c r="E103" s="10"/>
      <c r="F103" s="10"/>
    </row>
    <row r="104" spans="1:6" ht="15" customHeight="1" x14ac:dyDescent="0.25">
      <c r="A104" s="10"/>
      <c r="B104" s="10"/>
      <c r="C104" s="10"/>
      <c r="D104" s="10"/>
      <c r="E104" s="10"/>
      <c r="F104" s="10"/>
    </row>
    <row r="105" spans="1:6" ht="15" customHeight="1" x14ac:dyDescent="0.25">
      <c r="A105" s="10"/>
      <c r="B105" s="10"/>
      <c r="C105" s="10"/>
      <c r="D105" s="10"/>
      <c r="E105" s="10"/>
      <c r="F105" s="10"/>
    </row>
    <row r="106" spans="1:6" ht="15" customHeight="1" x14ac:dyDescent="0.25">
      <c r="A106" s="10"/>
      <c r="B106" s="10"/>
      <c r="C106" s="10"/>
      <c r="D106" s="10"/>
      <c r="E106" s="10"/>
      <c r="F106" s="10"/>
    </row>
    <row r="107" spans="1:6" ht="15" customHeight="1" x14ac:dyDescent="0.25">
      <c r="A107" s="10"/>
      <c r="B107" s="10"/>
      <c r="C107" s="10"/>
      <c r="D107" s="10"/>
      <c r="E107" s="10"/>
      <c r="F107" s="10"/>
    </row>
    <row r="108" spans="1:6" ht="15" customHeight="1" x14ac:dyDescent="0.25">
      <c r="A108" s="10"/>
      <c r="B108" s="10"/>
      <c r="C108" s="10"/>
      <c r="D108" s="10"/>
      <c r="E108" s="10"/>
      <c r="F108" s="10"/>
    </row>
    <row r="109" spans="1:6" ht="15" customHeight="1" x14ac:dyDescent="0.25">
      <c r="A109" s="10"/>
      <c r="B109" s="10"/>
      <c r="C109" s="10"/>
      <c r="D109" s="10"/>
      <c r="E109" s="10"/>
      <c r="F109" s="10"/>
    </row>
    <row r="110" spans="1:6" ht="15" customHeight="1" x14ac:dyDescent="0.25">
      <c r="A110" s="10"/>
      <c r="B110" s="10"/>
      <c r="C110" s="10"/>
      <c r="D110" s="10"/>
      <c r="E110" s="10"/>
      <c r="F110" s="10"/>
    </row>
    <row r="111" spans="1:6" ht="15" customHeight="1" x14ac:dyDescent="0.25">
      <c r="A111" s="10"/>
      <c r="B111" s="10"/>
      <c r="C111" s="10"/>
      <c r="D111" s="10"/>
      <c r="E111" s="10"/>
      <c r="F111" s="10"/>
    </row>
    <row r="112" spans="1:6" ht="15" customHeight="1" x14ac:dyDescent="0.25">
      <c r="A112" s="10"/>
      <c r="B112" s="10"/>
      <c r="C112" s="10"/>
      <c r="D112" s="10"/>
      <c r="E112" s="10"/>
      <c r="F112" s="10"/>
    </row>
    <row r="113" spans="1:6" ht="15" customHeight="1" x14ac:dyDescent="0.25">
      <c r="A113" s="10"/>
      <c r="B113" s="10"/>
      <c r="C113" s="10"/>
      <c r="D113" s="10"/>
      <c r="E113" s="10"/>
      <c r="F113" s="10"/>
    </row>
    <row r="114" spans="1:6" ht="15" customHeight="1" x14ac:dyDescent="0.25">
      <c r="A114" s="10"/>
      <c r="B114" s="10"/>
      <c r="C114" s="10"/>
      <c r="D114" s="10"/>
      <c r="E114" s="10"/>
      <c r="F114" s="10"/>
    </row>
    <row r="115" spans="1:6" ht="15" customHeight="1" x14ac:dyDescent="0.25">
      <c r="A115" s="10"/>
      <c r="B115" s="10"/>
      <c r="C115" s="10"/>
      <c r="D115" s="10"/>
      <c r="E115" s="10"/>
      <c r="F115" s="10"/>
    </row>
    <row r="116" spans="1:6" ht="15" customHeight="1" x14ac:dyDescent="0.25">
      <c r="A116" s="10"/>
      <c r="B116" s="10"/>
      <c r="C116" s="10"/>
      <c r="D116" s="10"/>
      <c r="E116" s="10"/>
      <c r="F116" s="10"/>
    </row>
    <row r="117" spans="1:6" ht="15" customHeight="1" x14ac:dyDescent="0.25">
      <c r="A117" s="10"/>
      <c r="B117" s="10"/>
      <c r="C117" s="10"/>
      <c r="D117" s="10"/>
      <c r="E117" s="10"/>
      <c r="F117" s="10"/>
    </row>
    <row r="118" spans="1:6" ht="15" customHeight="1" x14ac:dyDescent="0.25">
      <c r="A118" s="10"/>
      <c r="B118" s="10"/>
      <c r="C118" s="10"/>
      <c r="D118" s="10"/>
      <c r="E118" s="10"/>
      <c r="F118" s="10"/>
    </row>
    <row r="119" spans="1:6" ht="15" customHeight="1" x14ac:dyDescent="0.25">
      <c r="A119" s="10"/>
      <c r="B119" s="10"/>
      <c r="C119" s="10"/>
      <c r="D119" s="10"/>
      <c r="E119" s="10"/>
      <c r="F119" s="10"/>
    </row>
    <row r="120" spans="1:6" ht="15" customHeight="1" x14ac:dyDescent="0.25">
      <c r="A120" s="10"/>
      <c r="B120" s="10"/>
      <c r="C120" s="10"/>
      <c r="D120" s="10"/>
      <c r="E120" s="10"/>
      <c r="F120" s="10"/>
    </row>
    <row r="121" spans="1:6" ht="15" customHeight="1" x14ac:dyDescent="0.25">
      <c r="A121" s="10"/>
      <c r="B121" s="10"/>
      <c r="C121" s="10"/>
      <c r="D121" s="10"/>
      <c r="E121" s="10"/>
      <c r="F121" s="10"/>
    </row>
    <row r="122" spans="1:6" ht="15" customHeight="1" x14ac:dyDescent="0.25">
      <c r="A122" s="10"/>
      <c r="B122" s="10"/>
      <c r="C122" s="10"/>
      <c r="D122" s="10"/>
      <c r="E122" s="10"/>
      <c r="F122" s="10"/>
    </row>
    <row r="123" spans="1:6" ht="15" customHeight="1" x14ac:dyDescent="0.25">
      <c r="A123" s="10"/>
      <c r="B123" s="10"/>
      <c r="C123" s="10"/>
      <c r="D123" s="10"/>
      <c r="E123" s="10"/>
      <c r="F123" s="10"/>
    </row>
    <row r="124" spans="1:6" ht="15" customHeight="1" x14ac:dyDescent="0.25">
      <c r="A124" s="10"/>
      <c r="B124" s="10"/>
      <c r="C124" s="10"/>
      <c r="D124" s="10"/>
      <c r="E124" s="10"/>
      <c r="F124" s="10"/>
    </row>
    <row r="125" spans="1:6" ht="15" customHeight="1" x14ac:dyDescent="0.25">
      <c r="A125" s="10"/>
      <c r="B125" s="10"/>
      <c r="C125" s="10"/>
      <c r="D125" s="10"/>
      <c r="E125" s="10"/>
      <c r="F125" s="10"/>
    </row>
    <row r="126" spans="1:6" ht="15" customHeight="1" x14ac:dyDescent="0.25">
      <c r="A126" s="10"/>
      <c r="B126" s="10"/>
      <c r="C126" s="10"/>
      <c r="D126" s="10"/>
      <c r="E126" s="10"/>
      <c r="F126" s="10"/>
    </row>
    <row r="127" spans="1:6" ht="15" customHeight="1" x14ac:dyDescent="0.25">
      <c r="A127" s="10"/>
      <c r="B127" s="10"/>
      <c r="C127" s="10"/>
      <c r="D127" s="10"/>
      <c r="E127" s="10"/>
      <c r="F127" s="10"/>
    </row>
    <row r="128" spans="1:6" ht="15" customHeight="1" x14ac:dyDescent="0.25">
      <c r="A128" s="10"/>
      <c r="B128" s="10"/>
      <c r="C128" s="10"/>
      <c r="D128" s="10"/>
      <c r="E128" s="10"/>
      <c r="F128" s="10"/>
    </row>
    <row r="129" spans="1:6" ht="15" customHeight="1" x14ac:dyDescent="0.25">
      <c r="A129" s="10"/>
      <c r="B129" s="10"/>
      <c r="C129" s="10"/>
      <c r="D129" s="10"/>
      <c r="E129" s="10"/>
      <c r="F129" s="10"/>
    </row>
    <row r="130" spans="1:6" ht="15" customHeight="1" x14ac:dyDescent="0.25">
      <c r="A130" s="10"/>
      <c r="B130" s="10"/>
      <c r="C130" s="10"/>
      <c r="D130" s="10"/>
      <c r="E130" s="10"/>
      <c r="F130" s="10"/>
    </row>
    <row r="131" spans="1:6" ht="15" customHeight="1" x14ac:dyDescent="0.25">
      <c r="A131" s="10"/>
      <c r="B131" s="10"/>
      <c r="C131" s="10"/>
      <c r="D131" s="10"/>
      <c r="E131" s="10"/>
      <c r="F131" s="10"/>
    </row>
    <row r="132" spans="1:6" ht="15" customHeight="1" x14ac:dyDescent="0.25">
      <c r="A132" s="10"/>
      <c r="B132" s="10"/>
      <c r="C132" s="10"/>
      <c r="D132" s="10"/>
      <c r="E132" s="10"/>
      <c r="F132" s="10"/>
    </row>
    <row r="133" spans="1:6" ht="15" customHeight="1" x14ac:dyDescent="0.25">
      <c r="A133" s="10"/>
      <c r="B133" s="10"/>
      <c r="C133" s="10"/>
      <c r="D133" s="10"/>
      <c r="E133" s="10"/>
      <c r="F133" s="10"/>
    </row>
    <row r="134" spans="1:6" ht="15" customHeight="1" x14ac:dyDescent="0.25">
      <c r="A134" s="10"/>
      <c r="B134" s="10"/>
      <c r="C134" s="10"/>
      <c r="D134" s="10"/>
      <c r="E134" s="10"/>
      <c r="F134" s="10"/>
    </row>
    <row r="135" spans="1:6" ht="15" customHeight="1" x14ac:dyDescent="0.25">
      <c r="A135" s="10"/>
      <c r="B135" s="10"/>
      <c r="C135" s="10"/>
      <c r="D135" s="10"/>
      <c r="E135" s="10"/>
      <c r="F135" s="10"/>
    </row>
    <row r="136" spans="1:6" ht="15" customHeight="1" x14ac:dyDescent="0.25">
      <c r="A136" s="10"/>
      <c r="B136" s="10"/>
      <c r="C136" s="10"/>
      <c r="D136" s="10"/>
      <c r="E136" s="10"/>
      <c r="F136" s="10"/>
    </row>
    <row r="137" spans="1:6" ht="15" customHeight="1" x14ac:dyDescent="0.25">
      <c r="A137" s="10"/>
      <c r="B137" s="10"/>
      <c r="C137" s="10"/>
      <c r="D137" s="10"/>
      <c r="E137" s="10"/>
      <c r="F137" s="10"/>
    </row>
    <row r="138" spans="1:6" ht="15" customHeight="1" x14ac:dyDescent="0.25">
      <c r="A138" s="10"/>
      <c r="B138" s="10"/>
      <c r="C138" s="10"/>
      <c r="D138" s="10"/>
      <c r="E138" s="10"/>
      <c r="F138" s="10"/>
    </row>
    <row r="139" spans="1:6" ht="15" customHeight="1" x14ac:dyDescent="0.25">
      <c r="A139" s="10"/>
      <c r="B139" s="10"/>
      <c r="C139" s="10"/>
      <c r="D139" s="10"/>
      <c r="E139" s="10"/>
      <c r="F139" s="10"/>
    </row>
    <row r="140" spans="1:6" ht="15" customHeight="1" x14ac:dyDescent="0.25">
      <c r="A140" s="10"/>
      <c r="B140" s="10"/>
      <c r="C140" s="10"/>
      <c r="D140" s="10"/>
      <c r="E140" s="10"/>
      <c r="F140" s="10"/>
    </row>
    <row r="141" spans="1:6" ht="15" customHeight="1" x14ac:dyDescent="0.25">
      <c r="A141" s="10"/>
      <c r="B141" s="10"/>
      <c r="C141" s="10"/>
      <c r="D141" s="10"/>
      <c r="E141" s="10"/>
      <c r="F141" s="10"/>
    </row>
    <row r="142" spans="1:6" ht="15" customHeight="1" x14ac:dyDescent="0.25">
      <c r="A142" s="10"/>
      <c r="B142" s="10"/>
      <c r="C142" s="10"/>
      <c r="D142" s="10"/>
      <c r="E142" s="10"/>
      <c r="F142" s="10"/>
    </row>
    <row r="143" spans="1:6" ht="15" customHeight="1" x14ac:dyDescent="0.25">
      <c r="A143" s="10"/>
      <c r="B143" s="10"/>
      <c r="C143" s="10"/>
      <c r="D143" s="10"/>
      <c r="E143" s="10"/>
      <c r="F143" s="10"/>
    </row>
    <row r="144" spans="1:6" ht="15" customHeight="1" x14ac:dyDescent="0.25">
      <c r="A144" s="10"/>
      <c r="B144" s="10"/>
      <c r="C144" s="10"/>
      <c r="D144" s="10"/>
      <c r="E144" s="10"/>
      <c r="F144" s="10"/>
    </row>
    <row r="145" spans="1:6" ht="15" customHeight="1" x14ac:dyDescent="0.25">
      <c r="A145" s="10"/>
      <c r="B145" s="10"/>
      <c r="C145" s="10"/>
      <c r="D145" s="10"/>
      <c r="E145" s="10"/>
      <c r="F145" s="10"/>
    </row>
    <row r="146" spans="1:6" ht="15" customHeight="1" x14ac:dyDescent="0.25">
      <c r="A146" s="10"/>
      <c r="B146" s="10"/>
      <c r="C146" s="10"/>
      <c r="D146" s="10"/>
      <c r="E146" s="10"/>
      <c r="F146" s="10"/>
    </row>
    <row r="147" spans="1:6" ht="15" customHeight="1" x14ac:dyDescent="0.25">
      <c r="A147" s="10"/>
      <c r="B147" s="10"/>
      <c r="C147" s="10"/>
      <c r="D147" s="10"/>
      <c r="E147" s="10"/>
      <c r="F147" s="10"/>
    </row>
    <row r="148" spans="1:6" ht="15" customHeight="1" x14ac:dyDescent="0.25">
      <c r="A148" s="10"/>
      <c r="B148" s="10"/>
      <c r="C148" s="10"/>
      <c r="D148" s="10"/>
      <c r="E148" s="10"/>
      <c r="F148" s="10"/>
    </row>
    <row r="149" spans="1:6" ht="15" customHeight="1" x14ac:dyDescent="0.25">
      <c r="A149" s="10"/>
      <c r="B149" s="10"/>
      <c r="C149" s="10"/>
      <c r="D149" s="10"/>
      <c r="E149" s="10"/>
      <c r="F149" s="10"/>
    </row>
    <row r="150" spans="1:6" ht="15" customHeight="1" x14ac:dyDescent="0.25">
      <c r="A150" s="10"/>
      <c r="B150" s="10"/>
      <c r="C150" s="10"/>
      <c r="D150" s="10"/>
      <c r="E150" s="10"/>
      <c r="F150" s="10"/>
    </row>
    <row r="151" spans="1:6" ht="15" customHeight="1" x14ac:dyDescent="0.25">
      <c r="A151" s="10"/>
      <c r="B151" s="10"/>
      <c r="C151" s="10"/>
      <c r="D151" s="10"/>
      <c r="E151" s="10"/>
      <c r="F151" s="10"/>
    </row>
  </sheetData>
  <mergeCells count="2">
    <mergeCell ref="A1:F1"/>
    <mergeCell ref="A2:F2"/>
  </mergeCells>
  <dataValidations count="2">
    <dataValidation type="list" allowBlank="1" sqref="E4:E151" xr:uid="{00000000-0002-0000-0300-000000000000}">
      <formula1>"Nous,Adverse"</formula1>
      <formula2>0</formula2>
    </dataValidation>
    <dataValidation type="list" allowBlank="1" sqref="F4:F151" xr:uid="{00000000-0002-0000-0300-000001000000}">
      <formula1>"Jeu,Tête,Penalty,Coup franc,CSC,Autre"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300-000000000000}">
          <x14:formula1>
            <xm:f>Matchs!$A$4:$A$31</xm:f>
          </x14:formula1>
          <x14:formula2>
            <xm:f>0</xm:f>
          </x14:formula2>
          <xm:sqref>A4:A151</xm:sqref>
        </x14:dataValidation>
        <x14:dataValidation type="list" allowBlank="1" xr:uid="{00000000-0002-0000-0300-000001000000}">
          <x14:formula1>
            <xm:f>'Effectif Saison'!$E$4:$E$51</xm:f>
          </x14:formula1>
          <x14:formula2>
            <xm:f>0</xm:f>
          </x14:formula2>
          <xm:sqref>C4:D151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21"/>
  <sheetViews>
    <sheetView showGridLines="0" zoomScaleNormal="100" workbookViewId="0">
      <pane ySplit="3" topLeftCell="A4" activePane="bottomLeft" state="frozen"/>
      <selection pane="bottomLeft" activeCell="F12" sqref="F12"/>
    </sheetView>
  </sheetViews>
  <sheetFormatPr baseColWidth="10" defaultColWidth="8.7109375" defaultRowHeight="15" x14ac:dyDescent="0.25"/>
  <cols>
    <col min="1" max="2" width="10" customWidth="1"/>
    <col min="3" max="3" width="20" customWidth="1"/>
    <col min="4" max="5" width="14" customWidth="1"/>
    <col min="6" max="6" width="24" customWidth="1"/>
  </cols>
  <sheetData>
    <row r="1" spans="1:6" ht="21.75" customHeight="1" x14ac:dyDescent="0.25">
      <c r="A1" s="21" t="s">
        <v>147</v>
      </c>
      <c r="B1" s="21"/>
      <c r="C1" s="21"/>
      <c r="D1" s="21"/>
      <c r="E1" s="21"/>
      <c r="F1" s="21"/>
    </row>
    <row r="2" spans="1:6" ht="15" customHeight="1" x14ac:dyDescent="0.25">
      <c r="A2" s="24" t="s">
        <v>148</v>
      </c>
      <c r="B2" s="24"/>
      <c r="C2" s="24"/>
      <c r="D2" s="24"/>
      <c r="E2" s="24"/>
      <c r="F2" s="24"/>
    </row>
    <row r="3" spans="1:6" ht="15" customHeight="1" x14ac:dyDescent="0.25">
      <c r="A3" s="9" t="s">
        <v>117</v>
      </c>
      <c r="B3" s="9" t="s">
        <v>142</v>
      </c>
      <c r="C3" s="9" t="s">
        <v>149</v>
      </c>
      <c r="D3" s="9" t="s">
        <v>38</v>
      </c>
      <c r="E3" s="9" t="s">
        <v>146</v>
      </c>
      <c r="F3" s="9" t="s">
        <v>150</v>
      </c>
    </row>
    <row r="4" spans="1:6" ht="15" customHeight="1" x14ac:dyDescent="0.25">
      <c r="A4" s="14"/>
      <c r="B4" s="14"/>
      <c r="C4" s="14"/>
      <c r="D4" s="14"/>
      <c r="E4" s="14"/>
      <c r="F4" s="14"/>
    </row>
    <row r="5" spans="1:6" ht="15" customHeight="1" x14ac:dyDescent="0.25">
      <c r="A5" s="10"/>
      <c r="B5" s="10"/>
      <c r="C5" s="10"/>
      <c r="D5" s="10"/>
      <c r="E5" s="10"/>
      <c r="F5" s="10"/>
    </row>
    <row r="6" spans="1:6" ht="15" customHeight="1" x14ac:dyDescent="0.25">
      <c r="A6" s="10"/>
      <c r="B6" s="10"/>
      <c r="C6" s="10"/>
      <c r="D6" s="10"/>
      <c r="E6" s="10"/>
      <c r="F6" s="10"/>
    </row>
    <row r="7" spans="1:6" ht="15" customHeight="1" x14ac:dyDescent="0.25">
      <c r="A7" s="10"/>
      <c r="B7" s="10"/>
      <c r="C7" s="10"/>
      <c r="D7" s="10"/>
      <c r="E7" s="10"/>
      <c r="F7" s="10"/>
    </row>
    <row r="8" spans="1:6" ht="15" customHeight="1" x14ac:dyDescent="0.25">
      <c r="A8" s="10"/>
      <c r="B8" s="10"/>
      <c r="C8" s="10"/>
      <c r="D8" s="10"/>
      <c r="E8" s="10"/>
      <c r="F8" s="10"/>
    </row>
    <row r="9" spans="1:6" ht="15" customHeight="1" x14ac:dyDescent="0.25">
      <c r="A9" s="10"/>
      <c r="B9" s="10"/>
      <c r="C9" s="10"/>
      <c r="D9" s="10"/>
      <c r="E9" s="10"/>
      <c r="F9" s="10"/>
    </row>
    <row r="10" spans="1:6" ht="15" customHeight="1" x14ac:dyDescent="0.25">
      <c r="A10" s="10"/>
      <c r="B10" s="10"/>
      <c r="C10" s="10"/>
      <c r="D10" s="10"/>
      <c r="E10" s="10"/>
      <c r="F10" s="10"/>
    </row>
    <row r="11" spans="1:6" ht="15" customHeight="1" x14ac:dyDescent="0.25">
      <c r="A11" s="10"/>
      <c r="B11" s="10"/>
      <c r="C11" s="10"/>
      <c r="D11" s="10"/>
      <c r="E11" s="10"/>
      <c r="F11" s="10"/>
    </row>
    <row r="12" spans="1:6" ht="15" customHeight="1" x14ac:dyDescent="0.25">
      <c r="A12" s="10"/>
      <c r="B12" s="10"/>
      <c r="C12" s="10"/>
      <c r="D12" s="10"/>
      <c r="E12" s="10"/>
      <c r="F12" s="10"/>
    </row>
    <row r="13" spans="1:6" ht="15" customHeight="1" x14ac:dyDescent="0.25">
      <c r="A13" s="10"/>
      <c r="B13" s="10"/>
      <c r="C13" s="10"/>
      <c r="D13" s="10"/>
      <c r="E13" s="10"/>
      <c r="F13" s="10"/>
    </row>
    <row r="14" spans="1:6" ht="15" customHeight="1" x14ac:dyDescent="0.25">
      <c r="A14" s="10"/>
      <c r="B14" s="10"/>
      <c r="C14" s="10"/>
      <c r="D14" s="10"/>
      <c r="E14" s="10"/>
      <c r="F14" s="10"/>
    </row>
    <row r="15" spans="1:6" ht="15" customHeight="1" x14ac:dyDescent="0.25">
      <c r="A15" s="10"/>
      <c r="B15" s="10"/>
      <c r="C15" s="10"/>
      <c r="D15" s="10"/>
      <c r="E15" s="10"/>
      <c r="F15" s="10"/>
    </row>
    <row r="16" spans="1:6" ht="15" customHeight="1" x14ac:dyDescent="0.25">
      <c r="A16" s="10"/>
      <c r="B16" s="10"/>
      <c r="C16" s="10"/>
      <c r="D16" s="10"/>
      <c r="E16" s="10"/>
      <c r="F16" s="10"/>
    </row>
    <row r="17" spans="1:6" ht="15" customHeight="1" x14ac:dyDescent="0.25">
      <c r="A17" s="10"/>
      <c r="B17" s="10"/>
      <c r="C17" s="10"/>
      <c r="D17" s="10"/>
      <c r="E17" s="10"/>
      <c r="F17" s="10"/>
    </row>
    <row r="18" spans="1:6" ht="15" customHeight="1" x14ac:dyDescent="0.25">
      <c r="A18" s="10"/>
      <c r="B18" s="10"/>
      <c r="C18" s="10"/>
      <c r="D18" s="10"/>
      <c r="E18" s="10"/>
      <c r="F18" s="10"/>
    </row>
    <row r="19" spans="1:6" ht="15" customHeight="1" x14ac:dyDescent="0.25">
      <c r="A19" s="10"/>
      <c r="B19" s="10"/>
      <c r="C19" s="10"/>
      <c r="D19" s="10"/>
      <c r="E19" s="10"/>
      <c r="F19" s="10"/>
    </row>
    <row r="20" spans="1:6" ht="15" customHeight="1" x14ac:dyDescent="0.25">
      <c r="A20" s="10"/>
      <c r="B20" s="10"/>
      <c r="C20" s="10"/>
      <c r="D20" s="10"/>
      <c r="E20" s="10"/>
      <c r="F20" s="10"/>
    </row>
    <row r="21" spans="1:6" ht="15" customHeight="1" x14ac:dyDescent="0.25">
      <c r="A21" s="10"/>
      <c r="B21" s="10"/>
      <c r="C21" s="10"/>
      <c r="D21" s="10"/>
      <c r="E21" s="10"/>
      <c r="F21" s="10"/>
    </row>
    <row r="22" spans="1:6" ht="15" customHeight="1" x14ac:dyDescent="0.25">
      <c r="A22" s="10"/>
      <c r="B22" s="10"/>
      <c r="C22" s="10"/>
      <c r="D22" s="10"/>
      <c r="E22" s="10"/>
      <c r="F22" s="10"/>
    </row>
    <row r="23" spans="1:6" ht="15" customHeight="1" x14ac:dyDescent="0.25">
      <c r="A23" s="10"/>
      <c r="B23" s="10"/>
      <c r="C23" s="10"/>
      <c r="D23" s="10"/>
      <c r="E23" s="10"/>
      <c r="F23" s="10"/>
    </row>
    <row r="24" spans="1:6" ht="15" customHeight="1" x14ac:dyDescent="0.25">
      <c r="A24" s="10"/>
      <c r="B24" s="10"/>
      <c r="C24" s="10"/>
      <c r="D24" s="10"/>
      <c r="E24" s="10"/>
      <c r="F24" s="10"/>
    </row>
    <row r="25" spans="1:6" ht="15" customHeight="1" x14ac:dyDescent="0.25">
      <c r="A25" s="10"/>
      <c r="B25" s="10"/>
      <c r="C25" s="10"/>
      <c r="D25" s="10"/>
      <c r="E25" s="10"/>
      <c r="F25" s="10"/>
    </row>
    <row r="26" spans="1:6" ht="15" customHeight="1" x14ac:dyDescent="0.25">
      <c r="A26" s="10"/>
      <c r="B26" s="10"/>
      <c r="C26" s="10"/>
      <c r="D26" s="10"/>
      <c r="E26" s="10"/>
      <c r="F26" s="10"/>
    </row>
    <row r="27" spans="1:6" ht="15" customHeight="1" x14ac:dyDescent="0.25">
      <c r="A27" s="10"/>
      <c r="B27" s="10"/>
      <c r="C27" s="10"/>
      <c r="D27" s="10"/>
      <c r="E27" s="10"/>
      <c r="F27" s="10"/>
    </row>
    <row r="28" spans="1:6" ht="15" customHeight="1" x14ac:dyDescent="0.25">
      <c r="A28" s="10"/>
      <c r="B28" s="10"/>
      <c r="C28" s="10"/>
      <c r="D28" s="10"/>
      <c r="E28" s="10"/>
      <c r="F28" s="10"/>
    </row>
    <row r="29" spans="1:6" ht="15" customHeight="1" x14ac:dyDescent="0.25">
      <c r="A29" s="10"/>
      <c r="B29" s="10"/>
      <c r="C29" s="10"/>
      <c r="D29" s="10"/>
      <c r="E29" s="10"/>
      <c r="F29" s="10"/>
    </row>
    <row r="30" spans="1:6" ht="15" customHeight="1" x14ac:dyDescent="0.25">
      <c r="A30" s="10"/>
      <c r="B30" s="10"/>
      <c r="C30" s="10"/>
      <c r="D30" s="10"/>
      <c r="E30" s="10"/>
      <c r="F30" s="10"/>
    </row>
    <row r="31" spans="1:6" ht="15" customHeight="1" x14ac:dyDescent="0.25">
      <c r="A31" s="10"/>
      <c r="B31" s="10"/>
      <c r="C31" s="10"/>
      <c r="D31" s="10"/>
      <c r="E31" s="10"/>
      <c r="F31" s="10"/>
    </row>
    <row r="32" spans="1:6" ht="15" customHeight="1" x14ac:dyDescent="0.25">
      <c r="A32" s="10"/>
      <c r="B32" s="10"/>
      <c r="C32" s="10"/>
      <c r="D32" s="10"/>
      <c r="E32" s="10"/>
      <c r="F32" s="10"/>
    </row>
    <row r="33" spans="1:6" ht="15" customHeight="1" x14ac:dyDescent="0.25">
      <c r="A33" s="10"/>
      <c r="B33" s="10"/>
      <c r="C33" s="10"/>
      <c r="D33" s="10"/>
      <c r="E33" s="10"/>
      <c r="F33" s="10"/>
    </row>
    <row r="34" spans="1:6" ht="15" customHeight="1" x14ac:dyDescent="0.25">
      <c r="A34" s="10"/>
      <c r="B34" s="10"/>
      <c r="C34" s="10"/>
      <c r="D34" s="10"/>
      <c r="E34" s="10"/>
      <c r="F34" s="10"/>
    </row>
    <row r="35" spans="1:6" ht="15" customHeight="1" x14ac:dyDescent="0.25">
      <c r="A35" s="10"/>
      <c r="B35" s="10"/>
      <c r="C35" s="10"/>
      <c r="D35" s="10"/>
      <c r="E35" s="10"/>
      <c r="F35" s="10"/>
    </row>
    <row r="36" spans="1:6" ht="15" customHeight="1" x14ac:dyDescent="0.25">
      <c r="A36" s="10"/>
      <c r="B36" s="10"/>
      <c r="C36" s="10"/>
      <c r="D36" s="10"/>
      <c r="E36" s="10"/>
      <c r="F36" s="10"/>
    </row>
    <row r="37" spans="1:6" ht="15" customHeight="1" x14ac:dyDescent="0.25">
      <c r="A37" s="10"/>
      <c r="B37" s="10"/>
      <c r="C37" s="10"/>
      <c r="D37" s="10"/>
      <c r="E37" s="10"/>
      <c r="F37" s="10"/>
    </row>
    <row r="38" spans="1:6" ht="15" customHeight="1" x14ac:dyDescent="0.25">
      <c r="A38" s="10"/>
      <c r="B38" s="10"/>
      <c r="C38" s="10"/>
      <c r="D38" s="10"/>
      <c r="E38" s="10"/>
      <c r="F38" s="10"/>
    </row>
    <row r="39" spans="1:6" ht="15" customHeight="1" x14ac:dyDescent="0.25">
      <c r="A39" s="10"/>
      <c r="B39" s="10"/>
      <c r="C39" s="10"/>
      <c r="D39" s="10"/>
      <c r="E39" s="10"/>
      <c r="F39" s="10"/>
    </row>
    <row r="40" spans="1:6" ht="15" customHeight="1" x14ac:dyDescent="0.25">
      <c r="A40" s="10"/>
      <c r="B40" s="10"/>
      <c r="C40" s="10"/>
      <c r="D40" s="10"/>
      <c r="E40" s="10"/>
      <c r="F40" s="10"/>
    </row>
    <row r="41" spans="1:6" ht="15" customHeight="1" x14ac:dyDescent="0.25">
      <c r="A41" s="10"/>
      <c r="B41" s="10"/>
      <c r="C41" s="10"/>
      <c r="D41" s="10"/>
      <c r="E41" s="10"/>
      <c r="F41" s="10"/>
    </row>
    <row r="42" spans="1:6" ht="15" customHeight="1" x14ac:dyDescent="0.25">
      <c r="A42" s="10"/>
      <c r="B42" s="10"/>
      <c r="C42" s="10"/>
      <c r="D42" s="10"/>
      <c r="E42" s="10"/>
      <c r="F42" s="10"/>
    </row>
    <row r="43" spans="1:6" ht="15" customHeight="1" x14ac:dyDescent="0.25">
      <c r="A43" s="10"/>
      <c r="B43" s="10"/>
      <c r="C43" s="10"/>
      <c r="D43" s="10"/>
      <c r="E43" s="10"/>
      <c r="F43" s="10"/>
    </row>
    <row r="44" spans="1:6" ht="15" customHeight="1" x14ac:dyDescent="0.25">
      <c r="A44" s="10"/>
      <c r="B44" s="10"/>
      <c r="C44" s="10"/>
      <c r="D44" s="10"/>
      <c r="E44" s="10"/>
      <c r="F44" s="10"/>
    </row>
    <row r="45" spans="1:6" ht="15" customHeight="1" x14ac:dyDescent="0.25">
      <c r="A45" s="10"/>
      <c r="B45" s="10"/>
      <c r="C45" s="10"/>
      <c r="D45" s="10"/>
      <c r="E45" s="10"/>
      <c r="F45" s="10"/>
    </row>
    <row r="46" spans="1:6" ht="15" customHeight="1" x14ac:dyDescent="0.25">
      <c r="A46" s="10"/>
      <c r="B46" s="10"/>
      <c r="C46" s="10"/>
      <c r="D46" s="10"/>
      <c r="E46" s="10"/>
      <c r="F46" s="10"/>
    </row>
    <row r="47" spans="1:6" ht="15" customHeight="1" x14ac:dyDescent="0.25">
      <c r="A47" s="10"/>
      <c r="B47" s="10"/>
      <c r="C47" s="10"/>
      <c r="D47" s="10"/>
      <c r="E47" s="10"/>
      <c r="F47" s="10"/>
    </row>
    <row r="48" spans="1:6" ht="15" customHeight="1" x14ac:dyDescent="0.25">
      <c r="A48" s="10"/>
      <c r="B48" s="10"/>
      <c r="C48" s="10"/>
      <c r="D48" s="10"/>
      <c r="E48" s="10"/>
      <c r="F48" s="10"/>
    </row>
    <row r="49" spans="1:6" ht="15" customHeight="1" x14ac:dyDescent="0.25">
      <c r="A49" s="10"/>
      <c r="B49" s="10"/>
      <c r="C49" s="10"/>
      <c r="D49" s="10"/>
      <c r="E49" s="10"/>
      <c r="F49" s="10"/>
    </row>
    <row r="50" spans="1:6" ht="15" customHeight="1" x14ac:dyDescent="0.25">
      <c r="A50" s="10"/>
      <c r="B50" s="10"/>
      <c r="C50" s="10"/>
      <c r="D50" s="10"/>
      <c r="E50" s="10"/>
      <c r="F50" s="10"/>
    </row>
    <row r="51" spans="1:6" ht="15" customHeight="1" x14ac:dyDescent="0.25">
      <c r="A51" s="10"/>
      <c r="B51" s="10"/>
      <c r="C51" s="10"/>
      <c r="D51" s="10"/>
      <c r="E51" s="10"/>
      <c r="F51" s="10"/>
    </row>
    <row r="52" spans="1:6" ht="15" customHeight="1" x14ac:dyDescent="0.25">
      <c r="A52" s="10"/>
      <c r="B52" s="10"/>
      <c r="C52" s="10"/>
      <c r="D52" s="10"/>
      <c r="E52" s="10"/>
      <c r="F52" s="10"/>
    </row>
    <row r="53" spans="1:6" ht="15" customHeight="1" x14ac:dyDescent="0.25">
      <c r="A53" s="10"/>
      <c r="B53" s="10"/>
      <c r="C53" s="10"/>
      <c r="D53" s="10"/>
      <c r="E53" s="10"/>
      <c r="F53" s="10"/>
    </row>
    <row r="54" spans="1:6" ht="15" customHeight="1" x14ac:dyDescent="0.25">
      <c r="A54" s="10"/>
      <c r="B54" s="10"/>
      <c r="C54" s="10"/>
      <c r="D54" s="10"/>
      <c r="E54" s="10"/>
      <c r="F54" s="10"/>
    </row>
    <row r="55" spans="1:6" ht="15" customHeight="1" x14ac:dyDescent="0.25">
      <c r="A55" s="10"/>
      <c r="B55" s="10"/>
      <c r="C55" s="10"/>
      <c r="D55" s="10"/>
      <c r="E55" s="10"/>
      <c r="F55" s="10"/>
    </row>
    <row r="56" spans="1:6" ht="15" customHeight="1" x14ac:dyDescent="0.25">
      <c r="A56" s="10"/>
      <c r="B56" s="10"/>
      <c r="C56" s="10"/>
      <c r="D56" s="10"/>
      <c r="E56" s="10"/>
      <c r="F56" s="10"/>
    </row>
    <row r="57" spans="1:6" ht="15" customHeight="1" x14ac:dyDescent="0.25">
      <c r="A57" s="10"/>
      <c r="B57" s="10"/>
      <c r="C57" s="10"/>
      <c r="D57" s="10"/>
      <c r="E57" s="10"/>
      <c r="F57" s="10"/>
    </row>
    <row r="58" spans="1:6" ht="15" customHeight="1" x14ac:dyDescent="0.25">
      <c r="A58" s="10"/>
      <c r="B58" s="10"/>
      <c r="C58" s="10"/>
      <c r="D58" s="10"/>
      <c r="E58" s="10"/>
      <c r="F58" s="10"/>
    </row>
    <row r="59" spans="1:6" ht="15" customHeight="1" x14ac:dyDescent="0.25">
      <c r="A59" s="10"/>
      <c r="B59" s="10"/>
      <c r="C59" s="10"/>
      <c r="D59" s="10"/>
      <c r="E59" s="10"/>
      <c r="F59" s="10"/>
    </row>
    <row r="60" spans="1:6" ht="15" customHeight="1" x14ac:dyDescent="0.25">
      <c r="A60" s="10"/>
      <c r="B60" s="10"/>
      <c r="C60" s="10"/>
      <c r="D60" s="10"/>
      <c r="E60" s="10"/>
      <c r="F60" s="10"/>
    </row>
    <row r="61" spans="1:6" ht="15" customHeight="1" x14ac:dyDescent="0.25">
      <c r="A61" s="10"/>
      <c r="B61" s="10"/>
      <c r="C61" s="10"/>
      <c r="D61" s="10"/>
      <c r="E61" s="10"/>
      <c r="F61" s="10"/>
    </row>
    <row r="62" spans="1:6" ht="15" customHeight="1" x14ac:dyDescent="0.25">
      <c r="A62" s="10"/>
      <c r="B62" s="10"/>
      <c r="C62" s="10"/>
      <c r="D62" s="10"/>
      <c r="E62" s="10"/>
      <c r="F62" s="10"/>
    </row>
    <row r="63" spans="1:6" ht="15" customHeight="1" x14ac:dyDescent="0.25">
      <c r="A63" s="10"/>
      <c r="B63" s="10"/>
      <c r="C63" s="10"/>
      <c r="D63" s="10"/>
      <c r="E63" s="10"/>
      <c r="F63" s="10"/>
    </row>
    <row r="64" spans="1:6" ht="15" customHeight="1" x14ac:dyDescent="0.25">
      <c r="A64" s="10"/>
      <c r="B64" s="10"/>
      <c r="C64" s="10"/>
      <c r="D64" s="10"/>
      <c r="E64" s="10"/>
      <c r="F64" s="10"/>
    </row>
    <row r="65" spans="1:6" ht="15" customHeight="1" x14ac:dyDescent="0.25">
      <c r="A65" s="10"/>
      <c r="B65" s="10"/>
      <c r="C65" s="10"/>
      <c r="D65" s="10"/>
      <c r="E65" s="10"/>
      <c r="F65" s="10"/>
    </row>
    <row r="66" spans="1:6" ht="15" customHeight="1" x14ac:dyDescent="0.25">
      <c r="A66" s="10"/>
      <c r="B66" s="10"/>
      <c r="C66" s="10"/>
      <c r="D66" s="10"/>
      <c r="E66" s="10"/>
      <c r="F66" s="10"/>
    </row>
    <row r="67" spans="1:6" ht="15" customHeight="1" x14ac:dyDescent="0.25">
      <c r="A67" s="10"/>
      <c r="B67" s="10"/>
      <c r="C67" s="10"/>
      <c r="D67" s="10"/>
      <c r="E67" s="10"/>
      <c r="F67" s="10"/>
    </row>
    <row r="68" spans="1:6" ht="15" customHeight="1" x14ac:dyDescent="0.25">
      <c r="A68" s="10"/>
      <c r="B68" s="10"/>
      <c r="C68" s="10"/>
      <c r="D68" s="10"/>
      <c r="E68" s="10"/>
      <c r="F68" s="10"/>
    </row>
    <row r="69" spans="1:6" ht="15" customHeight="1" x14ac:dyDescent="0.25">
      <c r="A69" s="10"/>
      <c r="B69" s="10"/>
      <c r="C69" s="10"/>
      <c r="D69" s="10"/>
      <c r="E69" s="10"/>
      <c r="F69" s="10"/>
    </row>
    <row r="70" spans="1:6" ht="15" customHeight="1" x14ac:dyDescent="0.25">
      <c r="A70" s="10"/>
      <c r="B70" s="10"/>
      <c r="C70" s="10"/>
      <c r="D70" s="10"/>
      <c r="E70" s="10"/>
      <c r="F70" s="10"/>
    </row>
    <row r="71" spans="1:6" ht="15" customHeight="1" x14ac:dyDescent="0.25">
      <c r="A71" s="10"/>
      <c r="B71" s="10"/>
      <c r="C71" s="10"/>
      <c r="D71" s="10"/>
      <c r="E71" s="10"/>
      <c r="F71" s="10"/>
    </row>
    <row r="72" spans="1:6" ht="15" customHeight="1" x14ac:dyDescent="0.25">
      <c r="A72" s="10"/>
      <c r="B72" s="10"/>
      <c r="C72" s="10"/>
      <c r="D72" s="10"/>
      <c r="E72" s="10"/>
      <c r="F72" s="10"/>
    </row>
    <row r="73" spans="1:6" ht="15" customHeight="1" x14ac:dyDescent="0.25">
      <c r="A73" s="10"/>
      <c r="B73" s="10"/>
      <c r="C73" s="10"/>
      <c r="D73" s="10"/>
      <c r="E73" s="10"/>
      <c r="F73" s="10"/>
    </row>
    <row r="74" spans="1:6" ht="15" customHeight="1" x14ac:dyDescent="0.25">
      <c r="A74" s="10"/>
      <c r="B74" s="10"/>
      <c r="C74" s="10"/>
      <c r="D74" s="10"/>
      <c r="E74" s="10"/>
      <c r="F74" s="10"/>
    </row>
    <row r="75" spans="1:6" ht="15" customHeight="1" x14ac:dyDescent="0.25">
      <c r="A75" s="10"/>
      <c r="B75" s="10"/>
      <c r="C75" s="10"/>
      <c r="D75" s="10"/>
      <c r="E75" s="10"/>
      <c r="F75" s="10"/>
    </row>
    <row r="76" spans="1:6" ht="15" customHeight="1" x14ac:dyDescent="0.25">
      <c r="A76" s="10"/>
      <c r="B76" s="10"/>
      <c r="C76" s="10"/>
      <c r="D76" s="10"/>
      <c r="E76" s="10"/>
      <c r="F76" s="10"/>
    </row>
    <row r="77" spans="1:6" ht="15" customHeight="1" x14ac:dyDescent="0.25">
      <c r="A77" s="10"/>
      <c r="B77" s="10"/>
      <c r="C77" s="10"/>
      <c r="D77" s="10"/>
      <c r="E77" s="10"/>
      <c r="F77" s="10"/>
    </row>
    <row r="78" spans="1:6" ht="15" customHeight="1" x14ac:dyDescent="0.25">
      <c r="A78" s="10"/>
      <c r="B78" s="10"/>
      <c r="C78" s="10"/>
      <c r="D78" s="10"/>
      <c r="E78" s="10"/>
      <c r="F78" s="10"/>
    </row>
    <row r="79" spans="1:6" ht="15" customHeight="1" x14ac:dyDescent="0.25">
      <c r="A79" s="10"/>
      <c r="B79" s="10"/>
      <c r="C79" s="10"/>
      <c r="D79" s="10"/>
      <c r="E79" s="10"/>
      <c r="F79" s="10"/>
    </row>
    <row r="80" spans="1:6" ht="15" customHeight="1" x14ac:dyDescent="0.25">
      <c r="A80" s="10"/>
      <c r="B80" s="10"/>
      <c r="C80" s="10"/>
      <c r="D80" s="10"/>
      <c r="E80" s="10"/>
      <c r="F80" s="10"/>
    </row>
    <row r="81" spans="1:6" ht="15" customHeight="1" x14ac:dyDescent="0.25">
      <c r="A81" s="10"/>
      <c r="B81" s="10"/>
      <c r="C81" s="10"/>
      <c r="D81" s="10"/>
      <c r="E81" s="10"/>
      <c r="F81" s="10"/>
    </row>
    <row r="82" spans="1:6" ht="15" customHeight="1" x14ac:dyDescent="0.25">
      <c r="A82" s="10"/>
      <c r="B82" s="10"/>
      <c r="C82" s="10"/>
      <c r="D82" s="10"/>
      <c r="E82" s="10"/>
      <c r="F82" s="10"/>
    </row>
    <row r="83" spans="1:6" ht="15" customHeight="1" x14ac:dyDescent="0.25">
      <c r="A83" s="10"/>
      <c r="B83" s="10"/>
      <c r="C83" s="10"/>
      <c r="D83" s="10"/>
      <c r="E83" s="10"/>
      <c r="F83" s="10"/>
    </row>
    <row r="84" spans="1:6" ht="15" customHeight="1" x14ac:dyDescent="0.25">
      <c r="A84" s="10"/>
      <c r="B84" s="10"/>
      <c r="C84" s="10"/>
      <c r="D84" s="10"/>
      <c r="E84" s="10"/>
      <c r="F84" s="10"/>
    </row>
    <row r="85" spans="1:6" ht="15" customHeight="1" x14ac:dyDescent="0.25">
      <c r="A85" s="10"/>
      <c r="B85" s="10"/>
      <c r="C85" s="10"/>
      <c r="D85" s="10"/>
      <c r="E85" s="10"/>
      <c r="F85" s="10"/>
    </row>
    <row r="86" spans="1:6" ht="15" customHeight="1" x14ac:dyDescent="0.25">
      <c r="A86" s="10"/>
      <c r="B86" s="10"/>
      <c r="C86" s="10"/>
      <c r="D86" s="10"/>
      <c r="E86" s="10"/>
      <c r="F86" s="10"/>
    </row>
    <row r="87" spans="1:6" ht="15" customHeight="1" x14ac:dyDescent="0.25">
      <c r="A87" s="10"/>
      <c r="B87" s="10"/>
      <c r="C87" s="10"/>
      <c r="D87" s="10"/>
      <c r="E87" s="10"/>
      <c r="F87" s="10"/>
    </row>
    <row r="88" spans="1:6" ht="15" customHeight="1" x14ac:dyDescent="0.25">
      <c r="A88" s="10"/>
      <c r="B88" s="10"/>
      <c r="C88" s="10"/>
      <c r="D88" s="10"/>
      <c r="E88" s="10"/>
      <c r="F88" s="10"/>
    </row>
    <row r="89" spans="1:6" ht="15" customHeight="1" x14ac:dyDescent="0.25">
      <c r="A89" s="10"/>
      <c r="B89" s="10"/>
      <c r="C89" s="10"/>
      <c r="D89" s="10"/>
      <c r="E89" s="10"/>
      <c r="F89" s="10"/>
    </row>
    <row r="90" spans="1:6" ht="15" customHeight="1" x14ac:dyDescent="0.25">
      <c r="A90" s="10"/>
      <c r="B90" s="10"/>
      <c r="C90" s="10"/>
      <c r="D90" s="10"/>
      <c r="E90" s="10"/>
      <c r="F90" s="10"/>
    </row>
    <row r="91" spans="1:6" ht="15" customHeight="1" x14ac:dyDescent="0.25">
      <c r="A91" s="10"/>
      <c r="B91" s="10"/>
      <c r="C91" s="10"/>
      <c r="D91" s="10"/>
      <c r="E91" s="10"/>
      <c r="F91" s="10"/>
    </row>
    <row r="92" spans="1:6" ht="15" customHeight="1" x14ac:dyDescent="0.25">
      <c r="A92" s="10"/>
      <c r="B92" s="10"/>
      <c r="C92" s="10"/>
      <c r="D92" s="10"/>
      <c r="E92" s="10"/>
      <c r="F92" s="10"/>
    </row>
    <row r="93" spans="1:6" ht="15" customHeight="1" x14ac:dyDescent="0.25">
      <c r="A93" s="10"/>
      <c r="B93" s="10"/>
      <c r="C93" s="10"/>
      <c r="D93" s="10"/>
      <c r="E93" s="10"/>
      <c r="F93" s="10"/>
    </row>
    <row r="94" spans="1:6" ht="15" customHeight="1" x14ac:dyDescent="0.25">
      <c r="A94" s="10"/>
      <c r="B94" s="10"/>
      <c r="C94" s="10"/>
      <c r="D94" s="10"/>
      <c r="E94" s="10"/>
      <c r="F94" s="10"/>
    </row>
    <row r="95" spans="1:6" ht="15" customHeight="1" x14ac:dyDescent="0.25">
      <c r="A95" s="10"/>
      <c r="B95" s="10"/>
      <c r="C95" s="10"/>
      <c r="D95" s="10"/>
      <c r="E95" s="10"/>
      <c r="F95" s="10"/>
    </row>
    <row r="96" spans="1:6" ht="15" customHeight="1" x14ac:dyDescent="0.25">
      <c r="A96" s="10"/>
      <c r="B96" s="10"/>
      <c r="C96" s="10"/>
      <c r="D96" s="10"/>
      <c r="E96" s="10"/>
      <c r="F96" s="10"/>
    </row>
    <row r="97" spans="1:6" ht="15" customHeight="1" x14ac:dyDescent="0.25">
      <c r="A97" s="10"/>
      <c r="B97" s="10"/>
      <c r="C97" s="10"/>
      <c r="D97" s="10"/>
      <c r="E97" s="10"/>
      <c r="F97" s="10"/>
    </row>
    <row r="98" spans="1:6" ht="15" customHeight="1" x14ac:dyDescent="0.25">
      <c r="A98" s="10"/>
      <c r="B98" s="10"/>
      <c r="C98" s="10"/>
      <c r="D98" s="10"/>
      <c r="E98" s="10"/>
      <c r="F98" s="10"/>
    </row>
    <row r="99" spans="1:6" ht="15" customHeight="1" x14ac:dyDescent="0.25">
      <c r="A99" s="10"/>
      <c r="B99" s="10"/>
      <c r="C99" s="10"/>
      <c r="D99" s="10"/>
      <c r="E99" s="10"/>
      <c r="F99" s="10"/>
    </row>
    <row r="100" spans="1:6" ht="15" customHeight="1" x14ac:dyDescent="0.25">
      <c r="A100" s="10"/>
      <c r="B100" s="10"/>
      <c r="C100" s="10"/>
      <c r="D100" s="10"/>
      <c r="E100" s="10"/>
      <c r="F100" s="10"/>
    </row>
    <row r="101" spans="1:6" ht="15" customHeight="1" x14ac:dyDescent="0.25">
      <c r="A101" s="10"/>
      <c r="B101" s="10"/>
      <c r="C101" s="10"/>
      <c r="D101" s="10"/>
      <c r="E101" s="10"/>
      <c r="F101" s="10"/>
    </row>
    <row r="102" spans="1:6" ht="15" customHeight="1" x14ac:dyDescent="0.25">
      <c r="A102" s="10"/>
      <c r="B102" s="10"/>
      <c r="C102" s="10"/>
      <c r="D102" s="10"/>
      <c r="E102" s="10"/>
      <c r="F102" s="10"/>
    </row>
    <row r="103" spans="1:6" ht="15" customHeight="1" x14ac:dyDescent="0.25">
      <c r="A103" s="10"/>
      <c r="B103" s="10"/>
      <c r="C103" s="10"/>
      <c r="D103" s="10"/>
      <c r="E103" s="10"/>
      <c r="F103" s="10"/>
    </row>
    <row r="104" spans="1:6" ht="15" customHeight="1" x14ac:dyDescent="0.25">
      <c r="A104" s="10"/>
      <c r="B104" s="10"/>
      <c r="C104" s="10"/>
      <c r="D104" s="10"/>
      <c r="E104" s="10"/>
      <c r="F104" s="10"/>
    </row>
    <row r="105" spans="1:6" ht="15" customHeight="1" x14ac:dyDescent="0.25">
      <c r="A105" s="10"/>
      <c r="B105" s="10"/>
      <c r="C105" s="10"/>
      <c r="D105" s="10"/>
      <c r="E105" s="10"/>
      <c r="F105" s="10"/>
    </row>
    <row r="106" spans="1:6" ht="15" customHeight="1" x14ac:dyDescent="0.25">
      <c r="A106" s="10"/>
      <c r="B106" s="10"/>
      <c r="C106" s="10"/>
      <c r="D106" s="10"/>
      <c r="E106" s="10"/>
      <c r="F106" s="10"/>
    </row>
    <row r="107" spans="1:6" ht="15" customHeight="1" x14ac:dyDescent="0.25">
      <c r="A107" s="10"/>
      <c r="B107" s="10"/>
      <c r="C107" s="10"/>
      <c r="D107" s="10"/>
      <c r="E107" s="10"/>
      <c r="F107" s="10"/>
    </row>
    <row r="108" spans="1:6" ht="15" customHeight="1" x14ac:dyDescent="0.25">
      <c r="A108" s="10"/>
      <c r="B108" s="10"/>
      <c r="C108" s="10"/>
      <c r="D108" s="10"/>
      <c r="E108" s="10"/>
      <c r="F108" s="10"/>
    </row>
    <row r="109" spans="1:6" ht="15" customHeight="1" x14ac:dyDescent="0.25">
      <c r="A109" s="10"/>
      <c r="B109" s="10"/>
      <c r="C109" s="10"/>
      <c r="D109" s="10"/>
      <c r="E109" s="10"/>
      <c r="F109" s="10"/>
    </row>
    <row r="110" spans="1:6" ht="15" customHeight="1" x14ac:dyDescent="0.25">
      <c r="A110" s="10"/>
      <c r="B110" s="10"/>
      <c r="C110" s="10"/>
      <c r="D110" s="10"/>
      <c r="E110" s="10"/>
      <c r="F110" s="10"/>
    </row>
    <row r="111" spans="1:6" ht="15" customHeight="1" x14ac:dyDescent="0.25">
      <c r="A111" s="10"/>
      <c r="B111" s="10"/>
      <c r="C111" s="10"/>
      <c r="D111" s="10"/>
      <c r="E111" s="10"/>
      <c r="F111" s="10"/>
    </row>
    <row r="112" spans="1:6" ht="15" customHeight="1" x14ac:dyDescent="0.25">
      <c r="A112" s="10"/>
      <c r="B112" s="10"/>
      <c r="C112" s="10"/>
      <c r="D112" s="10"/>
      <c r="E112" s="10"/>
      <c r="F112" s="10"/>
    </row>
    <row r="113" spans="1:6" ht="15" customHeight="1" x14ac:dyDescent="0.25">
      <c r="A113" s="10"/>
      <c r="B113" s="10"/>
      <c r="C113" s="10"/>
      <c r="D113" s="10"/>
      <c r="E113" s="10"/>
      <c r="F113" s="10"/>
    </row>
    <row r="114" spans="1:6" ht="15" customHeight="1" x14ac:dyDescent="0.25">
      <c r="A114" s="10"/>
      <c r="B114" s="10"/>
      <c r="C114" s="10"/>
      <c r="D114" s="10"/>
      <c r="E114" s="10"/>
      <c r="F114" s="10"/>
    </row>
    <row r="115" spans="1:6" ht="15" customHeight="1" x14ac:dyDescent="0.25">
      <c r="A115" s="10"/>
      <c r="B115" s="10"/>
      <c r="C115" s="10"/>
      <c r="D115" s="10"/>
      <c r="E115" s="10"/>
      <c r="F115" s="10"/>
    </row>
    <row r="116" spans="1:6" ht="15" customHeight="1" x14ac:dyDescent="0.25">
      <c r="A116" s="10"/>
      <c r="B116" s="10"/>
      <c r="C116" s="10"/>
      <c r="D116" s="10"/>
      <c r="E116" s="10"/>
      <c r="F116" s="10"/>
    </row>
    <row r="117" spans="1:6" ht="15" customHeight="1" x14ac:dyDescent="0.25">
      <c r="A117" s="10"/>
      <c r="B117" s="10"/>
      <c r="C117" s="10"/>
      <c r="D117" s="10"/>
      <c r="E117" s="10"/>
      <c r="F117" s="10"/>
    </row>
    <row r="118" spans="1:6" ht="15" customHeight="1" x14ac:dyDescent="0.25">
      <c r="A118" s="10"/>
      <c r="B118" s="10"/>
      <c r="C118" s="10"/>
      <c r="D118" s="10"/>
      <c r="E118" s="10"/>
      <c r="F118" s="10"/>
    </row>
    <row r="119" spans="1:6" ht="15" customHeight="1" x14ac:dyDescent="0.25">
      <c r="A119" s="10"/>
      <c r="B119" s="10"/>
      <c r="C119" s="10"/>
      <c r="D119" s="10"/>
      <c r="E119" s="10"/>
      <c r="F119" s="10"/>
    </row>
    <row r="120" spans="1:6" ht="15" customHeight="1" x14ac:dyDescent="0.25">
      <c r="A120" s="10"/>
      <c r="B120" s="10"/>
      <c r="C120" s="10"/>
      <c r="D120" s="10"/>
      <c r="E120" s="10"/>
      <c r="F120" s="10"/>
    </row>
    <row r="121" spans="1:6" ht="15" customHeight="1" x14ac:dyDescent="0.25">
      <c r="A121" s="10"/>
      <c r="B121" s="10"/>
      <c r="C121" s="10"/>
      <c r="D121" s="10"/>
      <c r="E121" s="10"/>
      <c r="F121" s="10"/>
    </row>
  </sheetData>
  <mergeCells count="2">
    <mergeCell ref="A1:F1"/>
    <mergeCell ref="A2:F2"/>
  </mergeCells>
  <dataValidations count="2">
    <dataValidation type="list" allowBlank="1" sqref="D4:D121" xr:uid="{00000000-0002-0000-0400-000000000000}">
      <formula1>"Nous,Adverse"</formula1>
      <formula2>0</formula2>
    </dataValidation>
    <dataValidation type="list" allowBlank="1" sqref="E4:E121" xr:uid="{00000000-0002-0000-0400-000001000000}">
      <formula1>"Jaune,Rouge"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Matchs!$A$4:$A$31</xm:f>
          </x14:formula1>
          <x14:formula2>
            <xm:f>0</xm:f>
          </x14:formula2>
          <xm:sqref>A4:A121</xm:sqref>
        </x14:dataValidation>
        <x14:dataValidation type="list" allowBlank="1" xr:uid="{00000000-0002-0000-0400-000001000000}">
          <x14:formula1>
            <xm:f>'Effectif Saison'!$E$4:$E$51</xm:f>
          </x14:formula1>
          <x14:formula2>
            <xm:f>0</xm:f>
          </x14:formula2>
          <xm:sqref>C4:C121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00"/>
  <sheetViews>
    <sheetView zoomScaleNormal="100" workbookViewId="0">
      <selection activeCell="E4" sqref="E4"/>
    </sheetView>
  </sheetViews>
  <sheetFormatPr baseColWidth="10" defaultColWidth="8.7109375" defaultRowHeight="15" x14ac:dyDescent="0.25"/>
  <cols>
    <col min="1" max="1" width="10" customWidth="1"/>
    <col min="2" max="2" width="20" customWidth="1"/>
    <col min="3" max="3" width="16" customWidth="1"/>
    <col min="4" max="4" width="12" customWidth="1"/>
    <col min="5" max="5" width="18" customWidth="1"/>
    <col min="6" max="6" width="26" customWidth="1"/>
    <col min="7" max="7" width="18" customWidth="1"/>
  </cols>
  <sheetData>
    <row r="1" spans="1:7" ht="15" customHeight="1" x14ac:dyDescent="0.25">
      <c r="A1" s="25" t="s">
        <v>151</v>
      </c>
      <c r="B1" s="25"/>
      <c r="C1" s="25"/>
      <c r="D1" s="25"/>
      <c r="E1" s="25"/>
      <c r="F1" s="25"/>
    </row>
    <row r="2" spans="1:7" ht="15" customHeight="1" x14ac:dyDescent="0.25">
      <c r="A2" s="24" t="s">
        <v>152</v>
      </c>
      <c r="B2" s="24"/>
      <c r="C2" s="24"/>
      <c r="D2" s="24"/>
      <c r="E2" s="24"/>
      <c r="F2" s="24"/>
    </row>
    <row r="3" spans="1:7" ht="15" customHeight="1" x14ac:dyDescent="0.25">
      <c r="A3" s="12" t="s">
        <v>117</v>
      </c>
      <c r="B3" s="12" t="s">
        <v>15</v>
      </c>
      <c r="C3" s="12" t="s">
        <v>153</v>
      </c>
      <c r="D3" s="12" t="s">
        <v>154</v>
      </c>
      <c r="E3" s="12" t="s">
        <v>155</v>
      </c>
      <c r="F3" s="12" t="s">
        <v>156</v>
      </c>
      <c r="G3" s="17" t="s">
        <v>157</v>
      </c>
    </row>
    <row r="4" spans="1:7" ht="15" customHeight="1" x14ac:dyDescent="0.25">
      <c r="A4" s="4"/>
      <c r="B4" s="4"/>
      <c r="C4" s="4"/>
      <c r="D4" s="4" t="str">
        <f t="shared" ref="D4:D67" si="0">IF(C4="","",IF(C4=0,"Oui","Non"))</f>
        <v>Non</v>
      </c>
      <c r="E4" s="4"/>
      <c r="F4" s="4"/>
      <c r="G4" s="17" t="str">
        <f>IF(A4="","",IF(SUMIFS($C$4:$C$500,$A$4:$A$500,A4)=IFERROR(INDEX(Matchs!$H$4:$H$31,MATCH(A4,Matchs!$A$4:$A$31,0)),""),"OK","⚠ Vérifier vs score adverse"))</f>
        <v>OK</v>
      </c>
    </row>
    <row r="5" spans="1:7" ht="15" customHeight="1" x14ac:dyDescent="0.25">
      <c r="A5" s="4"/>
      <c r="B5" s="4"/>
      <c r="C5" s="4"/>
      <c r="D5" s="4" t="str">
        <f t="shared" si="0"/>
        <v/>
      </c>
      <c r="E5" s="4"/>
      <c r="F5" s="4"/>
      <c r="G5" s="17" t="str">
        <f>IF(A5="","",IF(SUMIFS($C$4:$C$500,$A$4:$A$500,A5)=IFERROR(INDEX(Matchs!$H$4:$H$31,MATCH(A5,Matchs!$A$4:$A$31,0)),""),"OK","⚠ Vérifier vs score adverse"))</f>
        <v/>
      </c>
    </row>
    <row r="6" spans="1:7" ht="15" customHeight="1" x14ac:dyDescent="0.25">
      <c r="A6" s="4"/>
      <c r="B6" s="4"/>
      <c r="C6" s="4"/>
      <c r="D6" s="4" t="str">
        <f t="shared" si="0"/>
        <v/>
      </c>
      <c r="E6" s="4"/>
      <c r="F6" s="4"/>
      <c r="G6" s="17" t="str">
        <f>IF(A6="","",IF(SUMIFS($C$4:$C$500,$A$4:$A$500,A6)=IFERROR(INDEX(Matchs!$H$4:$H$31,MATCH(A6,Matchs!$A$4:$A$31,0)),""),"OK","⚠ Vérifier vs score adverse"))</f>
        <v/>
      </c>
    </row>
    <row r="7" spans="1:7" ht="15" customHeight="1" x14ac:dyDescent="0.25">
      <c r="A7" s="4"/>
      <c r="B7" s="4"/>
      <c r="C7" s="4"/>
      <c r="D7" s="4" t="str">
        <f t="shared" si="0"/>
        <v/>
      </c>
      <c r="E7" s="4"/>
      <c r="F7" s="4"/>
      <c r="G7" s="17" t="str">
        <f>IF(A7="","",IF(SUMIFS($C$4:$C$500,$A$4:$A$500,A7)=IFERROR(INDEX(Matchs!$H$4:$H$31,MATCH(A7,Matchs!$A$4:$A$31,0)),""),"OK","⚠ Vérifier vs score adverse"))</f>
        <v/>
      </c>
    </row>
    <row r="8" spans="1:7" ht="15" customHeight="1" x14ac:dyDescent="0.25">
      <c r="A8" s="4"/>
      <c r="B8" s="4"/>
      <c r="C8" s="4"/>
      <c r="D8" s="4" t="str">
        <f t="shared" si="0"/>
        <v/>
      </c>
      <c r="E8" s="4"/>
      <c r="F8" s="4"/>
      <c r="G8" s="17" t="str">
        <f>IF(A8="","",IF(SUMIFS($C$4:$C$500,$A$4:$A$500,A8)=IFERROR(INDEX(Matchs!$H$4:$H$31,MATCH(A8,Matchs!$A$4:$A$31,0)),""),"OK","⚠ Vérifier vs score adverse"))</f>
        <v/>
      </c>
    </row>
    <row r="9" spans="1:7" ht="15" customHeight="1" x14ac:dyDescent="0.25">
      <c r="A9" s="4"/>
      <c r="B9" s="4"/>
      <c r="C9" s="4"/>
      <c r="D9" s="4" t="str">
        <f t="shared" si="0"/>
        <v/>
      </c>
      <c r="E9" s="4"/>
      <c r="F9" s="4"/>
      <c r="G9" s="17" t="str">
        <f>IF(A9="","",IF(SUMIFS($C$4:$C$500,$A$4:$A$500,A9)=IFERROR(INDEX(Matchs!$H$4:$H$31,MATCH(A9,Matchs!$A$4:$A$31,0)),""),"OK","⚠ Vérifier vs score adverse"))</f>
        <v/>
      </c>
    </row>
    <row r="10" spans="1:7" ht="15" customHeight="1" x14ac:dyDescent="0.25">
      <c r="A10" s="4"/>
      <c r="B10" s="4"/>
      <c r="C10" s="4"/>
      <c r="D10" s="4" t="str">
        <f t="shared" si="0"/>
        <v/>
      </c>
      <c r="E10" s="4"/>
      <c r="F10" s="4"/>
      <c r="G10" s="17" t="str">
        <f>IF(A10="","",IF(SUMIFS($C$4:$C$500,$A$4:$A$500,A10)=IFERROR(INDEX(Matchs!$H$4:$H$31,MATCH(A10,Matchs!$A$4:$A$31,0)),""),"OK","⚠ Vérifier vs score adverse"))</f>
        <v/>
      </c>
    </row>
    <row r="11" spans="1:7" ht="15" customHeight="1" x14ac:dyDescent="0.25">
      <c r="A11" s="4"/>
      <c r="B11" s="4"/>
      <c r="C11" s="4"/>
      <c r="D11" s="4" t="str">
        <f t="shared" si="0"/>
        <v/>
      </c>
      <c r="E11" s="4"/>
      <c r="F11" s="4"/>
      <c r="G11" s="17" t="str">
        <f>IF(A11="","",IF(SUMIFS($C$4:$C$500,$A$4:$A$500,A11)=IFERROR(INDEX(Matchs!$H$4:$H$31,MATCH(A11,Matchs!$A$4:$A$31,0)),""),"OK","⚠ Vérifier vs score adverse"))</f>
        <v/>
      </c>
    </row>
    <row r="12" spans="1:7" ht="15" customHeight="1" x14ac:dyDescent="0.25">
      <c r="A12" s="4"/>
      <c r="B12" s="4"/>
      <c r="C12" s="4"/>
      <c r="D12" s="4" t="str">
        <f t="shared" si="0"/>
        <v/>
      </c>
      <c r="E12" s="4"/>
      <c r="F12" s="4"/>
      <c r="G12" s="17" t="str">
        <f>IF(A12="","",IF(SUMIFS($C$4:$C$500,$A$4:$A$500,A12)=IFERROR(INDEX(Matchs!$H$4:$H$31,MATCH(A12,Matchs!$A$4:$A$31,0)),""),"OK","⚠ Vérifier vs score adverse"))</f>
        <v/>
      </c>
    </row>
    <row r="13" spans="1:7" ht="15" customHeight="1" x14ac:dyDescent="0.25">
      <c r="A13" s="4"/>
      <c r="B13" s="4"/>
      <c r="C13" s="4"/>
      <c r="D13" s="4" t="str">
        <f t="shared" si="0"/>
        <v/>
      </c>
      <c r="E13" s="4"/>
      <c r="F13" s="4"/>
      <c r="G13" s="17" t="str">
        <f>IF(A13="","",IF(SUMIFS($C$4:$C$500,$A$4:$A$500,A13)=IFERROR(INDEX(Matchs!$H$4:$H$31,MATCH(A13,Matchs!$A$4:$A$31,0)),""),"OK","⚠ Vérifier vs score adverse"))</f>
        <v/>
      </c>
    </row>
    <row r="14" spans="1:7" ht="15" customHeight="1" x14ac:dyDescent="0.25">
      <c r="A14" s="4"/>
      <c r="B14" s="4"/>
      <c r="C14" s="4"/>
      <c r="D14" s="4" t="str">
        <f t="shared" si="0"/>
        <v/>
      </c>
      <c r="E14" s="4"/>
      <c r="F14" s="4"/>
      <c r="G14" s="17" t="str">
        <f>IF(A14="","",IF(SUMIFS($C$4:$C$500,$A$4:$A$500,A14)=IFERROR(INDEX(Matchs!$H$4:$H$31,MATCH(A14,Matchs!$A$4:$A$31,0)),""),"OK","⚠ Vérifier vs score adverse"))</f>
        <v/>
      </c>
    </row>
    <row r="15" spans="1:7" ht="15" customHeight="1" x14ac:dyDescent="0.25">
      <c r="A15" s="4"/>
      <c r="B15" s="4"/>
      <c r="C15" s="4"/>
      <c r="D15" s="4" t="str">
        <f t="shared" si="0"/>
        <v/>
      </c>
      <c r="E15" s="4"/>
      <c r="F15" s="4"/>
      <c r="G15" s="17" t="str">
        <f>IF(A15="","",IF(SUMIFS($C$4:$C$500,$A$4:$A$500,A15)=IFERROR(INDEX(Matchs!$H$4:$H$31,MATCH(A15,Matchs!$A$4:$A$31,0)),""),"OK","⚠ Vérifier vs score adverse"))</f>
        <v/>
      </c>
    </row>
    <row r="16" spans="1:7" ht="15" customHeight="1" x14ac:dyDescent="0.25">
      <c r="A16" s="4"/>
      <c r="B16" s="4"/>
      <c r="C16" s="4"/>
      <c r="D16" s="4" t="str">
        <f t="shared" si="0"/>
        <v/>
      </c>
      <c r="E16" s="4"/>
      <c r="F16" s="4"/>
      <c r="G16" s="17" t="str">
        <f>IF(A16="","",IF(SUMIFS($C$4:$C$500,$A$4:$A$500,A16)=IFERROR(INDEX(Matchs!$H$4:$H$31,MATCH(A16,Matchs!$A$4:$A$31,0)),""),"OK","⚠ Vérifier vs score adverse"))</f>
        <v/>
      </c>
    </row>
    <row r="17" spans="1:7" ht="15" customHeight="1" x14ac:dyDescent="0.25">
      <c r="A17" s="4"/>
      <c r="B17" s="4"/>
      <c r="C17" s="4"/>
      <c r="D17" s="4" t="str">
        <f t="shared" si="0"/>
        <v/>
      </c>
      <c r="E17" s="4"/>
      <c r="F17" s="4"/>
      <c r="G17" s="17" t="str">
        <f>IF(A17="","",IF(SUMIFS($C$4:$C$500,$A$4:$A$500,A17)=IFERROR(INDEX(Matchs!$H$4:$H$31,MATCH(A17,Matchs!$A$4:$A$31,0)),""),"OK","⚠ Vérifier vs score adverse"))</f>
        <v/>
      </c>
    </row>
    <row r="18" spans="1:7" ht="15" customHeight="1" x14ac:dyDescent="0.25">
      <c r="A18" s="4"/>
      <c r="B18" s="4"/>
      <c r="C18" s="4"/>
      <c r="D18" s="4" t="str">
        <f t="shared" si="0"/>
        <v/>
      </c>
      <c r="E18" s="4"/>
      <c r="F18" s="4"/>
      <c r="G18" s="17" t="str">
        <f>IF(A18="","",IF(SUMIFS($C$4:$C$500,$A$4:$A$500,A18)=IFERROR(INDEX(Matchs!$H$4:$H$31,MATCH(A18,Matchs!$A$4:$A$31,0)),""),"OK","⚠ Vérifier vs score adverse"))</f>
        <v/>
      </c>
    </row>
    <row r="19" spans="1:7" ht="15" customHeight="1" x14ac:dyDescent="0.25">
      <c r="A19" s="4"/>
      <c r="B19" s="4"/>
      <c r="C19" s="4"/>
      <c r="D19" s="4" t="str">
        <f t="shared" si="0"/>
        <v/>
      </c>
      <c r="E19" s="4"/>
      <c r="F19" s="4"/>
      <c r="G19" s="17" t="str">
        <f>IF(A19="","",IF(SUMIFS($C$4:$C$500,$A$4:$A$500,A19)=IFERROR(INDEX(Matchs!$H$4:$H$31,MATCH(A19,Matchs!$A$4:$A$31,0)),""),"OK","⚠ Vérifier vs score adverse"))</f>
        <v/>
      </c>
    </row>
    <row r="20" spans="1:7" ht="15" customHeight="1" x14ac:dyDescent="0.25">
      <c r="A20" s="4"/>
      <c r="B20" s="4"/>
      <c r="C20" s="4"/>
      <c r="D20" s="4" t="str">
        <f t="shared" si="0"/>
        <v/>
      </c>
      <c r="E20" s="4"/>
      <c r="F20" s="4"/>
      <c r="G20" s="17" t="str">
        <f>IF(A20="","",IF(SUMIFS($C$4:$C$500,$A$4:$A$500,A20)=IFERROR(INDEX(Matchs!$H$4:$H$31,MATCH(A20,Matchs!$A$4:$A$31,0)),""),"OK","⚠ Vérifier vs score adverse"))</f>
        <v/>
      </c>
    </row>
    <row r="21" spans="1:7" ht="15" customHeight="1" x14ac:dyDescent="0.25">
      <c r="A21" s="4"/>
      <c r="B21" s="4"/>
      <c r="C21" s="4"/>
      <c r="D21" s="4" t="str">
        <f t="shared" si="0"/>
        <v/>
      </c>
      <c r="E21" s="4"/>
      <c r="F21" s="4"/>
      <c r="G21" s="17" t="str">
        <f>IF(A21="","",IF(SUMIFS($C$4:$C$500,$A$4:$A$500,A21)=IFERROR(INDEX(Matchs!$H$4:$H$31,MATCH(A21,Matchs!$A$4:$A$31,0)),""),"OK","⚠ Vérifier vs score adverse"))</f>
        <v/>
      </c>
    </row>
    <row r="22" spans="1:7" ht="15" customHeight="1" x14ac:dyDescent="0.25">
      <c r="A22" s="4"/>
      <c r="B22" s="4"/>
      <c r="C22" s="4"/>
      <c r="D22" s="4" t="str">
        <f t="shared" si="0"/>
        <v/>
      </c>
      <c r="E22" s="4"/>
      <c r="F22" s="4"/>
      <c r="G22" s="17" t="str">
        <f>IF(A22="","",IF(SUMIFS($C$4:$C$500,$A$4:$A$500,A22)=IFERROR(INDEX(Matchs!$H$4:$H$31,MATCH(A22,Matchs!$A$4:$A$31,0)),""),"OK","⚠ Vérifier vs score adverse"))</f>
        <v/>
      </c>
    </row>
    <row r="23" spans="1:7" ht="15" customHeight="1" x14ac:dyDescent="0.25">
      <c r="A23" s="4"/>
      <c r="B23" s="4"/>
      <c r="C23" s="4"/>
      <c r="D23" s="4" t="str">
        <f t="shared" si="0"/>
        <v/>
      </c>
      <c r="E23" s="4"/>
      <c r="F23" s="4"/>
      <c r="G23" s="17" t="str">
        <f>IF(A23="","",IF(SUMIFS($C$4:$C$500,$A$4:$A$500,A23)=IFERROR(INDEX(Matchs!$H$4:$H$31,MATCH(A23,Matchs!$A$4:$A$31,0)),""),"OK","⚠ Vérifier vs score adverse"))</f>
        <v/>
      </c>
    </row>
    <row r="24" spans="1:7" ht="15" customHeight="1" x14ac:dyDescent="0.25">
      <c r="A24" s="4"/>
      <c r="B24" s="4"/>
      <c r="C24" s="4"/>
      <c r="D24" s="4" t="str">
        <f t="shared" si="0"/>
        <v/>
      </c>
      <c r="E24" s="4"/>
      <c r="F24" s="4"/>
      <c r="G24" s="17" t="str">
        <f>IF(A24="","",IF(SUMIFS($C$4:$C$500,$A$4:$A$500,A24)=IFERROR(INDEX(Matchs!$H$4:$H$31,MATCH(A24,Matchs!$A$4:$A$31,0)),""),"OK","⚠ Vérifier vs score adverse"))</f>
        <v/>
      </c>
    </row>
    <row r="25" spans="1:7" ht="15" customHeight="1" x14ac:dyDescent="0.25">
      <c r="A25" s="4"/>
      <c r="B25" s="4"/>
      <c r="C25" s="4"/>
      <c r="D25" s="4" t="str">
        <f t="shared" si="0"/>
        <v/>
      </c>
      <c r="E25" s="4"/>
      <c r="F25" s="4"/>
      <c r="G25" s="17" t="str">
        <f>IF(A25="","",IF(SUMIFS($C$4:$C$500,$A$4:$A$500,A25)=IFERROR(INDEX(Matchs!$H$4:$H$31,MATCH(A25,Matchs!$A$4:$A$31,0)),""),"OK","⚠ Vérifier vs score adverse"))</f>
        <v/>
      </c>
    </row>
    <row r="26" spans="1:7" ht="15" customHeight="1" x14ac:dyDescent="0.25">
      <c r="A26" s="4"/>
      <c r="B26" s="4"/>
      <c r="C26" s="4"/>
      <c r="D26" s="4" t="str">
        <f t="shared" si="0"/>
        <v/>
      </c>
      <c r="E26" s="4"/>
      <c r="F26" s="4"/>
      <c r="G26" s="17" t="str">
        <f>IF(A26="","",IF(SUMIFS($C$4:$C$500,$A$4:$A$500,A26)=IFERROR(INDEX(Matchs!$H$4:$H$31,MATCH(A26,Matchs!$A$4:$A$31,0)),""),"OK","⚠ Vérifier vs score adverse"))</f>
        <v/>
      </c>
    </row>
    <row r="27" spans="1:7" ht="15" customHeight="1" x14ac:dyDescent="0.25">
      <c r="A27" s="4"/>
      <c r="B27" s="4"/>
      <c r="C27" s="4"/>
      <c r="D27" s="4" t="str">
        <f t="shared" si="0"/>
        <v/>
      </c>
      <c r="E27" s="4"/>
      <c r="F27" s="4"/>
      <c r="G27" s="17" t="str">
        <f>IF(A27="","",IF(SUMIFS($C$4:$C$500,$A$4:$A$500,A27)=IFERROR(INDEX(Matchs!$H$4:$H$31,MATCH(A27,Matchs!$A$4:$A$31,0)),""),"OK","⚠ Vérifier vs score adverse"))</f>
        <v/>
      </c>
    </row>
    <row r="28" spans="1:7" ht="15" customHeight="1" x14ac:dyDescent="0.25">
      <c r="A28" s="4"/>
      <c r="B28" s="4"/>
      <c r="C28" s="4"/>
      <c r="D28" s="4" t="str">
        <f t="shared" si="0"/>
        <v/>
      </c>
      <c r="E28" s="4"/>
      <c r="F28" s="4"/>
      <c r="G28" s="17" t="str">
        <f>IF(A28="","",IF(SUMIFS($C$4:$C$500,$A$4:$A$500,A28)=IFERROR(INDEX(Matchs!$H$4:$H$31,MATCH(A28,Matchs!$A$4:$A$31,0)),""),"OK","⚠ Vérifier vs score adverse"))</f>
        <v/>
      </c>
    </row>
    <row r="29" spans="1:7" ht="15" customHeight="1" x14ac:dyDescent="0.25">
      <c r="A29" s="4"/>
      <c r="B29" s="4"/>
      <c r="C29" s="4"/>
      <c r="D29" s="4" t="str">
        <f t="shared" si="0"/>
        <v/>
      </c>
      <c r="E29" s="4"/>
      <c r="F29" s="4"/>
      <c r="G29" s="17" t="str">
        <f>IF(A29="","",IF(SUMIFS($C$4:$C$500,$A$4:$A$500,A29)=IFERROR(INDEX(Matchs!$H$4:$H$31,MATCH(A29,Matchs!$A$4:$A$31,0)),""),"OK","⚠ Vérifier vs score adverse"))</f>
        <v/>
      </c>
    </row>
    <row r="30" spans="1:7" ht="15" customHeight="1" x14ac:dyDescent="0.25">
      <c r="A30" s="4"/>
      <c r="B30" s="4"/>
      <c r="C30" s="4"/>
      <c r="D30" s="4" t="str">
        <f t="shared" si="0"/>
        <v/>
      </c>
      <c r="E30" s="4"/>
      <c r="F30" s="4"/>
      <c r="G30" s="17" t="str">
        <f>IF(A30="","",IF(SUMIFS($C$4:$C$500,$A$4:$A$500,A30)=IFERROR(INDEX(Matchs!$H$4:$H$31,MATCH(A30,Matchs!$A$4:$A$31,0)),""),"OK","⚠ Vérifier vs score adverse"))</f>
        <v/>
      </c>
    </row>
    <row r="31" spans="1:7" ht="15" customHeight="1" x14ac:dyDescent="0.25">
      <c r="A31" s="4"/>
      <c r="B31" s="4"/>
      <c r="C31" s="4"/>
      <c r="D31" s="4" t="str">
        <f t="shared" si="0"/>
        <v/>
      </c>
      <c r="E31" s="4"/>
      <c r="F31" s="4"/>
      <c r="G31" s="17" t="str">
        <f>IF(A31="","",IF(SUMIFS($C$4:$C$500,$A$4:$A$500,A31)=IFERROR(INDEX(Matchs!$H$4:$H$31,MATCH(A31,Matchs!$A$4:$A$31,0)),""),"OK","⚠ Vérifier vs score adverse"))</f>
        <v/>
      </c>
    </row>
    <row r="32" spans="1:7" ht="15" customHeight="1" x14ac:dyDescent="0.25">
      <c r="A32" s="4"/>
      <c r="B32" s="4"/>
      <c r="C32" s="4"/>
      <c r="D32" s="4" t="str">
        <f t="shared" si="0"/>
        <v/>
      </c>
      <c r="E32" s="4"/>
      <c r="F32" s="4"/>
      <c r="G32" s="17" t="str">
        <f>IF(A32="","",IF(SUMIFS($C$4:$C$500,$A$4:$A$500,A32)=IFERROR(INDEX(Matchs!$H$4:$H$31,MATCH(A32,Matchs!$A$4:$A$31,0)),""),"OK","⚠ Vérifier vs score adverse"))</f>
        <v/>
      </c>
    </row>
    <row r="33" spans="1:7" ht="15" customHeight="1" x14ac:dyDescent="0.25">
      <c r="A33" s="4"/>
      <c r="B33" s="4"/>
      <c r="C33" s="4"/>
      <c r="D33" s="4" t="str">
        <f t="shared" si="0"/>
        <v/>
      </c>
      <c r="E33" s="4"/>
      <c r="F33" s="4"/>
      <c r="G33" s="17" t="str">
        <f>IF(A33="","",IF(SUMIFS($C$4:$C$500,$A$4:$A$500,A33)=IFERROR(INDEX(Matchs!$H$4:$H$31,MATCH(A33,Matchs!$A$4:$A$31,0)),""),"OK","⚠ Vérifier vs score adverse"))</f>
        <v/>
      </c>
    </row>
    <row r="34" spans="1:7" ht="15" customHeight="1" x14ac:dyDescent="0.25">
      <c r="A34" s="4"/>
      <c r="B34" s="4"/>
      <c r="C34" s="4"/>
      <c r="D34" s="4" t="str">
        <f t="shared" si="0"/>
        <v/>
      </c>
      <c r="E34" s="4"/>
      <c r="F34" s="4"/>
      <c r="G34" s="17" t="str">
        <f>IF(A34="","",IF(SUMIFS($C$4:$C$500,$A$4:$A$500,A34)=IFERROR(INDEX(Matchs!$H$4:$H$31,MATCH(A34,Matchs!$A$4:$A$31,0)),""),"OK","⚠ Vérifier vs score adverse"))</f>
        <v/>
      </c>
    </row>
    <row r="35" spans="1:7" ht="15" customHeight="1" x14ac:dyDescent="0.25">
      <c r="A35" s="4"/>
      <c r="B35" s="4"/>
      <c r="C35" s="4"/>
      <c r="D35" s="4" t="str">
        <f t="shared" si="0"/>
        <v/>
      </c>
      <c r="E35" s="4"/>
      <c r="F35" s="4"/>
      <c r="G35" s="17" t="str">
        <f>IF(A35="","",IF(SUMIFS($C$4:$C$500,$A$4:$A$500,A35)=IFERROR(INDEX(Matchs!$H$4:$H$31,MATCH(A35,Matchs!$A$4:$A$31,0)),""),"OK","⚠ Vérifier vs score adverse"))</f>
        <v/>
      </c>
    </row>
    <row r="36" spans="1:7" ht="15" customHeight="1" x14ac:dyDescent="0.25">
      <c r="A36" s="4"/>
      <c r="B36" s="4"/>
      <c r="C36" s="4"/>
      <c r="D36" s="4" t="str">
        <f t="shared" si="0"/>
        <v/>
      </c>
      <c r="E36" s="4"/>
      <c r="F36" s="4"/>
      <c r="G36" s="17" t="str">
        <f>IF(A36="","",IF(SUMIFS($C$4:$C$500,$A$4:$A$500,A36)=IFERROR(INDEX(Matchs!$H$4:$H$31,MATCH(A36,Matchs!$A$4:$A$31,0)),""),"OK","⚠ Vérifier vs score adverse"))</f>
        <v/>
      </c>
    </row>
    <row r="37" spans="1:7" ht="15" customHeight="1" x14ac:dyDescent="0.25">
      <c r="A37" s="4"/>
      <c r="B37" s="4"/>
      <c r="C37" s="4"/>
      <c r="D37" s="4" t="str">
        <f t="shared" si="0"/>
        <v/>
      </c>
      <c r="E37" s="4"/>
      <c r="F37" s="4"/>
      <c r="G37" s="17" t="str">
        <f>IF(A37="","",IF(SUMIFS($C$4:$C$500,$A$4:$A$500,A37)=IFERROR(INDEX(Matchs!$H$4:$H$31,MATCH(A37,Matchs!$A$4:$A$31,0)),""),"OK","⚠ Vérifier vs score adverse"))</f>
        <v/>
      </c>
    </row>
    <row r="38" spans="1:7" ht="15" customHeight="1" x14ac:dyDescent="0.25">
      <c r="A38" s="4"/>
      <c r="B38" s="4"/>
      <c r="C38" s="4"/>
      <c r="D38" s="4" t="str">
        <f t="shared" si="0"/>
        <v/>
      </c>
      <c r="E38" s="4"/>
      <c r="F38" s="4"/>
      <c r="G38" s="17" t="str">
        <f>IF(A38="","",IF(SUMIFS($C$4:$C$500,$A$4:$A$500,A38)=IFERROR(INDEX(Matchs!$H$4:$H$31,MATCH(A38,Matchs!$A$4:$A$31,0)),""),"OK","⚠ Vérifier vs score adverse"))</f>
        <v/>
      </c>
    </row>
    <row r="39" spans="1:7" ht="15" customHeight="1" x14ac:dyDescent="0.25">
      <c r="A39" s="4"/>
      <c r="B39" s="4"/>
      <c r="C39" s="4"/>
      <c r="D39" s="4" t="str">
        <f t="shared" si="0"/>
        <v/>
      </c>
      <c r="E39" s="4"/>
      <c r="F39" s="4"/>
      <c r="G39" s="17" t="str">
        <f>IF(A39="","",IF(SUMIFS($C$4:$C$500,$A$4:$A$500,A39)=IFERROR(INDEX(Matchs!$H$4:$H$31,MATCH(A39,Matchs!$A$4:$A$31,0)),""),"OK","⚠ Vérifier vs score adverse"))</f>
        <v/>
      </c>
    </row>
    <row r="40" spans="1:7" ht="15" customHeight="1" x14ac:dyDescent="0.25">
      <c r="A40" s="4"/>
      <c r="B40" s="4"/>
      <c r="C40" s="4"/>
      <c r="D40" s="4" t="str">
        <f t="shared" si="0"/>
        <v/>
      </c>
      <c r="E40" s="4"/>
      <c r="F40" s="4"/>
      <c r="G40" s="17" t="str">
        <f>IF(A40="","",IF(SUMIFS($C$4:$C$500,$A$4:$A$500,A40)=IFERROR(INDEX(Matchs!$H$4:$H$31,MATCH(A40,Matchs!$A$4:$A$31,0)),""),"OK","⚠ Vérifier vs score adverse"))</f>
        <v/>
      </c>
    </row>
    <row r="41" spans="1:7" ht="15" customHeight="1" x14ac:dyDescent="0.25">
      <c r="A41" s="4"/>
      <c r="B41" s="4"/>
      <c r="C41" s="4"/>
      <c r="D41" s="4" t="str">
        <f t="shared" si="0"/>
        <v/>
      </c>
      <c r="E41" s="4"/>
      <c r="F41" s="4"/>
      <c r="G41" s="17" t="str">
        <f>IF(A41="","",IF(SUMIFS($C$4:$C$500,$A$4:$A$500,A41)=IFERROR(INDEX(Matchs!$H$4:$H$31,MATCH(A41,Matchs!$A$4:$A$31,0)),""),"OK","⚠ Vérifier vs score adverse"))</f>
        <v/>
      </c>
    </row>
    <row r="42" spans="1:7" ht="15" customHeight="1" x14ac:dyDescent="0.25">
      <c r="A42" s="4"/>
      <c r="B42" s="4"/>
      <c r="C42" s="4"/>
      <c r="D42" s="4" t="str">
        <f t="shared" si="0"/>
        <v/>
      </c>
      <c r="E42" s="4"/>
      <c r="F42" s="4"/>
      <c r="G42" s="17" t="str">
        <f>IF(A42="","",IF(SUMIFS($C$4:$C$500,$A$4:$A$500,A42)=IFERROR(INDEX(Matchs!$H$4:$H$31,MATCH(A42,Matchs!$A$4:$A$31,0)),""),"OK","⚠ Vérifier vs score adverse"))</f>
        <v/>
      </c>
    </row>
    <row r="43" spans="1:7" ht="15" customHeight="1" x14ac:dyDescent="0.25">
      <c r="A43" s="4"/>
      <c r="B43" s="4"/>
      <c r="C43" s="4"/>
      <c r="D43" s="4" t="str">
        <f t="shared" si="0"/>
        <v/>
      </c>
      <c r="E43" s="4"/>
      <c r="F43" s="4"/>
      <c r="G43" s="17" t="str">
        <f>IF(A43="","",IF(SUMIFS($C$4:$C$500,$A$4:$A$500,A43)=IFERROR(INDEX(Matchs!$H$4:$H$31,MATCH(A43,Matchs!$A$4:$A$31,0)),""),"OK","⚠ Vérifier vs score adverse"))</f>
        <v/>
      </c>
    </row>
    <row r="44" spans="1:7" ht="15" customHeight="1" x14ac:dyDescent="0.25">
      <c r="A44" s="4"/>
      <c r="B44" s="4"/>
      <c r="C44" s="4"/>
      <c r="D44" s="4" t="str">
        <f t="shared" si="0"/>
        <v/>
      </c>
      <c r="E44" s="4"/>
      <c r="F44" s="4"/>
      <c r="G44" s="17" t="str">
        <f>IF(A44="","",IF(SUMIFS($C$4:$C$500,$A$4:$A$500,A44)=IFERROR(INDEX(Matchs!$H$4:$H$31,MATCH(A44,Matchs!$A$4:$A$31,0)),""),"OK","⚠ Vérifier vs score adverse"))</f>
        <v/>
      </c>
    </row>
    <row r="45" spans="1:7" ht="15" customHeight="1" x14ac:dyDescent="0.25">
      <c r="A45" s="4"/>
      <c r="B45" s="4"/>
      <c r="C45" s="4"/>
      <c r="D45" s="4" t="str">
        <f t="shared" si="0"/>
        <v/>
      </c>
      <c r="E45" s="4"/>
      <c r="F45" s="4"/>
      <c r="G45" s="17" t="str">
        <f>IF(A45="","",IF(SUMIFS($C$4:$C$500,$A$4:$A$500,A45)=IFERROR(INDEX(Matchs!$H$4:$H$31,MATCH(A45,Matchs!$A$4:$A$31,0)),""),"OK","⚠ Vérifier vs score adverse"))</f>
        <v/>
      </c>
    </row>
    <row r="46" spans="1:7" ht="15" customHeight="1" x14ac:dyDescent="0.25">
      <c r="A46" s="4"/>
      <c r="B46" s="4"/>
      <c r="C46" s="4"/>
      <c r="D46" s="4" t="str">
        <f t="shared" si="0"/>
        <v/>
      </c>
      <c r="E46" s="4"/>
      <c r="F46" s="4"/>
      <c r="G46" s="17" t="str">
        <f>IF(A46="","",IF(SUMIFS($C$4:$C$500,$A$4:$A$500,A46)=IFERROR(INDEX(Matchs!$H$4:$H$31,MATCH(A46,Matchs!$A$4:$A$31,0)),""),"OK","⚠ Vérifier vs score adverse"))</f>
        <v/>
      </c>
    </row>
    <row r="47" spans="1:7" ht="15" customHeight="1" x14ac:dyDescent="0.25">
      <c r="A47" s="4"/>
      <c r="B47" s="4"/>
      <c r="C47" s="4"/>
      <c r="D47" s="4" t="str">
        <f t="shared" si="0"/>
        <v/>
      </c>
      <c r="E47" s="4"/>
      <c r="F47" s="4"/>
      <c r="G47" s="17" t="str">
        <f>IF(A47="","",IF(SUMIFS($C$4:$C$500,$A$4:$A$500,A47)=IFERROR(INDEX(Matchs!$H$4:$H$31,MATCH(A47,Matchs!$A$4:$A$31,0)),""),"OK","⚠ Vérifier vs score adverse"))</f>
        <v/>
      </c>
    </row>
    <row r="48" spans="1:7" ht="15" customHeight="1" x14ac:dyDescent="0.25">
      <c r="A48" s="4"/>
      <c r="B48" s="4"/>
      <c r="C48" s="4"/>
      <c r="D48" s="4" t="str">
        <f t="shared" si="0"/>
        <v/>
      </c>
      <c r="E48" s="4"/>
      <c r="F48" s="4"/>
      <c r="G48" s="17" t="str">
        <f>IF(A48="","",IF(SUMIFS($C$4:$C$500,$A$4:$A$500,A48)=IFERROR(INDEX(Matchs!$H$4:$H$31,MATCH(A48,Matchs!$A$4:$A$31,0)),""),"OK","⚠ Vérifier vs score adverse"))</f>
        <v/>
      </c>
    </row>
    <row r="49" spans="1:7" ht="15" customHeight="1" x14ac:dyDescent="0.25">
      <c r="A49" s="4"/>
      <c r="B49" s="4"/>
      <c r="C49" s="4"/>
      <c r="D49" s="4" t="str">
        <f t="shared" si="0"/>
        <v/>
      </c>
      <c r="E49" s="4"/>
      <c r="F49" s="4"/>
      <c r="G49" s="17" t="str">
        <f>IF(A49="","",IF(SUMIFS($C$4:$C$500,$A$4:$A$500,A49)=IFERROR(INDEX(Matchs!$H$4:$H$31,MATCH(A49,Matchs!$A$4:$A$31,0)),""),"OK","⚠ Vérifier vs score adverse"))</f>
        <v/>
      </c>
    </row>
    <row r="50" spans="1:7" ht="15" customHeight="1" x14ac:dyDescent="0.25">
      <c r="A50" s="4"/>
      <c r="B50" s="4"/>
      <c r="C50" s="4"/>
      <c r="D50" s="4" t="str">
        <f t="shared" si="0"/>
        <v/>
      </c>
      <c r="E50" s="4"/>
      <c r="F50" s="4"/>
      <c r="G50" s="17" t="str">
        <f>IF(A50="","",IF(SUMIFS($C$4:$C$500,$A$4:$A$500,A50)=IFERROR(INDEX(Matchs!$H$4:$H$31,MATCH(A50,Matchs!$A$4:$A$31,0)),""),"OK","⚠ Vérifier vs score adverse"))</f>
        <v/>
      </c>
    </row>
    <row r="51" spans="1:7" ht="15" customHeight="1" x14ac:dyDescent="0.25">
      <c r="A51" s="4"/>
      <c r="B51" s="4"/>
      <c r="C51" s="4"/>
      <c r="D51" s="4" t="str">
        <f t="shared" si="0"/>
        <v/>
      </c>
      <c r="E51" s="4"/>
      <c r="F51" s="4"/>
      <c r="G51" s="17" t="str">
        <f>IF(A51="","",IF(SUMIFS($C$4:$C$500,$A$4:$A$500,A51)=IFERROR(INDEX(Matchs!$H$4:$H$31,MATCH(A51,Matchs!$A$4:$A$31,0)),""),"OK","⚠ Vérifier vs score adverse"))</f>
        <v/>
      </c>
    </row>
    <row r="52" spans="1:7" ht="15" customHeight="1" x14ac:dyDescent="0.25">
      <c r="A52" s="4"/>
      <c r="B52" s="4"/>
      <c r="C52" s="4"/>
      <c r="D52" s="4" t="str">
        <f t="shared" si="0"/>
        <v/>
      </c>
      <c r="E52" s="4"/>
      <c r="F52" s="4"/>
      <c r="G52" s="17" t="str">
        <f>IF(A52="","",IF(SUMIFS($C$4:$C$500,$A$4:$A$500,A52)=IFERROR(INDEX(Matchs!$H$4:$H$31,MATCH(A52,Matchs!$A$4:$A$31,0)),""),"OK","⚠ Vérifier vs score adverse"))</f>
        <v/>
      </c>
    </row>
    <row r="53" spans="1:7" ht="15" customHeight="1" x14ac:dyDescent="0.25">
      <c r="A53" s="4"/>
      <c r="B53" s="4"/>
      <c r="C53" s="4"/>
      <c r="D53" s="4" t="str">
        <f t="shared" si="0"/>
        <v/>
      </c>
      <c r="E53" s="4"/>
      <c r="F53" s="4"/>
      <c r="G53" s="17" t="str">
        <f>IF(A53="","",IF(SUMIFS($C$4:$C$500,$A$4:$A$500,A53)=IFERROR(INDEX(Matchs!$H$4:$H$31,MATCH(A53,Matchs!$A$4:$A$31,0)),""),"OK","⚠ Vérifier vs score adverse"))</f>
        <v/>
      </c>
    </row>
    <row r="54" spans="1:7" ht="15" customHeight="1" x14ac:dyDescent="0.25">
      <c r="A54" s="4"/>
      <c r="B54" s="4"/>
      <c r="C54" s="4"/>
      <c r="D54" s="4" t="str">
        <f t="shared" si="0"/>
        <v/>
      </c>
      <c r="E54" s="4"/>
      <c r="F54" s="4"/>
      <c r="G54" s="17" t="str">
        <f>IF(A54="","",IF(SUMIFS($C$4:$C$500,$A$4:$A$500,A54)=IFERROR(INDEX(Matchs!$H$4:$H$31,MATCH(A54,Matchs!$A$4:$A$31,0)),""),"OK","⚠ Vérifier vs score adverse"))</f>
        <v/>
      </c>
    </row>
    <row r="55" spans="1:7" ht="15" customHeight="1" x14ac:dyDescent="0.25">
      <c r="A55" s="4"/>
      <c r="B55" s="4"/>
      <c r="C55" s="4"/>
      <c r="D55" s="4" t="str">
        <f t="shared" si="0"/>
        <v/>
      </c>
      <c r="E55" s="4"/>
      <c r="F55" s="4"/>
      <c r="G55" s="17" t="str">
        <f>IF(A55="","",IF(SUMIFS($C$4:$C$500,$A$4:$A$500,A55)=IFERROR(INDEX(Matchs!$H$4:$H$31,MATCH(A55,Matchs!$A$4:$A$31,0)),""),"OK","⚠ Vérifier vs score adverse"))</f>
        <v/>
      </c>
    </row>
    <row r="56" spans="1:7" ht="15" customHeight="1" x14ac:dyDescent="0.25">
      <c r="A56" s="4"/>
      <c r="B56" s="4"/>
      <c r="C56" s="4"/>
      <c r="D56" s="4" t="str">
        <f t="shared" si="0"/>
        <v/>
      </c>
      <c r="E56" s="4"/>
      <c r="F56" s="4"/>
      <c r="G56" s="17" t="str">
        <f>IF(A56="","",IF(SUMIFS($C$4:$C$500,$A$4:$A$500,A56)=IFERROR(INDEX(Matchs!$H$4:$H$31,MATCH(A56,Matchs!$A$4:$A$31,0)),""),"OK","⚠ Vérifier vs score adverse"))</f>
        <v/>
      </c>
    </row>
    <row r="57" spans="1:7" ht="15" customHeight="1" x14ac:dyDescent="0.25">
      <c r="A57" s="4"/>
      <c r="B57" s="4"/>
      <c r="C57" s="4"/>
      <c r="D57" s="4" t="str">
        <f t="shared" si="0"/>
        <v/>
      </c>
      <c r="E57" s="4"/>
      <c r="F57" s="4"/>
      <c r="G57" s="17" t="str">
        <f>IF(A57="","",IF(SUMIFS($C$4:$C$500,$A$4:$A$500,A57)=IFERROR(INDEX(Matchs!$H$4:$H$31,MATCH(A57,Matchs!$A$4:$A$31,0)),""),"OK","⚠ Vérifier vs score adverse"))</f>
        <v/>
      </c>
    </row>
    <row r="58" spans="1:7" ht="15" customHeight="1" x14ac:dyDescent="0.25">
      <c r="A58" s="4"/>
      <c r="B58" s="4"/>
      <c r="C58" s="4"/>
      <c r="D58" s="4" t="str">
        <f t="shared" si="0"/>
        <v/>
      </c>
      <c r="E58" s="4"/>
      <c r="F58" s="4"/>
      <c r="G58" s="17" t="str">
        <f>IF(A58="","",IF(SUMIFS($C$4:$C$500,$A$4:$A$500,A58)=IFERROR(INDEX(Matchs!$H$4:$H$31,MATCH(A58,Matchs!$A$4:$A$31,0)),""),"OK","⚠ Vérifier vs score adverse"))</f>
        <v/>
      </c>
    </row>
    <row r="59" spans="1:7" ht="15" customHeight="1" x14ac:dyDescent="0.25">
      <c r="A59" s="4"/>
      <c r="B59" s="4"/>
      <c r="C59" s="4"/>
      <c r="D59" s="4" t="str">
        <f t="shared" si="0"/>
        <v/>
      </c>
      <c r="E59" s="4"/>
      <c r="F59" s="4"/>
      <c r="G59" s="17" t="str">
        <f>IF(A59="","",IF(SUMIFS($C$4:$C$500,$A$4:$A$500,A59)=IFERROR(INDEX(Matchs!$H$4:$H$31,MATCH(A59,Matchs!$A$4:$A$31,0)),""),"OK","⚠ Vérifier vs score adverse"))</f>
        <v/>
      </c>
    </row>
    <row r="60" spans="1:7" ht="15" customHeight="1" x14ac:dyDescent="0.25">
      <c r="A60" s="4"/>
      <c r="B60" s="4"/>
      <c r="C60" s="4"/>
      <c r="D60" s="4" t="str">
        <f t="shared" si="0"/>
        <v/>
      </c>
      <c r="E60" s="4"/>
      <c r="F60" s="4"/>
      <c r="G60" s="17" t="str">
        <f>IF(A60="","",IF(SUMIFS($C$4:$C$500,$A$4:$A$500,A60)=IFERROR(INDEX(Matchs!$H$4:$H$31,MATCH(A60,Matchs!$A$4:$A$31,0)),""),"OK","⚠ Vérifier vs score adverse"))</f>
        <v/>
      </c>
    </row>
    <row r="61" spans="1:7" ht="15" customHeight="1" x14ac:dyDescent="0.25">
      <c r="A61" s="4"/>
      <c r="B61" s="4"/>
      <c r="C61" s="4"/>
      <c r="D61" s="4" t="str">
        <f t="shared" si="0"/>
        <v/>
      </c>
      <c r="E61" s="4"/>
      <c r="F61" s="4"/>
      <c r="G61" s="17" t="str">
        <f>IF(A61="","",IF(SUMIFS($C$4:$C$500,$A$4:$A$500,A61)=IFERROR(INDEX(Matchs!$H$4:$H$31,MATCH(A61,Matchs!$A$4:$A$31,0)),""),"OK","⚠ Vérifier vs score adverse"))</f>
        <v/>
      </c>
    </row>
    <row r="62" spans="1:7" ht="15" customHeight="1" x14ac:dyDescent="0.25">
      <c r="A62" s="4"/>
      <c r="B62" s="4"/>
      <c r="C62" s="4"/>
      <c r="D62" s="4" t="str">
        <f t="shared" si="0"/>
        <v/>
      </c>
      <c r="E62" s="4"/>
      <c r="F62" s="4"/>
      <c r="G62" s="17" t="str">
        <f>IF(A62="","",IF(SUMIFS($C$4:$C$500,$A$4:$A$500,A62)=IFERROR(INDEX(Matchs!$H$4:$H$31,MATCH(A62,Matchs!$A$4:$A$31,0)),""),"OK","⚠ Vérifier vs score adverse"))</f>
        <v/>
      </c>
    </row>
    <row r="63" spans="1:7" ht="15" customHeight="1" x14ac:dyDescent="0.25">
      <c r="A63" s="4"/>
      <c r="B63" s="4"/>
      <c r="C63" s="4"/>
      <c r="D63" s="4" t="str">
        <f t="shared" si="0"/>
        <v/>
      </c>
      <c r="E63" s="4"/>
      <c r="F63" s="4"/>
      <c r="G63" s="17" t="str">
        <f>IF(A63="","",IF(SUMIFS($C$4:$C$500,$A$4:$A$500,A63)=IFERROR(INDEX(Matchs!$H$4:$H$31,MATCH(A63,Matchs!$A$4:$A$31,0)),""),"OK","⚠ Vérifier vs score adverse"))</f>
        <v/>
      </c>
    </row>
    <row r="64" spans="1:7" ht="15" customHeight="1" x14ac:dyDescent="0.25">
      <c r="A64" s="4"/>
      <c r="B64" s="4"/>
      <c r="C64" s="4"/>
      <c r="D64" s="4" t="str">
        <f t="shared" si="0"/>
        <v/>
      </c>
      <c r="E64" s="4"/>
      <c r="F64" s="4"/>
      <c r="G64" s="17" t="str">
        <f>IF(A64="","",IF(SUMIFS($C$4:$C$500,$A$4:$A$500,A64)=IFERROR(INDEX(Matchs!$H$4:$H$31,MATCH(A64,Matchs!$A$4:$A$31,0)),""),"OK","⚠ Vérifier vs score adverse"))</f>
        <v/>
      </c>
    </row>
    <row r="65" spans="1:7" ht="15" customHeight="1" x14ac:dyDescent="0.25">
      <c r="A65" s="4"/>
      <c r="B65" s="4"/>
      <c r="C65" s="4"/>
      <c r="D65" s="4" t="str">
        <f t="shared" si="0"/>
        <v/>
      </c>
      <c r="E65" s="4"/>
      <c r="F65" s="4"/>
      <c r="G65" s="17" t="str">
        <f>IF(A65="","",IF(SUMIFS($C$4:$C$500,$A$4:$A$500,A65)=IFERROR(INDEX(Matchs!$H$4:$H$31,MATCH(A65,Matchs!$A$4:$A$31,0)),""),"OK","⚠ Vérifier vs score adverse"))</f>
        <v/>
      </c>
    </row>
    <row r="66" spans="1:7" ht="15" customHeight="1" x14ac:dyDescent="0.25">
      <c r="A66" s="4"/>
      <c r="B66" s="4"/>
      <c r="C66" s="4"/>
      <c r="D66" s="4" t="str">
        <f t="shared" si="0"/>
        <v/>
      </c>
      <c r="E66" s="4"/>
      <c r="F66" s="4"/>
      <c r="G66" s="17" t="str">
        <f>IF(A66="","",IF(SUMIFS($C$4:$C$500,$A$4:$A$500,A66)=IFERROR(INDEX(Matchs!$H$4:$H$31,MATCH(A66,Matchs!$A$4:$A$31,0)),""),"OK","⚠ Vérifier vs score adverse"))</f>
        <v/>
      </c>
    </row>
    <row r="67" spans="1:7" ht="15" customHeight="1" x14ac:dyDescent="0.25">
      <c r="A67" s="4"/>
      <c r="B67" s="4"/>
      <c r="C67" s="4"/>
      <c r="D67" s="4" t="str">
        <f t="shared" si="0"/>
        <v/>
      </c>
      <c r="E67" s="4"/>
      <c r="F67" s="4"/>
      <c r="G67" s="17" t="str">
        <f>IF(A67="","",IF(SUMIFS($C$4:$C$500,$A$4:$A$500,A67)=IFERROR(INDEX(Matchs!$H$4:$H$31,MATCH(A67,Matchs!$A$4:$A$31,0)),""),"OK","⚠ Vérifier vs score adverse"))</f>
        <v/>
      </c>
    </row>
    <row r="68" spans="1:7" ht="15" customHeight="1" x14ac:dyDescent="0.25">
      <c r="A68" s="4"/>
      <c r="B68" s="4"/>
      <c r="C68" s="4"/>
      <c r="D68" s="4" t="str">
        <f t="shared" ref="D68:D131" si="1">IF(C68="","",IF(C68=0,"Oui","Non"))</f>
        <v/>
      </c>
      <c r="E68" s="4"/>
      <c r="F68" s="4"/>
      <c r="G68" s="17" t="str">
        <f>IF(A68="","",IF(SUMIFS($C$4:$C$500,$A$4:$A$500,A68)=IFERROR(INDEX(Matchs!$H$4:$H$31,MATCH(A68,Matchs!$A$4:$A$31,0)),""),"OK","⚠ Vérifier vs score adverse"))</f>
        <v/>
      </c>
    </row>
    <row r="69" spans="1:7" ht="15" customHeight="1" x14ac:dyDescent="0.25">
      <c r="A69" s="4"/>
      <c r="B69" s="4"/>
      <c r="C69" s="4"/>
      <c r="D69" s="4" t="str">
        <f t="shared" si="1"/>
        <v/>
      </c>
      <c r="E69" s="4"/>
      <c r="F69" s="4"/>
      <c r="G69" s="17" t="str">
        <f>IF(A69="","",IF(SUMIFS($C$4:$C$500,$A$4:$A$500,A69)=IFERROR(INDEX(Matchs!$H$4:$H$31,MATCH(A69,Matchs!$A$4:$A$31,0)),""),"OK","⚠ Vérifier vs score adverse"))</f>
        <v/>
      </c>
    </row>
    <row r="70" spans="1:7" ht="15" customHeight="1" x14ac:dyDescent="0.25">
      <c r="A70" s="4"/>
      <c r="B70" s="4"/>
      <c r="C70" s="4"/>
      <c r="D70" s="4" t="str">
        <f t="shared" si="1"/>
        <v/>
      </c>
      <c r="E70" s="4"/>
      <c r="F70" s="4"/>
      <c r="G70" s="17" t="str">
        <f>IF(A70="","",IF(SUMIFS($C$4:$C$500,$A$4:$A$500,A70)=IFERROR(INDEX(Matchs!$H$4:$H$31,MATCH(A70,Matchs!$A$4:$A$31,0)),""),"OK","⚠ Vérifier vs score adverse"))</f>
        <v/>
      </c>
    </row>
    <row r="71" spans="1:7" ht="15" customHeight="1" x14ac:dyDescent="0.25">
      <c r="A71" s="4"/>
      <c r="B71" s="4"/>
      <c r="C71" s="4"/>
      <c r="D71" s="4" t="str">
        <f t="shared" si="1"/>
        <v/>
      </c>
      <c r="E71" s="4"/>
      <c r="F71" s="4"/>
      <c r="G71" s="17" t="str">
        <f>IF(A71="","",IF(SUMIFS($C$4:$C$500,$A$4:$A$500,A71)=IFERROR(INDEX(Matchs!$H$4:$H$31,MATCH(A71,Matchs!$A$4:$A$31,0)),""),"OK","⚠ Vérifier vs score adverse"))</f>
        <v/>
      </c>
    </row>
    <row r="72" spans="1:7" ht="15" customHeight="1" x14ac:dyDescent="0.25">
      <c r="A72" s="4"/>
      <c r="B72" s="4"/>
      <c r="C72" s="4"/>
      <c r="D72" s="4" t="str">
        <f t="shared" si="1"/>
        <v/>
      </c>
      <c r="E72" s="4"/>
      <c r="F72" s="4"/>
      <c r="G72" s="17" t="str">
        <f>IF(A72="","",IF(SUMIFS($C$4:$C$500,$A$4:$A$500,A72)=IFERROR(INDEX(Matchs!$H$4:$H$31,MATCH(A72,Matchs!$A$4:$A$31,0)),""),"OK","⚠ Vérifier vs score adverse"))</f>
        <v/>
      </c>
    </row>
    <row r="73" spans="1:7" ht="15" customHeight="1" x14ac:dyDescent="0.25">
      <c r="A73" s="4"/>
      <c r="B73" s="4"/>
      <c r="C73" s="4"/>
      <c r="D73" s="4" t="str">
        <f t="shared" si="1"/>
        <v/>
      </c>
      <c r="E73" s="4"/>
      <c r="F73" s="4"/>
      <c r="G73" s="17" t="str">
        <f>IF(A73="","",IF(SUMIFS($C$4:$C$500,$A$4:$A$500,A73)=IFERROR(INDEX(Matchs!$H$4:$H$31,MATCH(A73,Matchs!$A$4:$A$31,0)),""),"OK","⚠ Vérifier vs score adverse"))</f>
        <v/>
      </c>
    </row>
    <row r="74" spans="1:7" ht="15" customHeight="1" x14ac:dyDescent="0.25">
      <c r="A74" s="4"/>
      <c r="B74" s="4"/>
      <c r="C74" s="4"/>
      <c r="D74" s="4" t="str">
        <f t="shared" si="1"/>
        <v/>
      </c>
      <c r="E74" s="4"/>
      <c r="F74" s="4"/>
      <c r="G74" s="17" t="str">
        <f>IF(A74="","",IF(SUMIFS($C$4:$C$500,$A$4:$A$500,A74)=IFERROR(INDEX(Matchs!$H$4:$H$31,MATCH(A74,Matchs!$A$4:$A$31,0)),""),"OK","⚠ Vérifier vs score adverse"))</f>
        <v/>
      </c>
    </row>
    <row r="75" spans="1:7" ht="15" customHeight="1" x14ac:dyDescent="0.25">
      <c r="A75" s="4"/>
      <c r="B75" s="4"/>
      <c r="C75" s="4"/>
      <c r="D75" s="4" t="str">
        <f t="shared" si="1"/>
        <v/>
      </c>
      <c r="E75" s="4"/>
      <c r="F75" s="4"/>
      <c r="G75" s="17" t="str">
        <f>IF(A75="","",IF(SUMIFS($C$4:$C$500,$A$4:$A$500,A75)=IFERROR(INDEX(Matchs!$H$4:$H$31,MATCH(A75,Matchs!$A$4:$A$31,0)),""),"OK","⚠ Vérifier vs score adverse"))</f>
        <v/>
      </c>
    </row>
    <row r="76" spans="1:7" ht="15" customHeight="1" x14ac:dyDescent="0.25">
      <c r="A76" s="4"/>
      <c r="B76" s="4"/>
      <c r="C76" s="4"/>
      <c r="D76" s="4" t="str">
        <f t="shared" si="1"/>
        <v/>
      </c>
      <c r="E76" s="4"/>
      <c r="F76" s="4"/>
      <c r="G76" s="17" t="str">
        <f>IF(A76="","",IF(SUMIFS($C$4:$C$500,$A$4:$A$500,A76)=IFERROR(INDEX(Matchs!$H$4:$H$31,MATCH(A76,Matchs!$A$4:$A$31,0)),""),"OK","⚠ Vérifier vs score adverse"))</f>
        <v/>
      </c>
    </row>
    <row r="77" spans="1:7" ht="15" customHeight="1" x14ac:dyDescent="0.25">
      <c r="A77" s="4"/>
      <c r="B77" s="4"/>
      <c r="C77" s="4"/>
      <c r="D77" s="4" t="str">
        <f t="shared" si="1"/>
        <v/>
      </c>
      <c r="E77" s="4"/>
      <c r="F77" s="4"/>
      <c r="G77" s="17" t="str">
        <f>IF(A77="","",IF(SUMIFS($C$4:$C$500,$A$4:$A$500,A77)=IFERROR(INDEX(Matchs!$H$4:$H$31,MATCH(A77,Matchs!$A$4:$A$31,0)),""),"OK","⚠ Vérifier vs score adverse"))</f>
        <v/>
      </c>
    </row>
    <row r="78" spans="1:7" ht="15" customHeight="1" x14ac:dyDescent="0.25">
      <c r="A78" s="4"/>
      <c r="B78" s="4"/>
      <c r="C78" s="4"/>
      <c r="D78" s="4" t="str">
        <f t="shared" si="1"/>
        <v/>
      </c>
      <c r="E78" s="4"/>
      <c r="F78" s="4"/>
      <c r="G78" s="17" t="str">
        <f>IF(A78="","",IF(SUMIFS($C$4:$C$500,$A$4:$A$500,A78)=IFERROR(INDEX(Matchs!$H$4:$H$31,MATCH(A78,Matchs!$A$4:$A$31,0)),""),"OK","⚠ Vérifier vs score adverse"))</f>
        <v/>
      </c>
    </row>
    <row r="79" spans="1:7" ht="15" customHeight="1" x14ac:dyDescent="0.25">
      <c r="A79" s="4"/>
      <c r="B79" s="4"/>
      <c r="C79" s="4"/>
      <c r="D79" s="4" t="str">
        <f t="shared" si="1"/>
        <v/>
      </c>
      <c r="E79" s="4"/>
      <c r="F79" s="4"/>
      <c r="G79" s="17" t="str">
        <f>IF(A79="","",IF(SUMIFS($C$4:$C$500,$A$4:$A$500,A79)=IFERROR(INDEX(Matchs!$H$4:$H$31,MATCH(A79,Matchs!$A$4:$A$31,0)),""),"OK","⚠ Vérifier vs score adverse"))</f>
        <v/>
      </c>
    </row>
    <row r="80" spans="1:7" ht="15" customHeight="1" x14ac:dyDescent="0.25">
      <c r="A80" s="4"/>
      <c r="B80" s="4"/>
      <c r="C80" s="4"/>
      <c r="D80" s="4" t="str">
        <f t="shared" si="1"/>
        <v/>
      </c>
      <c r="E80" s="4"/>
      <c r="F80" s="4"/>
      <c r="G80" s="17" t="str">
        <f>IF(A80="","",IF(SUMIFS($C$4:$C$500,$A$4:$A$500,A80)=IFERROR(INDEX(Matchs!$H$4:$H$31,MATCH(A80,Matchs!$A$4:$A$31,0)),""),"OK","⚠ Vérifier vs score adverse"))</f>
        <v/>
      </c>
    </row>
    <row r="81" spans="1:7" ht="15" customHeight="1" x14ac:dyDescent="0.25">
      <c r="A81" s="4"/>
      <c r="B81" s="4"/>
      <c r="C81" s="4"/>
      <c r="D81" s="4" t="str">
        <f t="shared" si="1"/>
        <v/>
      </c>
      <c r="E81" s="4"/>
      <c r="F81" s="4"/>
      <c r="G81" s="17" t="str">
        <f>IF(A81="","",IF(SUMIFS($C$4:$C$500,$A$4:$A$500,A81)=IFERROR(INDEX(Matchs!$H$4:$H$31,MATCH(A81,Matchs!$A$4:$A$31,0)),""),"OK","⚠ Vérifier vs score adverse"))</f>
        <v/>
      </c>
    </row>
    <row r="82" spans="1:7" ht="15" customHeight="1" x14ac:dyDescent="0.25">
      <c r="A82" s="4"/>
      <c r="B82" s="4"/>
      <c r="C82" s="4"/>
      <c r="D82" s="4" t="str">
        <f t="shared" si="1"/>
        <v/>
      </c>
      <c r="E82" s="4"/>
      <c r="F82" s="4"/>
      <c r="G82" s="17" t="str">
        <f>IF(A82="","",IF(SUMIFS($C$4:$C$500,$A$4:$A$500,A82)=IFERROR(INDEX(Matchs!$H$4:$H$31,MATCH(A82,Matchs!$A$4:$A$31,0)),""),"OK","⚠ Vérifier vs score adverse"))</f>
        <v/>
      </c>
    </row>
    <row r="83" spans="1:7" ht="15" customHeight="1" x14ac:dyDescent="0.25">
      <c r="A83" s="4"/>
      <c r="B83" s="4"/>
      <c r="C83" s="4"/>
      <c r="D83" s="4" t="str">
        <f t="shared" si="1"/>
        <v/>
      </c>
      <c r="E83" s="4"/>
      <c r="F83" s="4"/>
      <c r="G83" s="17" t="str">
        <f>IF(A83="","",IF(SUMIFS($C$4:$C$500,$A$4:$A$500,A83)=IFERROR(INDEX(Matchs!$H$4:$H$31,MATCH(A83,Matchs!$A$4:$A$31,0)),""),"OK","⚠ Vérifier vs score adverse"))</f>
        <v/>
      </c>
    </row>
    <row r="84" spans="1:7" ht="15" customHeight="1" x14ac:dyDescent="0.25">
      <c r="A84" s="4"/>
      <c r="B84" s="4"/>
      <c r="C84" s="4"/>
      <c r="D84" s="4" t="str">
        <f t="shared" si="1"/>
        <v/>
      </c>
      <c r="E84" s="4"/>
      <c r="F84" s="4"/>
      <c r="G84" s="17" t="str">
        <f>IF(A84="","",IF(SUMIFS($C$4:$C$500,$A$4:$A$500,A84)=IFERROR(INDEX(Matchs!$H$4:$H$31,MATCH(A84,Matchs!$A$4:$A$31,0)),""),"OK","⚠ Vérifier vs score adverse"))</f>
        <v/>
      </c>
    </row>
    <row r="85" spans="1:7" ht="15" customHeight="1" x14ac:dyDescent="0.25">
      <c r="A85" s="4"/>
      <c r="B85" s="4"/>
      <c r="C85" s="4"/>
      <c r="D85" s="4" t="str">
        <f t="shared" si="1"/>
        <v/>
      </c>
      <c r="E85" s="4"/>
      <c r="F85" s="4"/>
      <c r="G85" s="17" t="str">
        <f>IF(A85="","",IF(SUMIFS($C$4:$C$500,$A$4:$A$500,A85)=IFERROR(INDEX(Matchs!$H$4:$H$31,MATCH(A85,Matchs!$A$4:$A$31,0)),""),"OK","⚠ Vérifier vs score adverse"))</f>
        <v/>
      </c>
    </row>
    <row r="86" spans="1:7" ht="15" customHeight="1" x14ac:dyDescent="0.25">
      <c r="A86" s="4"/>
      <c r="B86" s="4"/>
      <c r="C86" s="4"/>
      <c r="D86" s="4" t="str">
        <f t="shared" si="1"/>
        <v/>
      </c>
      <c r="E86" s="4"/>
      <c r="F86" s="4"/>
      <c r="G86" s="17" t="str">
        <f>IF(A86="","",IF(SUMIFS($C$4:$C$500,$A$4:$A$500,A86)=IFERROR(INDEX(Matchs!$H$4:$H$31,MATCH(A86,Matchs!$A$4:$A$31,0)),""),"OK","⚠ Vérifier vs score adverse"))</f>
        <v/>
      </c>
    </row>
    <row r="87" spans="1:7" ht="15" customHeight="1" x14ac:dyDescent="0.25">
      <c r="A87" s="4"/>
      <c r="B87" s="4"/>
      <c r="C87" s="4"/>
      <c r="D87" s="4" t="str">
        <f t="shared" si="1"/>
        <v/>
      </c>
      <c r="E87" s="4"/>
      <c r="F87" s="4"/>
      <c r="G87" s="17" t="str">
        <f>IF(A87="","",IF(SUMIFS($C$4:$C$500,$A$4:$A$500,A87)=IFERROR(INDEX(Matchs!$H$4:$H$31,MATCH(A87,Matchs!$A$4:$A$31,0)),""),"OK","⚠ Vérifier vs score adverse"))</f>
        <v/>
      </c>
    </row>
    <row r="88" spans="1:7" ht="15" customHeight="1" x14ac:dyDescent="0.25">
      <c r="A88" s="4"/>
      <c r="B88" s="4"/>
      <c r="C88" s="4"/>
      <c r="D88" s="4" t="str">
        <f t="shared" si="1"/>
        <v/>
      </c>
      <c r="E88" s="4"/>
      <c r="F88" s="4"/>
      <c r="G88" s="17" t="str">
        <f>IF(A88="","",IF(SUMIFS($C$4:$C$500,$A$4:$A$500,A88)=IFERROR(INDEX(Matchs!$H$4:$H$31,MATCH(A88,Matchs!$A$4:$A$31,0)),""),"OK","⚠ Vérifier vs score adverse"))</f>
        <v/>
      </c>
    </row>
    <row r="89" spans="1:7" ht="15" customHeight="1" x14ac:dyDescent="0.25">
      <c r="A89" s="4"/>
      <c r="B89" s="4"/>
      <c r="C89" s="4"/>
      <c r="D89" s="4" t="str">
        <f t="shared" si="1"/>
        <v/>
      </c>
      <c r="E89" s="4"/>
      <c r="F89" s="4"/>
      <c r="G89" s="17" t="str">
        <f>IF(A89="","",IF(SUMIFS($C$4:$C$500,$A$4:$A$500,A89)=IFERROR(INDEX(Matchs!$H$4:$H$31,MATCH(A89,Matchs!$A$4:$A$31,0)),""),"OK","⚠ Vérifier vs score adverse"))</f>
        <v/>
      </c>
    </row>
    <row r="90" spans="1:7" ht="15" customHeight="1" x14ac:dyDescent="0.25">
      <c r="A90" s="4"/>
      <c r="B90" s="4"/>
      <c r="C90" s="4"/>
      <c r="D90" s="4" t="str">
        <f t="shared" si="1"/>
        <v/>
      </c>
      <c r="E90" s="4"/>
      <c r="F90" s="4"/>
      <c r="G90" s="17" t="str">
        <f>IF(A90="","",IF(SUMIFS($C$4:$C$500,$A$4:$A$500,A90)=IFERROR(INDEX(Matchs!$H$4:$H$31,MATCH(A90,Matchs!$A$4:$A$31,0)),""),"OK","⚠ Vérifier vs score adverse"))</f>
        <v/>
      </c>
    </row>
    <row r="91" spans="1:7" ht="15" customHeight="1" x14ac:dyDescent="0.25">
      <c r="A91" s="4"/>
      <c r="B91" s="4"/>
      <c r="C91" s="4"/>
      <c r="D91" s="4" t="str">
        <f t="shared" si="1"/>
        <v/>
      </c>
      <c r="E91" s="4"/>
      <c r="F91" s="4"/>
      <c r="G91" s="17" t="str">
        <f>IF(A91="","",IF(SUMIFS($C$4:$C$500,$A$4:$A$500,A91)=IFERROR(INDEX(Matchs!$H$4:$H$31,MATCH(A91,Matchs!$A$4:$A$31,0)),""),"OK","⚠ Vérifier vs score adverse"))</f>
        <v/>
      </c>
    </row>
    <row r="92" spans="1:7" ht="15" customHeight="1" x14ac:dyDescent="0.25">
      <c r="A92" s="4"/>
      <c r="B92" s="4"/>
      <c r="C92" s="4"/>
      <c r="D92" s="4" t="str">
        <f t="shared" si="1"/>
        <v/>
      </c>
      <c r="E92" s="4"/>
      <c r="F92" s="4"/>
      <c r="G92" s="17" t="str">
        <f>IF(A92="","",IF(SUMIFS($C$4:$C$500,$A$4:$A$500,A92)=IFERROR(INDEX(Matchs!$H$4:$H$31,MATCH(A92,Matchs!$A$4:$A$31,0)),""),"OK","⚠ Vérifier vs score adverse"))</f>
        <v/>
      </c>
    </row>
    <row r="93" spans="1:7" ht="15" customHeight="1" x14ac:dyDescent="0.25">
      <c r="A93" s="4"/>
      <c r="B93" s="4"/>
      <c r="C93" s="4"/>
      <c r="D93" s="4" t="str">
        <f t="shared" si="1"/>
        <v/>
      </c>
      <c r="E93" s="4"/>
      <c r="F93" s="4"/>
      <c r="G93" s="17" t="str">
        <f>IF(A93="","",IF(SUMIFS($C$4:$C$500,$A$4:$A$500,A93)=IFERROR(INDEX(Matchs!$H$4:$H$31,MATCH(A93,Matchs!$A$4:$A$31,0)),""),"OK","⚠ Vérifier vs score adverse"))</f>
        <v/>
      </c>
    </row>
    <row r="94" spans="1:7" ht="15" customHeight="1" x14ac:dyDescent="0.25">
      <c r="A94" s="4"/>
      <c r="B94" s="4"/>
      <c r="C94" s="4"/>
      <c r="D94" s="4" t="str">
        <f t="shared" si="1"/>
        <v/>
      </c>
      <c r="E94" s="4"/>
      <c r="F94" s="4"/>
      <c r="G94" s="17" t="str">
        <f>IF(A94="","",IF(SUMIFS($C$4:$C$500,$A$4:$A$500,A94)=IFERROR(INDEX(Matchs!$H$4:$H$31,MATCH(A94,Matchs!$A$4:$A$31,0)),""),"OK","⚠ Vérifier vs score adverse"))</f>
        <v/>
      </c>
    </row>
    <row r="95" spans="1:7" ht="15" customHeight="1" x14ac:dyDescent="0.25">
      <c r="A95" s="4"/>
      <c r="B95" s="4"/>
      <c r="C95" s="4"/>
      <c r="D95" s="4" t="str">
        <f t="shared" si="1"/>
        <v/>
      </c>
      <c r="E95" s="4"/>
      <c r="F95" s="4"/>
      <c r="G95" s="17" t="str">
        <f>IF(A95="","",IF(SUMIFS($C$4:$C$500,$A$4:$A$500,A95)=IFERROR(INDEX(Matchs!$H$4:$H$31,MATCH(A95,Matchs!$A$4:$A$31,0)),""),"OK","⚠ Vérifier vs score adverse"))</f>
        <v/>
      </c>
    </row>
    <row r="96" spans="1:7" ht="15" customHeight="1" x14ac:dyDescent="0.25">
      <c r="A96" s="4"/>
      <c r="B96" s="4"/>
      <c r="C96" s="4"/>
      <c r="D96" s="4" t="str">
        <f t="shared" si="1"/>
        <v/>
      </c>
      <c r="E96" s="4"/>
      <c r="F96" s="4"/>
      <c r="G96" s="17" t="str">
        <f>IF(A96="","",IF(SUMIFS($C$4:$C$500,$A$4:$A$500,A96)=IFERROR(INDEX(Matchs!$H$4:$H$31,MATCH(A96,Matchs!$A$4:$A$31,0)),""),"OK","⚠ Vérifier vs score adverse"))</f>
        <v/>
      </c>
    </row>
    <row r="97" spans="1:7" ht="15" customHeight="1" x14ac:dyDescent="0.25">
      <c r="A97" s="4"/>
      <c r="B97" s="4"/>
      <c r="C97" s="4"/>
      <c r="D97" s="4" t="str">
        <f t="shared" si="1"/>
        <v/>
      </c>
      <c r="E97" s="4"/>
      <c r="F97" s="4"/>
      <c r="G97" s="17" t="str">
        <f>IF(A97="","",IF(SUMIFS($C$4:$C$500,$A$4:$A$500,A97)=IFERROR(INDEX(Matchs!$H$4:$H$31,MATCH(A97,Matchs!$A$4:$A$31,0)),""),"OK","⚠ Vérifier vs score adverse"))</f>
        <v/>
      </c>
    </row>
    <row r="98" spans="1:7" ht="15" customHeight="1" x14ac:dyDescent="0.25">
      <c r="A98" s="4"/>
      <c r="B98" s="4"/>
      <c r="C98" s="4"/>
      <c r="D98" s="4" t="str">
        <f t="shared" si="1"/>
        <v/>
      </c>
      <c r="E98" s="4"/>
      <c r="F98" s="4"/>
      <c r="G98" s="17" t="str">
        <f>IF(A98="","",IF(SUMIFS($C$4:$C$500,$A$4:$A$500,A98)=IFERROR(INDEX(Matchs!$H$4:$H$31,MATCH(A98,Matchs!$A$4:$A$31,0)),""),"OK","⚠ Vérifier vs score adverse"))</f>
        <v/>
      </c>
    </row>
    <row r="99" spans="1:7" ht="15" customHeight="1" x14ac:dyDescent="0.25">
      <c r="A99" s="4"/>
      <c r="B99" s="4"/>
      <c r="C99" s="4"/>
      <c r="D99" s="4" t="str">
        <f t="shared" si="1"/>
        <v/>
      </c>
      <c r="E99" s="4"/>
      <c r="F99" s="4"/>
      <c r="G99" s="17" t="str">
        <f>IF(A99="","",IF(SUMIFS($C$4:$C$500,$A$4:$A$500,A99)=IFERROR(INDEX(Matchs!$H$4:$H$31,MATCH(A99,Matchs!$A$4:$A$31,0)),""),"OK","⚠ Vérifier vs score adverse"))</f>
        <v/>
      </c>
    </row>
    <row r="100" spans="1:7" ht="15" customHeight="1" x14ac:dyDescent="0.25">
      <c r="A100" s="4"/>
      <c r="B100" s="4"/>
      <c r="C100" s="4"/>
      <c r="D100" s="4" t="str">
        <f t="shared" si="1"/>
        <v/>
      </c>
      <c r="E100" s="4"/>
      <c r="F100" s="4"/>
      <c r="G100" s="17" t="str">
        <f>IF(A100="","",IF(SUMIFS($C$4:$C$500,$A$4:$A$500,A100)=IFERROR(INDEX(Matchs!$H$4:$H$31,MATCH(A100,Matchs!$A$4:$A$31,0)),""),"OK","⚠ Vérifier vs score adverse"))</f>
        <v/>
      </c>
    </row>
    <row r="101" spans="1:7" ht="15" customHeight="1" x14ac:dyDescent="0.25">
      <c r="A101" s="4"/>
      <c r="B101" s="4"/>
      <c r="C101" s="4"/>
      <c r="D101" s="4" t="str">
        <f t="shared" si="1"/>
        <v/>
      </c>
      <c r="E101" s="4"/>
      <c r="F101" s="4"/>
      <c r="G101" s="17" t="str">
        <f>IF(A101="","",IF(SUMIFS($C$4:$C$500,$A$4:$A$500,A101)=IFERROR(INDEX(Matchs!$H$4:$H$31,MATCH(A101,Matchs!$A$4:$A$31,0)),""),"OK","⚠ Vérifier vs score adverse"))</f>
        <v/>
      </c>
    </row>
    <row r="102" spans="1:7" ht="15" customHeight="1" x14ac:dyDescent="0.25">
      <c r="A102" s="4"/>
      <c r="B102" s="4"/>
      <c r="C102" s="4"/>
      <c r="D102" s="4" t="str">
        <f t="shared" si="1"/>
        <v/>
      </c>
      <c r="E102" s="4"/>
      <c r="F102" s="4"/>
      <c r="G102" s="17" t="str">
        <f>IF(A102="","",IF(SUMIFS($C$4:$C$500,$A$4:$A$500,A102)=IFERROR(INDEX(Matchs!$H$4:$H$31,MATCH(A102,Matchs!$A$4:$A$31,0)),""),"OK","⚠ Vérifier vs score adverse"))</f>
        <v/>
      </c>
    </row>
    <row r="103" spans="1:7" ht="15" customHeight="1" x14ac:dyDescent="0.25">
      <c r="A103" s="4"/>
      <c r="B103" s="4"/>
      <c r="C103" s="4"/>
      <c r="D103" s="4" t="str">
        <f t="shared" si="1"/>
        <v/>
      </c>
      <c r="E103" s="4"/>
      <c r="F103" s="4"/>
      <c r="G103" s="17" t="str">
        <f>IF(A103="","",IF(SUMIFS($C$4:$C$500,$A$4:$A$500,A103)=IFERROR(INDEX(Matchs!$H$4:$H$31,MATCH(A103,Matchs!$A$4:$A$31,0)),""),"OK","⚠ Vérifier vs score adverse"))</f>
        <v/>
      </c>
    </row>
    <row r="104" spans="1:7" ht="15" customHeight="1" x14ac:dyDescent="0.25">
      <c r="A104" s="4"/>
      <c r="B104" s="4"/>
      <c r="C104" s="4"/>
      <c r="D104" s="4" t="str">
        <f t="shared" si="1"/>
        <v/>
      </c>
      <c r="E104" s="4"/>
      <c r="F104" s="4"/>
      <c r="G104" s="17" t="str">
        <f>IF(A104="","",IF(SUMIFS($C$4:$C$500,$A$4:$A$500,A104)=IFERROR(INDEX(Matchs!$H$4:$H$31,MATCH(A104,Matchs!$A$4:$A$31,0)),""),"OK","⚠ Vérifier vs score adverse"))</f>
        <v/>
      </c>
    </row>
    <row r="105" spans="1:7" ht="15" customHeight="1" x14ac:dyDescent="0.25">
      <c r="A105" s="4"/>
      <c r="B105" s="4"/>
      <c r="C105" s="4"/>
      <c r="D105" s="4" t="str">
        <f t="shared" si="1"/>
        <v/>
      </c>
      <c r="E105" s="4"/>
      <c r="F105" s="4"/>
      <c r="G105" s="17" t="str">
        <f>IF(A105="","",IF(SUMIFS($C$4:$C$500,$A$4:$A$500,A105)=IFERROR(INDEX(Matchs!$H$4:$H$31,MATCH(A105,Matchs!$A$4:$A$31,0)),""),"OK","⚠ Vérifier vs score adverse"))</f>
        <v/>
      </c>
    </row>
    <row r="106" spans="1:7" ht="15" customHeight="1" x14ac:dyDescent="0.25">
      <c r="A106" s="4"/>
      <c r="B106" s="4"/>
      <c r="C106" s="4"/>
      <c r="D106" s="4" t="str">
        <f t="shared" si="1"/>
        <v/>
      </c>
      <c r="E106" s="4"/>
      <c r="F106" s="4"/>
      <c r="G106" s="17" t="str">
        <f>IF(A106="","",IF(SUMIFS($C$4:$C$500,$A$4:$A$500,A106)=IFERROR(INDEX(Matchs!$H$4:$H$31,MATCH(A106,Matchs!$A$4:$A$31,0)),""),"OK","⚠ Vérifier vs score adverse"))</f>
        <v/>
      </c>
    </row>
    <row r="107" spans="1:7" ht="15" customHeight="1" x14ac:dyDescent="0.25">
      <c r="A107" s="4"/>
      <c r="B107" s="4"/>
      <c r="C107" s="4"/>
      <c r="D107" s="4" t="str">
        <f t="shared" si="1"/>
        <v/>
      </c>
      <c r="E107" s="4"/>
      <c r="F107" s="4"/>
      <c r="G107" s="17" t="str">
        <f>IF(A107="","",IF(SUMIFS($C$4:$C$500,$A$4:$A$500,A107)=IFERROR(INDEX(Matchs!$H$4:$H$31,MATCH(A107,Matchs!$A$4:$A$31,0)),""),"OK","⚠ Vérifier vs score adverse"))</f>
        <v/>
      </c>
    </row>
    <row r="108" spans="1:7" ht="15" customHeight="1" x14ac:dyDescent="0.25">
      <c r="A108" s="4"/>
      <c r="B108" s="4"/>
      <c r="C108" s="4"/>
      <c r="D108" s="4" t="str">
        <f t="shared" si="1"/>
        <v/>
      </c>
      <c r="E108" s="4"/>
      <c r="F108" s="4"/>
      <c r="G108" s="17" t="str">
        <f>IF(A108="","",IF(SUMIFS($C$4:$C$500,$A$4:$A$500,A108)=IFERROR(INDEX(Matchs!$H$4:$H$31,MATCH(A108,Matchs!$A$4:$A$31,0)),""),"OK","⚠ Vérifier vs score adverse"))</f>
        <v/>
      </c>
    </row>
    <row r="109" spans="1:7" ht="15" customHeight="1" x14ac:dyDescent="0.25">
      <c r="A109" s="4"/>
      <c r="B109" s="4"/>
      <c r="C109" s="4"/>
      <c r="D109" s="4" t="str">
        <f t="shared" si="1"/>
        <v/>
      </c>
      <c r="E109" s="4"/>
      <c r="F109" s="4"/>
      <c r="G109" s="17" t="str">
        <f>IF(A109="","",IF(SUMIFS($C$4:$C$500,$A$4:$A$500,A109)=IFERROR(INDEX(Matchs!$H$4:$H$31,MATCH(A109,Matchs!$A$4:$A$31,0)),""),"OK","⚠ Vérifier vs score adverse"))</f>
        <v/>
      </c>
    </row>
    <row r="110" spans="1:7" ht="15" customHeight="1" x14ac:dyDescent="0.25">
      <c r="A110" s="4"/>
      <c r="B110" s="4"/>
      <c r="C110" s="4"/>
      <c r="D110" s="4" t="str">
        <f t="shared" si="1"/>
        <v/>
      </c>
      <c r="E110" s="4"/>
      <c r="F110" s="4"/>
      <c r="G110" s="17" t="str">
        <f>IF(A110="","",IF(SUMIFS($C$4:$C$500,$A$4:$A$500,A110)=IFERROR(INDEX(Matchs!$H$4:$H$31,MATCH(A110,Matchs!$A$4:$A$31,0)),""),"OK","⚠ Vérifier vs score adverse"))</f>
        <v/>
      </c>
    </row>
    <row r="111" spans="1:7" ht="15" customHeight="1" x14ac:dyDescent="0.25">
      <c r="A111" s="4"/>
      <c r="B111" s="4"/>
      <c r="C111" s="4"/>
      <c r="D111" s="4" t="str">
        <f t="shared" si="1"/>
        <v/>
      </c>
      <c r="E111" s="4"/>
      <c r="F111" s="4"/>
      <c r="G111" s="17" t="str">
        <f>IF(A111="","",IF(SUMIFS($C$4:$C$500,$A$4:$A$500,A111)=IFERROR(INDEX(Matchs!$H$4:$H$31,MATCH(A111,Matchs!$A$4:$A$31,0)),""),"OK","⚠ Vérifier vs score adverse"))</f>
        <v/>
      </c>
    </row>
    <row r="112" spans="1:7" ht="15" customHeight="1" x14ac:dyDescent="0.25">
      <c r="A112" s="4"/>
      <c r="B112" s="4"/>
      <c r="C112" s="4"/>
      <c r="D112" s="4" t="str">
        <f t="shared" si="1"/>
        <v/>
      </c>
      <c r="E112" s="4"/>
      <c r="F112" s="4"/>
      <c r="G112" s="17" t="str">
        <f>IF(A112="","",IF(SUMIFS($C$4:$C$500,$A$4:$A$500,A112)=IFERROR(INDEX(Matchs!$H$4:$H$31,MATCH(A112,Matchs!$A$4:$A$31,0)),""),"OK","⚠ Vérifier vs score adverse"))</f>
        <v/>
      </c>
    </row>
    <row r="113" spans="1:7" ht="15" customHeight="1" x14ac:dyDescent="0.25">
      <c r="A113" s="4"/>
      <c r="B113" s="4"/>
      <c r="C113" s="4"/>
      <c r="D113" s="4" t="str">
        <f t="shared" si="1"/>
        <v/>
      </c>
      <c r="E113" s="4"/>
      <c r="F113" s="4"/>
      <c r="G113" s="17" t="str">
        <f>IF(A113="","",IF(SUMIFS($C$4:$C$500,$A$4:$A$500,A113)=IFERROR(INDEX(Matchs!$H$4:$H$31,MATCH(A113,Matchs!$A$4:$A$31,0)),""),"OK","⚠ Vérifier vs score adverse"))</f>
        <v/>
      </c>
    </row>
    <row r="114" spans="1:7" ht="15" customHeight="1" x14ac:dyDescent="0.25">
      <c r="A114" s="4"/>
      <c r="B114" s="4"/>
      <c r="C114" s="4"/>
      <c r="D114" s="4" t="str">
        <f t="shared" si="1"/>
        <v/>
      </c>
      <c r="E114" s="4"/>
      <c r="F114" s="4"/>
      <c r="G114" s="17" t="str">
        <f>IF(A114="","",IF(SUMIFS($C$4:$C$500,$A$4:$A$500,A114)=IFERROR(INDEX(Matchs!$H$4:$H$31,MATCH(A114,Matchs!$A$4:$A$31,0)),""),"OK","⚠ Vérifier vs score adverse"))</f>
        <v/>
      </c>
    </row>
    <row r="115" spans="1:7" ht="15" customHeight="1" x14ac:dyDescent="0.25">
      <c r="A115" s="4"/>
      <c r="B115" s="4"/>
      <c r="C115" s="4"/>
      <c r="D115" s="4" t="str">
        <f t="shared" si="1"/>
        <v/>
      </c>
      <c r="E115" s="4"/>
      <c r="F115" s="4"/>
      <c r="G115" s="17" t="str">
        <f>IF(A115="","",IF(SUMIFS($C$4:$C$500,$A$4:$A$500,A115)=IFERROR(INDEX(Matchs!$H$4:$H$31,MATCH(A115,Matchs!$A$4:$A$31,0)),""),"OK","⚠ Vérifier vs score adverse"))</f>
        <v/>
      </c>
    </row>
    <row r="116" spans="1:7" ht="15" customHeight="1" x14ac:dyDescent="0.25">
      <c r="A116" s="4"/>
      <c r="B116" s="4"/>
      <c r="C116" s="4"/>
      <c r="D116" s="4" t="str">
        <f t="shared" si="1"/>
        <v/>
      </c>
      <c r="E116" s="4"/>
      <c r="F116" s="4"/>
      <c r="G116" s="17" t="str">
        <f>IF(A116="","",IF(SUMIFS($C$4:$C$500,$A$4:$A$500,A116)=IFERROR(INDEX(Matchs!$H$4:$H$31,MATCH(A116,Matchs!$A$4:$A$31,0)),""),"OK","⚠ Vérifier vs score adverse"))</f>
        <v/>
      </c>
    </row>
    <row r="117" spans="1:7" ht="15" customHeight="1" x14ac:dyDescent="0.25">
      <c r="A117" s="4"/>
      <c r="B117" s="4"/>
      <c r="C117" s="4"/>
      <c r="D117" s="4" t="str">
        <f t="shared" si="1"/>
        <v/>
      </c>
      <c r="E117" s="4"/>
      <c r="F117" s="4"/>
      <c r="G117" s="17" t="str">
        <f>IF(A117="","",IF(SUMIFS($C$4:$C$500,$A$4:$A$500,A117)=IFERROR(INDEX(Matchs!$H$4:$H$31,MATCH(A117,Matchs!$A$4:$A$31,0)),""),"OK","⚠ Vérifier vs score adverse"))</f>
        <v/>
      </c>
    </row>
    <row r="118" spans="1:7" ht="15" customHeight="1" x14ac:dyDescent="0.25">
      <c r="A118" s="4"/>
      <c r="B118" s="4"/>
      <c r="C118" s="4"/>
      <c r="D118" s="4" t="str">
        <f t="shared" si="1"/>
        <v/>
      </c>
      <c r="E118" s="4"/>
      <c r="F118" s="4"/>
      <c r="G118" s="17" t="str">
        <f>IF(A118="","",IF(SUMIFS($C$4:$C$500,$A$4:$A$500,A118)=IFERROR(INDEX(Matchs!$H$4:$H$31,MATCH(A118,Matchs!$A$4:$A$31,0)),""),"OK","⚠ Vérifier vs score adverse"))</f>
        <v/>
      </c>
    </row>
    <row r="119" spans="1:7" ht="15" customHeight="1" x14ac:dyDescent="0.25">
      <c r="A119" s="4"/>
      <c r="B119" s="4"/>
      <c r="C119" s="4"/>
      <c r="D119" s="4" t="str">
        <f t="shared" si="1"/>
        <v/>
      </c>
      <c r="E119" s="4"/>
      <c r="F119" s="4"/>
      <c r="G119" s="17" t="str">
        <f>IF(A119="","",IF(SUMIFS($C$4:$C$500,$A$4:$A$500,A119)=IFERROR(INDEX(Matchs!$H$4:$H$31,MATCH(A119,Matchs!$A$4:$A$31,0)),""),"OK","⚠ Vérifier vs score adverse"))</f>
        <v/>
      </c>
    </row>
    <row r="120" spans="1:7" ht="15" customHeight="1" x14ac:dyDescent="0.25">
      <c r="A120" s="4"/>
      <c r="B120" s="4"/>
      <c r="C120" s="4"/>
      <c r="D120" s="4" t="str">
        <f t="shared" si="1"/>
        <v/>
      </c>
      <c r="E120" s="4"/>
      <c r="F120" s="4"/>
      <c r="G120" s="17" t="str">
        <f>IF(A120="","",IF(SUMIFS($C$4:$C$500,$A$4:$A$500,A120)=IFERROR(INDEX(Matchs!$H$4:$H$31,MATCH(A120,Matchs!$A$4:$A$31,0)),""),"OK","⚠ Vérifier vs score adverse"))</f>
        <v/>
      </c>
    </row>
    <row r="121" spans="1:7" ht="15" customHeight="1" x14ac:dyDescent="0.25">
      <c r="A121" s="4"/>
      <c r="B121" s="4"/>
      <c r="C121" s="4"/>
      <c r="D121" s="4" t="str">
        <f t="shared" si="1"/>
        <v/>
      </c>
      <c r="E121" s="4"/>
      <c r="F121" s="4"/>
      <c r="G121" s="17" t="str">
        <f>IF(A121="","",IF(SUMIFS($C$4:$C$500,$A$4:$A$500,A121)=IFERROR(INDEX(Matchs!$H$4:$H$31,MATCH(A121,Matchs!$A$4:$A$31,0)),""),"OK","⚠ Vérifier vs score adverse"))</f>
        <v/>
      </c>
    </row>
    <row r="122" spans="1:7" ht="15" customHeight="1" x14ac:dyDescent="0.25">
      <c r="A122" s="4"/>
      <c r="B122" s="4"/>
      <c r="C122" s="4"/>
      <c r="D122" s="4" t="str">
        <f t="shared" si="1"/>
        <v/>
      </c>
      <c r="E122" s="4"/>
      <c r="F122" s="4"/>
      <c r="G122" s="17" t="str">
        <f>IF(A122="","",IF(SUMIFS($C$4:$C$500,$A$4:$A$500,A122)=IFERROR(INDEX(Matchs!$H$4:$H$31,MATCH(A122,Matchs!$A$4:$A$31,0)),""),"OK","⚠ Vérifier vs score adverse"))</f>
        <v/>
      </c>
    </row>
    <row r="123" spans="1:7" ht="15" customHeight="1" x14ac:dyDescent="0.25">
      <c r="A123" s="4"/>
      <c r="B123" s="4"/>
      <c r="C123" s="4"/>
      <c r="D123" s="4" t="str">
        <f t="shared" si="1"/>
        <v/>
      </c>
      <c r="E123" s="4"/>
      <c r="F123" s="4"/>
      <c r="G123" s="17" t="str">
        <f>IF(A123="","",IF(SUMIFS($C$4:$C$500,$A$4:$A$500,A123)=IFERROR(INDEX(Matchs!$H$4:$H$31,MATCH(A123,Matchs!$A$4:$A$31,0)),""),"OK","⚠ Vérifier vs score adverse"))</f>
        <v/>
      </c>
    </row>
    <row r="124" spans="1:7" ht="15" customHeight="1" x14ac:dyDescent="0.25">
      <c r="A124" s="4"/>
      <c r="B124" s="4"/>
      <c r="C124" s="4"/>
      <c r="D124" s="4" t="str">
        <f t="shared" si="1"/>
        <v/>
      </c>
      <c r="E124" s="4"/>
      <c r="F124" s="4"/>
      <c r="G124" s="17" t="str">
        <f>IF(A124="","",IF(SUMIFS($C$4:$C$500,$A$4:$A$500,A124)=IFERROR(INDEX(Matchs!$H$4:$H$31,MATCH(A124,Matchs!$A$4:$A$31,0)),""),"OK","⚠ Vérifier vs score adverse"))</f>
        <v/>
      </c>
    </row>
    <row r="125" spans="1:7" ht="15" customHeight="1" x14ac:dyDescent="0.25">
      <c r="A125" s="4"/>
      <c r="B125" s="4"/>
      <c r="C125" s="4"/>
      <c r="D125" s="4" t="str">
        <f t="shared" si="1"/>
        <v/>
      </c>
      <c r="E125" s="4"/>
      <c r="F125" s="4"/>
      <c r="G125" s="17" t="str">
        <f>IF(A125="","",IF(SUMIFS($C$4:$C$500,$A$4:$A$500,A125)=IFERROR(INDEX(Matchs!$H$4:$H$31,MATCH(A125,Matchs!$A$4:$A$31,0)),""),"OK","⚠ Vérifier vs score adverse"))</f>
        <v/>
      </c>
    </row>
    <row r="126" spans="1:7" ht="15" customHeight="1" x14ac:dyDescent="0.25">
      <c r="A126" s="4"/>
      <c r="B126" s="4"/>
      <c r="C126" s="4"/>
      <c r="D126" s="4" t="str">
        <f t="shared" si="1"/>
        <v/>
      </c>
      <c r="E126" s="4"/>
      <c r="F126" s="4"/>
      <c r="G126" s="17" t="str">
        <f>IF(A126="","",IF(SUMIFS($C$4:$C$500,$A$4:$A$500,A126)=IFERROR(INDEX(Matchs!$H$4:$H$31,MATCH(A126,Matchs!$A$4:$A$31,0)),""),"OK","⚠ Vérifier vs score adverse"))</f>
        <v/>
      </c>
    </row>
    <row r="127" spans="1:7" ht="15" customHeight="1" x14ac:dyDescent="0.25">
      <c r="A127" s="4"/>
      <c r="B127" s="4"/>
      <c r="C127" s="4"/>
      <c r="D127" s="4" t="str">
        <f t="shared" si="1"/>
        <v/>
      </c>
      <c r="E127" s="4"/>
      <c r="F127" s="4"/>
      <c r="G127" s="17" t="str">
        <f>IF(A127="","",IF(SUMIFS($C$4:$C$500,$A$4:$A$500,A127)=IFERROR(INDEX(Matchs!$H$4:$H$31,MATCH(A127,Matchs!$A$4:$A$31,0)),""),"OK","⚠ Vérifier vs score adverse"))</f>
        <v/>
      </c>
    </row>
    <row r="128" spans="1:7" ht="15" customHeight="1" x14ac:dyDescent="0.25">
      <c r="A128" s="4"/>
      <c r="B128" s="4"/>
      <c r="C128" s="4"/>
      <c r="D128" s="4" t="str">
        <f t="shared" si="1"/>
        <v/>
      </c>
      <c r="E128" s="4"/>
      <c r="F128" s="4"/>
      <c r="G128" s="17" t="str">
        <f>IF(A128="","",IF(SUMIFS($C$4:$C$500,$A$4:$A$500,A128)=IFERROR(INDEX(Matchs!$H$4:$H$31,MATCH(A128,Matchs!$A$4:$A$31,0)),""),"OK","⚠ Vérifier vs score adverse"))</f>
        <v/>
      </c>
    </row>
    <row r="129" spans="1:7" ht="15" customHeight="1" x14ac:dyDescent="0.25">
      <c r="A129" s="4"/>
      <c r="B129" s="4"/>
      <c r="C129" s="4"/>
      <c r="D129" s="4" t="str">
        <f t="shared" si="1"/>
        <v/>
      </c>
      <c r="E129" s="4"/>
      <c r="F129" s="4"/>
      <c r="G129" s="17" t="str">
        <f>IF(A129="","",IF(SUMIFS($C$4:$C$500,$A$4:$A$500,A129)=IFERROR(INDEX(Matchs!$H$4:$H$31,MATCH(A129,Matchs!$A$4:$A$31,0)),""),"OK","⚠ Vérifier vs score adverse"))</f>
        <v/>
      </c>
    </row>
    <row r="130" spans="1:7" ht="15" customHeight="1" x14ac:dyDescent="0.25">
      <c r="A130" s="4"/>
      <c r="B130" s="4"/>
      <c r="C130" s="4"/>
      <c r="D130" s="4" t="str">
        <f t="shared" si="1"/>
        <v/>
      </c>
      <c r="E130" s="4"/>
      <c r="F130" s="4"/>
      <c r="G130" s="17" t="str">
        <f>IF(A130="","",IF(SUMIFS($C$4:$C$500,$A$4:$A$500,A130)=IFERROR(INDEX(Matchs!$H$4:$H$31,MATCH(A130,Matchs!$A$4:$A$31,0)),""),"OK","⚠ Vérifier vs score adverse"))</f>
        <v/>
      </c>
    </row>
    <row r="131" spans="1:7" ht="15" customHeight="1" x14ac:dyDescent="0.25">
      <c r="A131" s="4"/>
      <c r="B131" s="4"/>
      <c r="C131" s="4"/>
      <c r="D131" s="4" t="str">
        <f t="shared" si="1"/>
        <v/>
      </c>
      <c r="E131" s="4"/>
      <c r="F131" s="4"/>
      <c r="G131" s="17" t="str">
        <f>IF(A131="","",IF(SUMIFS($C$4:$C$500,$A$4:$A$500,A131)=IFERROR(INDEX(Matchs!$H$4:$H$31,MATCH(A131,Matchs!$A$4:$A$31,0)),""),"OK","⚠ Vérifier vs score adverse"))</f>
        <v/>
      </c>
    </row>
    <row r="132" spans="1:7" ht="15" customHeight="1" x14ac:dyDescent="0.25">
      <c r="A132" s="4"/>
      <c r="B132" s="4"/>
      <c r="C132" s="4"/>
      <c r="D132" s="4" t="str">
        <f t="shared" ref="D132:D195" si="2">IF(C132="","",IF(C132=0,"Oui","Non"))</f>
        <v/>
      </c>
      <c r="E132" s="4"/>
      <c r="F132" s="4"/>
      <c r="G132" s="17" t="str">
        <f>IF(A132="","",IF(SUMIFS($C$4:$C$500,$A$4:$A$500,A132)=IFERROR(INDEX(Matchs!$H$4:$H$31,MATCH(A132,Matchs!$A$4:$A$31,0)),""),"OK","⚠ Vérifier vs score adverse"))</f>
        <v/>
      </c>
    </row>
    <row r="133" spans="1:7" ht="15" customHeight="1" x14ac:dyDescent="0.25">
      <c r="A133" s="4"/>
      <c r="B133" s="4"/>
      <c r="C133" s="4"/>
      <c r="D133" s="4" t="str">
        <f t="shared" si="2"/>
        <v/>
      </c>
      <c r="E133" s="4"/>
      <c r="F133" s="4"/>
      <c r="G133" s="17" t="str">
        <f>IF(A133="","",IF(SUMIFS($C$4:$C$500,$A$4:$A$500,A133)=IFERROR(INDEX(Matchs!$H$4:$H$31,MATCH(A133,Matchs!$A$4:$A$31,0)),""),"OK","⚠ Vérifier vs score adverse"))</f>
        <v/>
      </c>
    </row>
    <row r="134" spans="1:7" ht="15" customHeight="1" x14ac:dyDescent="0.25">
      <c r="A134" s="4"/>
      <c r="B134" s="4"/>
      <c r="C134" s="4"/>
      <c r="D134" s="4" t="str">
        <f t="shared" si="2"/>
        <v/>
      </c>
      <c r="E134" s="4"/>
      <c r="F134" s="4"/>
      <c r="G134" s="17" t="str">
        <f>IF(A134="","",IF(SUMIFS($C$4:$C$500,$A$4:$A$500,A134)=IFERROR(INDEX(Matchs!$H$4:$H$31,MATCH(A134,Matchs!$A$4:$A$31,0)),""),"OK","⚠ Vérifier vs score adverse"))</f>
        <v/>
      </c>
    </row>
    <row r="135" spans="1:7" ht="15" customHeight="1" x14ac:dyDescent="0.25">
      <c r="A135" s="4"/>
      <c r="B135" s="4"/>
      <c r="C135" s="4"/>
      <c r="D135" s="4" t="str">
        <f t="shared" si="2"/>
        <v/>
      </c>
      <c r="E135" s="4"/>
      <c r="F135" s="4"/>
      <c r="G135" s="17" t="str">
        <f>IF(A135="","",IF(SUMIFS($C$4:$C$500,$A$4:$A$500,A135)=IFERROR(INDEX(Matchs!$H$4:$H$31,MATCH(A135,Matchs!$A$4:$A$31,0)),""),"OK","⚠ Vérifier vs score adverse"))</f>
        <v/>
      </c>
    </row>
    <row r="136" spans="1:7" ht="15" customHeight="1" x14ac:dyDescent="0.25">
      <c r="A136" s="4"/>
      <c r="B136" s="4"/>
      <c r="C136" s="4"/>
      <c r="D136" s="4" t="str">
        <f t="shared" si="2"/>
        <v/>
      </c>
      <c r="E136" s="4"/>
      <c r="F136" s="4"/>
      <c r="G136" s="17" t="str">
        <f>IF(A136="","",IF(SUMIFS($C$4:$C$500,$A$4:$A$500,A136)=IFERROR(INDEX(Matchs!$H$4:$H$31,MATCH(A136,Matchs!$A$4:$A$31,0)),""),"OK","⚠ Vérifier vs score adverse"))</f>
        <v/>
      </c>
    </row>
    <row r="137" spans="1:7" ht="15" customHeight="1" x14ac:dyDescent="0.25">
      <c r="A137" s="4"/>
      <c r="B137" s="4"/>
      <c r="C137" s="4"/>
      <c r="D137" s="4" t="str">
        <f t="shared" si="2"/>
        <v/>
      </c>
      <c r="E137" s="4"/>
      <c r="F137" s="4"/>
      <c r="G137" s="17" t="str">
        <f>IF(A137="","",IF(SUMIFS($C$4:$C$500,$A$4:$A$500,A137)=IFERROR(INDEX(Matchs!$H$4:$H$31,MATCH(A137,Matchs!$A$4:$A$31,0)),""),"OK","⚠ Vérifier vs score adverse"))</f>
        <v/>
      </c>
    </row>
    <row r="138" spans="1:7" ht="15" customHeight="1" x14ac:dyDescent="0.25">
      <c r="A138" s="4"/>
      <c r="B138" s="4"/>
      <c r="C138" s="4"/>
      <c r="D138" s="4" t="str">
        <f t="shared" si="2"/>
        <v/>
      </c>
      <c r="E138" s="4"/>
      <c r="F138" s="4"/>
      <c r="G138" s="17" t="str">
        <f>IF(A138="","",IF(SUMIFS($C$4:$C$500,$A$4:$A$500,A138)=IFERROR(INDEX(Matchs!$H$4:$H$31,MATCH(A138,Matchs!$A$4:$A$31,0)),""),"OK","⚠ Vérifier vs score adverse"))</f>
        <v/>
      </c>
    </row>
    <row r="139" spans="1:7" ht="15" customHeight="1" x14ac:dyDescent="0.25">
      <c r="A139" s="4"/>
      <c r="B139" s="4"/>
      <c r="C139" s="4"/>
      <c r="D139" s="4" t="str">
        <f t="shared" si="2"/>
        <v/>
      </c>
      <c r="E139" s="4"/>
      <c r="F139" s="4"/>
      <c r="G139" s="17" t="str">
        <f>IF(A139="","",IF(SUMIFS($C$4:$C$500,$A$4:$A$500,A139)=IFERROR(INDEX(Matchs!$H$4:$H$31,MATCH(A139,Matchs!$A$4:$A$31,0)),""),"OK","⚠ Vérifier vs score adverse"))</f>
        <v/>
      </c>
    </row>
    <row r="140" spans="1:7" ht="15" customHeight="1" x14ac:dyDescent="0.25">
      <c r="A140" s="4"/>
      <c r="B140" s="4"/>
      <c r="C140" s="4"/>
      <c r="D140" s="4" t="str">
        <f t="shared" si="2"/>
        <v/>
      </c>
      <c r="E140" s="4"/>
      <c r="F140" s="4"/>
      <c r="G140" s="17" t="str">
        <f>IF(A140="","",IF(SUMIFS($C$4:$C$500,$A$4:$A$500,A140)=IFERROR(INDEX(Matchs!$H$4:$H$31,MATCH(A140,Matchs!$A$4:$A$31,0)),""),"OK","⚠ Vérifier vs score adverse"))</f>
        <v/>
      </c>
    </row>
    <row r="141" spans="1:7" ht="15" customHeight="1" x14ac:dyDescent="0.25">
      <c r="A141" s="4"/>
      <c r="B141" s="4"/>
      <c r="C141" s="4"/>
      <c r="D141" s="4" t="str">
        <f t="shared" si="2"/>
        <v/>
      </c>
      <c r="E141" s="4"/>
      <c r="F141" s="4"/>
      <c r="G141" s="17" t="str">
        <f>IF(A141="","",IF(SUMIFS($C$4:$C$500,$A$4:$A$500,A141)=IFERROR(INDEX(Matchs!$H$4:$H$31,MATCH(A141,Matchs!$A$4:$A$31,0)),""),"OK","⚠ Vérifier vs score adverse"))</f>
        <v/>
      </c>
    </row>
    <row r="142" spans="1:7" ht="15" customHeight="1" x14ac:dyDescent="0.25">
      <c r="A142" s="4"/>
      <c r="B142" s="4"/>
      <c r="C142" s="4"/>
      <c r="D142" s="4" t="str">
        <f t="shared" si="2"/>
        <v/>
      </c>
      <c r="E142" s="4"/>
      <c r="F142" s="4"/>
      <c r="G142" s="17" t="str">
        <f>IF(A142="","",IF(SUMIFS($C$4:$C$500,$A$4:$A$500,A142)=IFERROR(INDEX(Matchs!$H$4:$H$31,MATCH(A142,Matchs!$A$4:$A$31,0)),""),"OK","⚠ Vérifier vs score adverse"))</f>
        <v/>
      </c>
    </row>
    <row r="143" spans="1:7" ht="15" customHeight="1" x14ac:dyDescent="0.25">
      <c r="A143" s="4"/>
      <c r="B143" s="4"/>
      <c r="C143" s="4"/>
      <c r="D143" s="4" t="str">
        <f t="shared" si="2"/>
        <v/>
      </c>
      <c r="E143" s="4"/>
      <c r="F143" s="4"/>
      <c r="G143" s="17" t="str">
        <f>IF(A143="","",IF(SUMIFS($C$4:$C$500,$A$4:$A$500,A143)=IFERROR(INDEX(Matchs!$H$4:$H$31,MATCH(A143,Matchs!$A$4:$A$31,0)),""),"OK","⚠ Vérifier vs score adverse"))</f>
        <v/>
      </c>
    </row>
    <row r="144" spans="1:7" ht="15" customHeight="1" x14ac:dyDescent="0.25">
      <c r="A144" s="4"/>
      <c r="B144" s="4"/>
      <c r="C144" s="4"/>
      <c r="D144" s="4" t="str">
        <f t="shared" si="2"/>
        <v/>
      </c>
      <c r="E144" s="4"/>
      <c r="F144" s="4"/>
      <c r="G144" s="17" t="str">
        <f>IF(A144="","",IF(SUMIFS($C$4:$C$500,$A$4:$A$500,A144)=IFERROR(INDEX(Matchs!$H$4:$H$31,MATCH(A144,Matchs!$A$4:$A$31,0)),""),"OK","⚠ Vérifier vs score adverse"))</f>
        <v/>
      </c>
    </row>
    <row r="145" spans="1:7" ht="15" customHeight="1" x14ac:dyDescent="0.25">
      <c r="A145" s="4"/>
      <c r="B145" s="4"/>
      <c r="C145" s="4"/>
      <c r="D145" s="4" t="str">
        <f t="shared" si="2"/>
        <v/>
      </c>
      <c r="E145" s="4"/>
      <c r="F145" s="4"/>
      <c r="G145" s="17" t="str">
        <f>IF(A145="","",IF(SUMIFS($C$4:$C$500,$A$4:$A$500,A145)=IFERROR(INDEX(Matchs!$H$4:$H$31,MATCH(A145,Matchs!$A$4:$A$31,0)),""),"OK","⚠ Vérifier vs score adverse"))</f>
        <v/>
      </c>
    </row>
    <row r="146" spans="1:7" ht="15" customHeight="1" x14ac:dyDescent="0.25">
      <c r="A146" s="4"/>
      <c r="B146" s="4"/>
      <c r="C146" s="4"/>
      <c r="D146" s="4" t="str">
        <f t="shared" si="2"/>
        <v/>
      </c>
      <c r="E146" s="4"/>
      <c r="F146" s="4"/>
      <c r="G146" s="17" t="str">
        <f>IF(A146="","",IF(SUMIFS($C$4:$C$500,$A$4:$A$500,A146)=IFERROR(INDEX(Matchs!$H$4:$H$31,MATCH(A146,Matchs!$A$4:$A$31,0)),""),"OK","⚠ Vérifier vs score adverse"))</f>
        <v/>
      </c>
    </row>
    <row r="147" spans="1:7" ht="15" customHeight="1" x14ac:dyDescent="0.25">
      <c r="A147" s="4"/>
      <c r="B147" s="4"/>
      <c r="C147" s="4"/>
      <c r="D147" s="4" t="str">
        <f t="shared" si="2"/>
        <v/>
      </c>
      <c r="E147" s="4"/>
      <c r="F147" s="4"/>
      <c r="G147" s="17" t="str">
        <f>IF(A147="","",IF(SUMIFS($C$4:$C$500,$A$4:$A$500,A147)=IFERROR(INDEX(Matchs!$H$4:$H$31,MATCH(A147,Matchs!$A$4:$A$31,0)),""),"OK","⚠ Vérifier vs score adverse"))</f>
        <v/>
      </c>
    </row>
    <row r="148" spans="1:7" ht="15" customHeight="1" x14ac:dyDescent="0.25">
      <c r="A148" s="4"/>
      <c r="B148" s="4"/>
      <c r="C148" s="4"/>
      <c r="D148" s="4" t="str">
        <f t="shared" si="2"/>
        <v/>
      </c>
      <c r="E148" s="4"/>
      <c r="F148" s="4"/>
      <c r="G148" s="17" t="str">
        <f>IF(A148="","",IF(SUMIFS($C$4:$C$500,$A$4:$A$500,A148)=IFERROR(INDEX(Matchs!$H$4:$H$31,MATCH(A148,Matchs!$A$4:$A$31,0)),""),"OK","⚠ Vérifier vs score adverse"))</f>
        <v/>
      </c>
    </row>
    <row r="149" spans="1:7" ht="15" customHeight="1" x14ac:dyDescent="0.25">
      <c r="A149" s="4"/>
      <c r="B149" s="4"/>
      <c r="C149" s="4"/>
      <c r="D149" s="4" t="str">
        <f t="shared" si="2"/>
        <v/>
      </c>
      <c r="E149" s="4"/>
      <c r="F149" s="4"/>
      <c r="G149" s="17" t="str">
        <f>IF(A149="","",IF(SUMIFS($C$4:$C$500,$A$4:$A$500,A149)=IFERROR(INDEX(Matchs!$H$4:$H$31,MATCH(A149,Matchs!$A$4:$A$31,0)),""),"OK","⚠ Vérifier vs score adverse"))</f>
        <v/>
      </c>
    </row>
    <row r="150" spans="1:7" ht="15" customHeight="1" x14ac:dyDescent="0.25">
      <c r="A150" s="4"/>
      <c r="B150" s="4"/>
      <c r="C150" s="4"/>
      <c r="D150" s="4" t="str">
        <f t="shared" si="2"/>
        <v/>
      </c>
      <c r="E150" s="4"/>
      <c r="F150" s="4"/>
      <c r="G150" s="17" t="str">
        <f>IF(A150="","",IF(SUMIFS($C$4:$C$500,$A$4:$A$500,A150)=IFERROR(INDEX(Matchs!$H$4:$H$31,MATCH(A150,Matchs!$A$4:$A$31,0)),""),"OK","⚠ Vérifier vs score adverse"))</f>
        <v/>
      </c>
    </row>
    <row r="151" spans="1:7" ht="15" customHeight="1" x14ac:dyDescent="0.25">
      <c r="A151" s="4"/>
      <c r="B151" s="4"/>
      <c r="C151" s="4"/>
      <c r="D151" s="4" t="str">
        <f t="shared" si="2"/>
        <v/>
      </c>
      <c r="E151" s="4"/>
      <c r="F151" s="4"/>
      <c r="G151" s="17" t="str">
        <f>IF(A151="","",IF(SUMIFS($C$4:$C$500,$A$4:$A$500,A151)=IFERROR(INDEX(Matchs!$H$4:$H$31,MATCH(A151,Matchs!$A$4:$A$31,0)),""),"OK","⚠ Vérifier vs score adverse"))</f>
        <v/>
      </c>
    </row>
    <row r="152" spans="1:7" ht="15" customHeight="1" x14ac:dyDescent="0.25">
      <c r="A152" s="4"/>
      <c r="B152" s="4"/>
      <c r="C152" s="4"/>
      <c r="D152" s="4" t="str">
        <f t="shared" si="2"/>
        <v/>
      </c>
      <c r="E152" s="4"/>
      <c r="F152" s="4"/>
      <c r="G152" s="17" t="str">
        <f>IF(A152="","",IF(SUMIFS($C$4:$C$500,$A$4:$A$500,A152)=IFERROR(INDEX(Matchs!$H$4:$H$31,MATCH(A152,Matchs!$A$4:$A$31,0)),""),"OK","⚠ Vérifier vs score adverse"))</f>
        <v/>
      </c>
    </row>
    <row r="153" spans="1:7" ht="15" customHeight="1" x14ac:dyDescent="0.25">
      <c r="A153" s="4"/>
      <c r="B153" s="4"/>
      <c r="C153" s="4"/>
      <c r="D153" s="4" t="str">
        <f t="shared" si="2"/>
        <v/>
      </c>
      <c r="E153" s="4"/>
      <c r="F153" s="4"/>
      <c r="G153" s="17" t="str">
        <f>IF(A153="","",IF(SUMIFS($C$4:$C$500,$A$4:$A$500,A153)=IFERROR(INDEX(Matchs!$H$4:$H$31,MATCH(A153,Matchs!$A$4:$A$31,0)),""),"OK","⚠ Vérifier vs score adverse"))</f>
        <v/>
      </c>
    </row>
    <row r="154" spans="1:7" ht="15" customHeight="1" x14ac:dyDescent="0.25">
      <c r="A154" s="4"/>
      <c r="B154" s="4"/>
      <c r="C154" s="4"/>
      <c r="D154" s="4" t="str">
        <f t="shared" si="2"/>
        <v/>
      </c>
      <c r="E154" s="4"/>
      <c r="F154" s="4"/>
      <c r="G154" s="17" t="str">
        <f>IF(A154="","",IF(SUMIFS($C$4:$C$500,$A$4:$A$500,A154)=IFERROR(INDEX(Matchs!$H$4:$H$31,MATCH(A154,Matchs!$A$4:$A$31,0)),""),"OK","⚠ Vérifier vs score adverse"))</f>
        <v/>
      </c>
    </row>
    <row r="155" spans="1:7" ht="15" customHeight="1" x14ac:dyDescent="0.25">
      <c r="A155" s="4"/>
      <c r="B155" s="4"/>
      <c r="C155" s="4"/>
      <c r="D155" s="4" t="str">
        <f t="shared" si="2"/>
        <v/>
      </c>
      <c r="E155" s="4"/>
      <c r="F155" s="4"/>
      <c r="G155" s="17" t="str">
        <f>IF(A155="","",IF(SUMIFS($C$4:$C$500,$A$4:$A$500,A155)=IFERROR(INDEX(Matchs!$H$4:$H$31,MATCH(A155,Matchs!$A$4:$A$31,0)),""),"OK","⚠ Vérifier vs score adverse"))</f>
        <v/>
      </c>
    </row>
    <row r="156" spans="1:7" ht="15" customHeight="1" x14ac:dyDescent="0.25">
      <c r="A156" s="4"/>
      <c r="B156" s="4"/>
      <c r="C156" s="4"/>
      <c r="D156" s="4" t="str">
        <f t="shared" si="2"/>
        <v/>
      </c>
      <c r="E156" s="4"/>
      <c r="F156" s="4"/>
      <c r="G156" s="17" t="str">
        <f>IF(A156="","",IF(SUMIFS($C$4:$C$500,$A$4:$A$500,A156)=IFERROR(INDEX(Matchs!$H$4:$H$31,MATCH(A156,Matchs!$A$4:$A$31,0)),""),"OK","⚠ Vérifier vs score adverse"))</f>
        <v/>
      </c>
    </row>
    <row r="157" spans="1:7" ht="15" customHeight="1" x14ac:dyDescent="0.25">
      <c r="A157" s="4"/>
      <c r="B157" s="4"/>
      <c r="C157" s="4"/>
      <c r="D157" s="4" t="str">
        <f t="shared" si="2"/>
        <v/>
      </c>
      <c r="E157" s="4"/>
      <c r="F157" s="4"/>
      <c r="G157" s="17" t="str">
        <f>IF(A157="","",IF(SUMIFS($C$4:$C$500,$A$4:$A$500,A157)=IFERROR(INDEX(Matchs!$H$4:$H$31,MATCH(A157,Matchs!$A$4:$A$31,0)),""),"OK","⚠ Vérifier vs score adverse"))</f>
        <v/>
      </c>
    </row>
    <row r="158" spans="1:7" ht="15" customHeight="1" x14ac:dyDescent="0.25">
      <c r="A158" s="4"/>
      <c r="B158" s="4"/>
      <c r="C158" s="4"/>
      <c r="D158" s="4" t="str">
        <f t="shared" si="2"/>
        <v/>
      </c>
      <c r="E158" s="4"/>
      <c r="F158" s="4"/>
      <c r="G158" s="17" t="str">
        <f>IF(A158="","",IF(SUMIFS($C$4:$C$500,$A$4:$A$500,A158)=IFERROR(INDEX(Matchs!$H$4:$H$31,MATCH(A158,Matchs!$A$4:$A$31,0)),""),"OK","⚠ Vérifier vs score adverse"))</f>
        <v/>
      </c>
    </row>
    <row r="159" spans="1:7" ht="15" customHeight="1" x14ac:dyDescent="0.25">
      <c r="A159" s="4"/>
      <c r="B159" s="4"/>
      <c r="C159" s="4"/>
      <c r="D159" s="4" t="str">
        <f t="shared" si="2"/>
        <v/>
      </c>
      <c r="E159" s="4"/>
      <c r="F159" s="4"/>
      <c r="G159" s="17" t="str">
        <f>IF(A159="","",IF(SUMIFS($C$4:$C$500,$A$4:$A$500,A159)=IFERROR(INDEX(Matchs!$H$4:$H$31,MATCH(A159,Matchs!$A$4:$A$31,0)),""),"OK","⚠ Vérifier vs score adverse"))</f>
        <v/>
      </c>
    </row>
    <row r="160" spans="1:7" ht="15" customHeight="1" x14ac:dyDescent="0.25">
      <c r="A160" s="4"/>
      <c r="B160" s="4"/>
      <c r="C160" s="4"/>
      <c r="D160" s="4" t="str">
        <f t="shared" si="2"/>
        <v/>
      </c>
      <c r="E160" s="4"/>
      <c r="F160" s="4"/>
      <c r="G160" s="17" t="str">
        <f>IF(A160="","",IF(SUMIFS($C$4:$C$500,$A$4:$A$500,A160)=IFERROR(INDEX(Matchs!$H$4:$H$31,MATCH(A160,Matchs!$A$4:$A$31,0)),""),"OK","⚠ Vérifier vs score adverse"))</f>
        <v/>
      </c>
    </row>
    <row r="161" spans="1:7" ht="15" customHeight="1" x14ac:dyDescent="0.25">
      <c r="A161" s="4"/>
      <c r="B161" s="4"/>
      <c r="C161" s="4"/>
      <c r="D161" s="4" t="str">
        <f t="shared" si="2"/>
        <v/>
      </c>
      <c r="E161" s="4"/>
      <c r="F161" s="4"/>
      <c r="G161" s="17" t="str">
        <f>IF(A161="","",IF(SUMIFS($C$4:$C$500,$A$4:$A$500,A161)=IFERROR(INDEX(Matchs!$H$4:$H$31,MATCH(A161,Matchs!$A$4:$A$31,0)),""),"OK","⚠ Vérifier vs score adverse"))</f>
        <v/>
      </c>
    </row>
    <row r="162" spans="1:7" ht="15" customHeight="1" x14ac:dyDescent="0.25">
      <c r="A162" s="4"/>
      <c r="B162" s="4"/>
      <c r="C162" s="4"/>
      <c r="D162" s="4" t="str">
        <f t="shared" si="2"/>
        <v/>
      </c>
      <c r="E162" s="4"/>
      <c r="F162" s="4"/>
      <c r="G162" s="17" t="str">
        <f>IF(A162="","",IF(SUMIFS($C$4:$C$500,$A$4:$A$500,A162)=IFERROR(INDEX(Matchs!$H$4:$H$31,MATCH(A162,Matchs!$A$4:$A$31,0)),""),"OK","⚠ Vérifier vs score adverse"))</f>
        <v/>
      </c>
    </row>
    <row r="163" spans="1:7" ht="15" customHeight="1" x14ac:dyDescent="0.25">
      <c r="A163" s="4"/>
      <c r="B163" s="4"/>
      <c r="C163" s="4"/>
      <c r="D163" s="4" t="str">
        <f t="shared" si="2"/>
        <v/>
      </c>
      <c r="E163" s="4"/>
      <c r="F163" s="4"/>
      <c r="G163" s="17" t="str">
        <f>IF(A163="","",IF(SUMIFS($C$4:$C$500,$A$4:$A$500,A163)=IFERROR(INDEX(Matchs!$H$4:$H$31,MATCH(A163,Matchs!$A$4:$A$31,0)),""),"OK","⚠ Vérifier vs score adverse"))</f>
        <v/>
      </c>
    </row>
    <row r="164" spans="1:7" ht="15" customHeight="1" x14ac:dyDescent="0.25">
      <c r="A164" s="4"/>
      <c r="B164" s="4"/>
      <c r="C164" s="4"/>
      <c r="D164" s="4" t="str">
        <f t="shared" si="2"/>
        <v/>
      </c>
      <c r="E164" s="4"/>
      <c r="F164" s="4"/>
      <c r="G164" s="17" t="str">
        <f>IF(A164="","",IF(SUMIFS($C$4:$C$500,$A$4:$A$500,A164)=IFERROR(INDEX(Matchs!$H$4:$H$31,MATCH(A164,Matchs!$A$4:$A$31,0)),""),"OK","⚠ Vérifier vs score adverse"))</f>
        <v/>
      </c>
    </row>
    <row r="165" spans="1:7" ht="15" customHeight="1" x14ac:dyDescent="0.25">
      <c r="A165" s="4"/>
      <c r="B165" s="4"/>
      <c r="C165" s="4"/>
      <c r="D165" s="4" t="str">
        <f t="shared" si="2"/>
        <v/>
      </c>
      <c r="E165" s="4"/>
      <c r="F165" s="4"/>
      <c r="G165" s="17" t="str">
        <f>IF(A165="","",IF(SUMIFS($C$4:$C$500,$A$4:$A$500,A165)=IFERROR(INDEX(Matchs!$H$4:$H$31,MATCH(A165,Matchs!$A$4:$A$31,0)),""),"OK","⚠ Vérifier vs score adverse"))</f>
        <v/>
      </c>
    </row>
    <row r="166" spans="1:7" ht="15" customHeight="1" x14ac:dyDescent="0.25">
      <c r="A166" s="4"/>
      <c r="B166" s="4"/>
      <c r="C166" s="4"/>
      <c r="D166" s="4" t="str">
        <f t="shared" si="2"/>
        <v/>
      </c>
      <c r="E166" s="4"/>
      <c r="F166" s="4"/>
      <c r="G166" s="17" t="str">
        <f>IF(A166="","",IF(SUMIFS($C$4:$C$500,$A$4:$A$500,A166)=IFERROR(INDEX(Matchs!$H$4:$H$31,MATCH(A166,Matchs!$A$4:$A$31,0)),""),"OK","⚠ Vérifier vs score adverse"))</f>
        <v/>
      </c>
    </row>
    <row r="167" spans="1:7" ht="15" customHeight="1" x14ac:dyDescent="0.25">
      <c r="A167" s="4"/>
      <c r="B167" s="4"/>
      <c r="C167" s="4"/>
      <c r="D167" s="4" t="str">
        <f t="shared" si="2"/>
        <v/>
      </c>
      <c r="E167" s="4"/>
      <c r="F167" s="4"/>
      <c r="G167" s="17" t="str">
        <f>IF(A167="","",IF(SUMIFS($C$4:$C$500,$A$4:$A$500,A167)=IFERROR(INDEX(Matchs!$H$4:$H$31,MATCH(A167,Matchs!$A$4:$A$31,0)),""),"OK","⚠ Vérifier vs score adverse"))</f>
        <v/>
      </c>
    </row>
    <row r="168" spans="1:7" ht="15" customHeight="1" x14ac:dyDescent="0.25">
      <c r="A168" s="4"/>
      <c r="B168" s="4"/>
      <c r="C168" s="4"/>
      <c r="D168" s="4" t="str">
        <f t="shared" si="2"/>
        <v/>
      </c>
      <c r="E168" s="4"/>
      <c r="F168" s="4"/>
      <c r="G168" s="17" t="str">
        <f>IF(A168="","",IF(SUMIFS($C$4:$C$500,$A$4:$A$500,A168)=IFERROR(INDEX(Matchs!$H$4:$H$31,MATCH(A168,Matchs!$A$4:$A$31,0)),""),"OK","⚠ Vérifier vs score adverse"))</f>
        <v/>
      </c>
    </row>
    <row r="169" spans="1:7" ht="15" customHeight="1" x14ac:dyDescent="0.25">
      <c r="A169" s="4"/>
      <c r="B169" s="4"/>
      <c r="C169" s="4"/>
      <c r="D169" s="4" t="str">
        <f t="shared" si="2"/>
        <v/>
      </c>
      <c r="E169" s="4"/>
      <c r="F169" s="4"/>
      <c r="G169" s="17" t="str">
        <f>IF(A169="","",IF(SUMIFS($C$4:$C$500,$A$4:$A$500,A169)=IFERROR(INDEX(Matchs!$H$4:$H$31,MATCH(A169,Matchs!$A$4:$A$31,0)),""),"OK","⚠ Vérifier vs score adverse"))</f>
        <v/>
      </c>
    </row>
    <row r="170" spans="1:7" ht="15" customHeight="1" x14ac:dyDescent="0.25">
      <c r="A170" s="4"/>
      <c r="B170" s="4"/>
      <c r="C170" s="4"/>
      <c r="D170" s="4" t="str">
        <f t="shared" si="2"/>
        <v/>
      </c>
      <c r="E170" s="4"/>
      <c r="F170" s="4"/>
      <c r="G170" s="17" t="str">
        <f>IF(A170="","",IF(SUMIFS($C$4:$C$500,$A$4:$A$500,A170)=IFERROR(INDEX(Matchs!$H$4:$H$31,MATCH(A170,Matchs!$A$4:$A$31,0)),""),"OK","⚠ Vérifier vs score adverse"))</f>
        <v/>
      </c>
    </row>
    <row r="171" spans="1:7" ht="15" customHeight="1" x14ac:dyDescent="0.25">
      <c r="A171" s="4"/>
      <c r="B171" s="4"/>
      <c r="C171" s="4"/>
      <c r="D171" s="4" t="str">
        <f t="shared" si="2"/>
        <v/>
      </c>
      <c r="E171" s="4"/>
      <c r="F171" s="4"/>
      <c r="G171" s="17" t="str">
        <f>IF(A171="","",IF(SUMIFS($C$4:$C$500,$A$4:$A$500,A171)=IFERROR(INDEX(Matchs!$H$4:$H$31,MATCH(A171,Matchs!$A$4:$A$31,0)),""),"OK","⚠ Vérifier vs score adverse"))</f>
        <v/>
      </c>
    </row>
    <row r="172" spans="1:7" ht="15" customHeight="1" x14ac:dyDescent="0.25">
      <c r="A172" s="4"/>
      <c r="B172" s="4"/>
      <c r="C172" s="4"/>
      <c r="D172" s="4" t="str">
        <f t="shared" si="2"/>
        <v/>
      </c>
      <c r="E172" s="4"/>
      <c r="F172" s="4"/>
      <c r="G172" s="17" t="str">
        <f>IF(A172="","",IF(SUMIFS($C$4:$C$500,$A$4:$A$500,A172)=IFERROR(INDEX(Matchs!$H$4:$H$31,MATCH(A172,Matchs!$A$4:$A$31,0)),""),"OK","⚠ Vérifier vs score adverse"))</f>
        <v/>
      </c>
    </row>
    <row r="173" spans="1:7" ht="15" customHeight="1" x14ac:dyDescent="0.25">
      <c r="A173" s="4"/>
      <c r="B173" s="4"/>
      <c r="C173" s="4"/>
      <c r="D173" s="4" t="str">
        <f t="shared" si="2"/>
        <v/>
      </c>
      <c r="E173" s="4"/>
      <c r="F173" s="4"/>
      <c r="G173" s="17" t="str">
        <f>IF(A173="","",IF(SUMIFS($C$4:$C$500,$A$4:$A$500,A173)=IFERROR(INDEX(Matchs!$H$4:$H$31,MATCH(A173,Matchs!$A$4:$A$31,0)),""),"OK","⚠ Vérifier vs score adverse"))</f>
        <v/>
      </c>
    </row>
    <row r="174" spans="1:7" ht="15" customHeight="1" x14ac:dyDescent="0.25">
      <c r="A174" s="4"/>
      <c r="B174" s="4"/>
      <c r="C174" s="4"/>
      <c r="D174" s="4" t="str">
        <f t="shared" si="2"/>
        <v/>
      </c>
      <c r="E174" s="4"/>
      <c r="F174" s="4"/>
      <c r="G174" s="17" t="str">
        <f>IF(A174="","",IF(SUMIFS($C$4:$C$500,$A$4:$A$500,A174)=IFERROR(INDEX(Matchs!$H$4:$H$31,MATCH(A174,Matchs!$A$4:$A$31,0)),""),"OK","⚠ Vérifier vs score adverse"))</f>
        <v/>
      </c>
    </row>
    <row r="175" spans="1:7" ht="15" customHeight="1" x14ac:dyDescent="0.25">
      <c r="A175" s="4"/>
      <c r="B175" s="4"/>
      <c r="C175" s="4"/>
      <c r="D175" s="4" t="str">
        <f t="shared" si="2"/>
        <v/>
      </c>
      <c r="E175" s="4"/>
      <c r="F175" s="4"/>
      <c r="G175" s="17" t="str">
        <f>IF(A175="","",IF(SUMIFS($C$4:$C$500,$A$4:$A$500,A175)=IFERROR(INDEX(Matchs!$H$4:$H$31,MATCH(A175,Matchs!$A$4:$A$31,0)),""),"OK","⚠ Vérifier vs score adverse"))</f>
        <v/>
      </c>
    </row>
    <row r="176" spans="1:7" ht="15" customHeight="1" x14ac:dyDescent="0.25">
      <c r="A176" s="4"/>
      <c r="B176" s="4"/>
      <c r="C176" s="4"/>
      <c r="D176" s="4" t="str">
        <f t="shared" si="2"/>
        <v/>
      </c>
      <c r="E176" s="4"/>
      <c r="F176" s="4"/>
      <c r="G176" s="17" t="str">
        <f>IF(A176="","",IF(SUMIFS($C$4:$C$500,$A$4:$A$500,A176)=IFERROR(INDEX(Matchs!$H$4:$H$31,MATCH(A176,Matchs!$A$4:$A$31,0)),""),"OK","⚠ Vérifier vs score adverse"))</f>
        <v/>
      </c>
    </row>
    <row r="177" spans="1:7" ht="15" customHeight="1" x14ac:dyDescent="0.25">
      <c r="A177" s="4"/>
      <c r="B177" s="4"/>
      <c r="C177" s="4"/>
      <c r="D177" s="4" t="str">
        <f t="shared" si="2"/>
        <v/>
      </c>
      <c r="E177" s="4"/>
      <c r="F177" s="4"/>
      <c r="G177" s="17" t="str">
        <f>IF(A177="","",IF(SUMIFS($C$4:$C$500,$A$4:$A$500,A177)=IFERROR(INDEX(Matchs!$H$4:$H$31,MATCH(A177,Matchs!$A$4:$A$31,0)),""),"OK","⚠ Vérifier vs score adverse"))</f>
        <v/>
      </c>
    </row>
    <row r="178" spans="1:7" ht="15" customHeight="1" x14ac:dyDescent="0.25">
      <c r="A178" s="4"/>
      <c r="B178" s="4"/>
      <c r="C178" s="4"/>
      <c r="D178" s="4" t="str">
        <f t="shared" si="2"/>
        <v/>
      </c>
      <c r="E178" s="4"/>
      <c r="F178" s="4"/>
      <c r="G178" s="17" t="str">
        <f>IF(A178="","",IF(SUMIFS($C$4:$C$500,$A$4:$A$500,A178)=IFERROR(INDEX(Matchs!$H$4:$H$31,MATCH(A178,Matchs!$A$4:$A$31,0)),""),"OK","⚠ Vérifier vs score adverse"))</f>
        <v/>
      </c>
    </row>
    <row r="179" spans="1:7" ht="15" customHeight="1" x14ac:dyDescent="0.25">
      <c r="A179" s="4"/>
      <c r="B179" s="4"/>
      <c r="C179" s="4"/>
      <c r="D179" s="4" t="str">
        <f t="shared" si="2"/>
        <v/>
      </c>
      <c r="E179" s="4"/>
      <c r="F179" s="4"/>
      <c r="G179" s="17" t="str">
        <f>IF(A179="","",IF(SUMIFS($C$4:$C$500,$A$4:$A$500,A179)=IFERROR(INDEX(Matchs!$H$4:$H$31,MATCH(A179,Matchs!$A$4:$A$31,0)),""),"OK","⚠ Vérifier vs score adverse"))</f>
        <v/>
      </c>
    </row>
    <row r="180" spans="1:7" ht="15" customHeight="1" x14ac:dyDescent="0.25">
      <c r="A180" s="4"/>
      <c r="B180" s="4"/>
      <c r="C180" s="4"/>
      <c r="D180" s="4" t="str">
        <f t="shared" si="2"/>
        <v/>
      </c>
      <c r="E180" s="4"/>
      <c r="F180" s="4"/>
      <c r="G180" s="17" t="str">
        <f>IF(A180="","",IF(SUMIFS($C$4:$C$500,$A$4:$A$500,A180)=IFERROR(INDEX(Matchs!$H$4:$H$31,MATCH(A180,Matchs!$A$4:$A$31,0)),""),"OK","⚠ Vérifier vs score adverse"))</f>
        <v/>
      </c>
    </row>
    <row r="181" spans="1:7" ht="15" customHeight="1" x14ac:dyDescent="0.25">
      <c r="A181" s="4"/>
      <c r="B181" s="4"/>
      <c r="C181" s="4"/>
      <c r="D181" s="4" t="str">
        <f t="shared" si="2"/>
        <v/>
      </c>
      <c r="E181" s="4"/>
      <c r="F181" s="4"/>
      <c r="G181" s="17" t="str">
        <f>IF(A181="","",IF(SUMIFS($C$4:$C$500,$A$4:$A$500,A181)=IFERROR(INDEX(Matchs!$H$4:$H$31,MATCH(A181,Matchs!$A$4:$A$31,0)),""),"OK","⚠ Vérifier vs score adverse"))</f>
        <v/>
      </c>
    </row>
    <row r="182" spans="1:7" ht="15" customHeight="1" x14ac:dyDescent="0.25">
      <c r="A182" s="4"/>
      <c r="B182" s="4"/>
      <c r="C182" s="4"/>
      <c r="D182" s="4" t="str">
        <f t="shared" si="2"/>
        <v/>
      </c>
      <c r="E182" s="4"/>
      <c r="F182" s="4"/>
      <c r="G182" s="17" t="str">
        <f>IF(A182="","",IF(SUMIFS($C$4:$C$500,$A$4:$A$500,A182)=IFERROR(INDEX(Matchs!$H$4:$H$31,MATCH(A182,Matchs!$A$4:$A$31,0)),""),"OK","⚠ Vérifier vs score adverse"))</f>
        <v/>
      </c>
    </row>
    <row r="183" spans="1:7" ht="15" customHeight="1" x14ac:dyDescent="0.25">
      <c r="A183" s="4"/>
      <c r="B183" s="4"/>
      <c r="C183" s="4"/>
      <c r="D183" s="4" t="str">
        <f t="shared" si="2"/>
        <v/>
      </c>
      <c r="E183" s="4"/>
      <c r="F183" s="4"/>
      <c r="G183" s="17" t="str">
        <f>IF(A183="","",IF(SUMIFS($C$4:$C$500,$A$4:$A$500,A183)=IFERROR(INDEX(Matchs!$H$4:$H$31,MATCH(A183,Matchs!$A$4:$A$31,0)),""),"OK","⚠ Vérifier vs score adverse"))</f>
        <v/>
      </c>
    </row>
    <row r="184" spans="1:7" ht="15" customHeight="1" x14ac:dyDescent="0.25">
      <c r="A184" s="4"/>
      <c r="B184" s="4"/>
      <c r="C184" s="4"/>
      <c r="D184" s="4" t="str">
        <f t="shared" si="2"/>
        <v/>
      </c>
      <c r="E184" s="4"/>
      <c r="F184" s="4"/>
      <c r="G184" s="17" t="str">
        <f>IF(A184="","",IF(SUMIFS($C$4:$C$500,$A$4:$A$500,A184)=IFERROR(INDEX(Matchs!$H$4:$H$31,MATCH(A184,Matchs!$A$4:$A$31,0)),""),"OK","⚠ Vérifier vs score adverse"))</f>
        <v/>
      </c>
    </row>
    <row r="185" spans="1:7" ht="15" customHeight="1" x14ac:dyDescent="0.25">
      <c r="A185" s="4"/>
      <c r="B185" s="4"/>
      <c r="C185" s="4"/>
      <c r="D185" s="4" t="str">
        <f t="shared" si="2"/>
        <v/>
      </c>
      <c r="E185" s="4"/>
      <c r="F185" s="4"/>
      <c r="G185" s="17" t="str">
        <f>IF(A185="","",IF(SUMIFS($C$4:$C$500,$A$4:$A$500,A185)=IFERROR(INDEX(Matchs!$H$4:$H$31,MATCH(A185,Matchs!$A$4:$A$31,0)),""),"OK","⚠ Vérifier vs score adverse"))</f>
        <v/>
      </c>
    </row>
    <row r="186" spans="1:7" ht="15" customHeight="1" x14ac:dyDescent="0.25">
      <c r="A186" s="4"/>
      <c r="B186" s="4"/>
      <c r="C186" s="4"/>
      <c r="D186" s="4" t="str">
        <f t="shared" si="2"/>
        <v/>
      </c>
      <c r="E186" s="4"/>
      <c r="F186" s="4"/>
      <c r="G186" s="17" t="str">
        <f>IF(A186="","",IF(SUMIFS($C$4:$C$500,$A$4:$A$500,A186)=IFERROR(INDEX(Matchs!$H$4:$H$31,MATCH(A186,Matchs!$A$4:$A$31,0)),""),"OK","⚠ Vérifier vs score adverse"))</f>
        <v/>
      </c>
    </row>
    <row r="187" spans="1:7" ht="15" customHeight="1" x14ac:dyDescent="0.25">
      <c r="A187" s="4"/>
      <c r="B187" s="4"/>
      <c r="C187" s="4"/>
      <c r="D187" s="4" t="str">
        <f t="shared" si="2"/>
        <v/>
      </c>
      <c r="E187" s="4"/>
      <c r="F187" s="4"/>
      <c r="G187" s="17" t="str">
        <f>IF(A187="","",IF(SUMIFS($C$4:$C$500,$A$4:$A$500,A187)=IFERROR(INDEX(Matchs!$H$4:$H$31,MATCH(A187,Matchs!$A$4:$A$31,0)),""),"OK","⚠ Vérifier vs score adverse"))</f>
        <v/>
      </c>
    </row>
    <row r="188" spans="1:7" ht="15" customHeight="1" x14ac:dyDescent="0.25">
      <c r="A188" s="4"/>
      <c r="B188" s="4"/>
      <c r="C188" s="4"/>
      <c r="D188" s="4" t="str">
        <f t="shared" si="2"/>
        <v/>
      </c>
      <c r="E188" s="4"/>
      <c r="F188" s="4"/>
      <c r="G188" s="17" t="str">
        <f>IF(A188="","",IF(SUMIFS($C$4:$C$500,$A$4:$A$500,A188)=IFERROR(INDEX(Matchs!$H$4:$H$31,MATCH(A188,Matchs!$A$4:$A$31,0)),""),"OK","⚠ Vérifier vs score adverse"))</f>
        <v/>
      </c>
    </row>
    <row r="189" spans="1:7" ht="15" customHeight="1" x14ac:dyDescent="0.25">
      <c r="A189" s="4"/>
      <c r="B189" s="4"/>
      <c r="C189" s="4"/>
      <c r="D189" s="4" t="str">
        <f t="shared" si="2"/>
        <v/>
      </c>
      <c r="E189" s="4"/>
      <c r="F189" s="4"/>
      <c r="G189" s="17" t="str">
        <f>IF(A189="","",IF(SUMIFS($C$4:$C$500,$A$4:$A$500,A189)=IFERROR(INDEX(Matchs!$H$4:$H$31,MATCH(A189,Matchs!$A$4:$A$31,0)),""),"OK","⚠ Vérifier vs score adverse"))</f>
        <v/>
      </c>
    </row>
    <row r="190" spans="1:7" ht="15" customHeight="1" x14ac:dyDescent="0.25">
      <c r="A190" s="4"/>
      <c r="B190" s="4"/>
      <c r="C190" s="4"/>
      <c r="D190" s="4" t="str">
        <f t="shared" si="2"/>
        <v/>
      </c>
      <c r="E190" s="4"/>
      <c r="F190" s="4"/>
      <c r="G190" s="17" t="str">
        <f>IF(A190="","",IF(SUMIFS($C$4:$C$500,$A$4:$A$500,A190)=IFERROR(INDEX(Matchs!$H$4:$H$31,MATCH(A190,Matchs!$A$4:$A$31,0)),""),"OK","⚠ Vérifier vs score adverse"))</f>
        <v/>
      </c>
    </row>
    <row r="191" spans="1:7" ht="15" customHeight="1" x14ac:dyDescent="0.25">
      <c r="A191" s="4"/>
      <c r="B191" s="4"/>
      <c r="C191" s="4"/>
      <c r="D191" s="4" t="str">
        <f t="shared" si="2"/>
        <v/>
      </c>
      <c r="E191" s="4"/>
      <c r="F191" s="4"/>
      <c r="G191" s="17" t="str">
        <f>IF(A191="","",IF(SUMIFS($C$4:$C$500,$A$4:$A$500,A191)=IFERROR(INDEX(Matchs!$H$4:$H$31,MATCH(A191,Matchs!$A$4:$A$31,0)),""),"OK","⚠ Vérifier vs score adverse"))</f>
        <v/>
      </c>
    </row>
    <row r="192" spans="1:7" ht="15" customHeight="1" x14ac:dyDescent="0.25">
      <c r="A192" s="4"/>
      <c r="B192" s="4"/>
      <c r="C192" s="4"/>
      <c r="D192" s="4" t="str">
        <f t="shared" si="2"/>
        <v/>
      </c>
      <c r="E192" s="4"/>
      <c r="F192" s="4"/>
      <c r="G192" s="17" t="str">
        <f>IF(A192="","",IF(SUMIFS($C$4:$C$500,$A$4:$A$500,A192)=IFERROR(INDEX(Matchs!$H$4:$H$31,MATCH(A192,Matchs!$A$4:$A$31,0)),""),"OK","⚠ Vérifier vs score adverse"))</f>
        <v/>
      </c>
    </row>
    <row r="193" spans="1:7" ht="15" customHeight="1" x14ac:dyDescent="0.25">
      <c r="A193" s="4"/>
      <c r="B193" s="4"/>
      <c r="C193" s="4"/>
      <c r="D193" s="4" t="str">
        <f t="shared" si="2"/>
        <v/>
      </c>
      <c r="E193" s="4"/>
      <c r="F193" s="4"/>
      <c r="G193" s="17" t="str">
        <f>IF(A193="","",IF(SUMIFS($C$4:$C$500,$A$4:$A$500,A193)=IFERROR(INDEX(Matchs!$H$4:$H$31,MATCH(A193,Matchs!$A$4:$A$31,0)),""),"OK","⚠ Vérifier vs score adverse"))</f>
        <v/>
      </c>
    </row>
    <row r="194" spans="1:7" ht="15" customHeight="1" x14ac:dyDescent="0.25">
      <c r="A194" s="4"/>
      <c r="B194" s="4"/>
      <c r="C194" s="4"/>
      <c r="D194" s="4" t="str">
        <f t="shared" si="2"/>
        <v/>
      </c>
      <c r="E194" s="4"/>
      <c r="F194" s="4"/>
      <c r="G194" s="17" t="str">
        <f>IF(A194="","",IF(SUMIFS($C$4:$C$500,$A$4:$A$500,A194)=IFERROR(INDEX(Matchs!$H$4:$H$31,MATCH(A194,Matchs!$A$4:$A$31,0)),""),"OK","⚠ Vérifier vs score adverse"))</f>
        <v/>
      </c>
    </row>
    <row r="195" spans="1:7" ht="15" customHeight="1" x14ac:dyDescent="0.25">
      <c r="A195" s="4"/>
      <c r="B195" s="4"/>
      <c r="C195" s="4"/>
      <c r="D195" s="4" t="str">
        <f t="shared" si="2"/>
        <v/>
      </c>
      <c r="E195" s="4"/>
      <c r="F195" s="4"/>
      <c r="G195" s="17" t="str">
        <f>IF(A195="","",IF(SUMIFS($C$4:$C$500,$A$4:$A$500,A195)=IFERROR(INDEX(Matchs!$H$4:$H$31,MATCH(A195,Matchs!$A$4:$A$31,0)),""),"OK","⚠ Vérifier vs score adverse"))</f>
        <v/>
      </c>
    </row>
    <row r="196" spans="1:7" ht="15" customHeight="1" x14ac:dyDescent="0.25">
      <c r="A196" s="4"/>
      <c r="B196" s="4"/>
      <c r="C196" s="4"/>
      <c r="D196" s="4" t="str">
        <f t="shared" ref="D196:D259" si="3">IF(C196="","",IF(C196=0,"Oui","Non"))</f>
        <v/>
      </c>
      <c r="E196" s="4"/>
      <c r="F196" s="4"/>
      <c r="G196" s="17" t="str">
        <f>IF(A196="","",IF(SUMIFS($C$4:$C$500,$A$4:$A$500,A196)=IFERROR(INDEX(Matchs!$H$4:$H$31,MATCH(A196,Matchs!$A$4:$A$31,0)),""),"OK","⚠ Vérifier vs score adverse"))</f>
        <v/>
      </c>
    </row>
    <row r="197" spans="1:7" ht="15" customHeight="1" x14ac:dyDescent="0.25">
      <c r="A197" s="4"/>
      <c r="B197" s="4"/>
      <c r="C197" s="4"/>
      <c r="D197" s="4" t="str">
        <f t="shared" si="3"/>
        <v/>
      </c>
      <c r="E197" s="4"/>
      <c r="F197" s="4"/>
      <c r="G197" s="17" t="str">
        <f>IF(A197="","",IF(SUMIFS($C$4:$C$500,$A$4:$A$500,A197)=IFERROR(INDEX(Matchs!$H$4:$H$31,MATCH(A197,Matchs!$A$4:$A$31,0)),""),"OK","⚠ Vérifier vs score adverse"))</f>
        <v/>
      </c>
    </row>
    <row r="198" spans="1:7" ht="15" customHeight="1" x14ac:dyDescent="0.25">
      <c r="A198" s="4"/>
      <c r="B198" s="4"/>
      <c r="C198" s="4"/>
      <c r="D198" s="4" t="str">
        <f t="shared" si="3"/>
        <v/>
      </c>
      <c r="E198" s="4"/>
      <c r="F198" s="4"/>
      <c r="G198" s="17" t="str">
        <f>IF(A198="","",IF(SUMIFS($C$4:$C$500,$A$4:$A$500,A198)=IFERROR(INDEX(Matchs!$H$4:$H$31,MATCH(A198,Matchs!$A$4:$A$31,0)),""),"OK","⚠ Vérifier vs score adverse"))</f>
        <v/>
      </c>
    </row>
    <row r="199" spans="1:7" ht="15" customHeight="1" x14ac:dyDescent="0.25">
      <c r="A199" s="4"/>
      <c r="B199" s="4"/>
      <c r="C199" s="4"/>
      <c r="D199" s="4" t="str">
        <f t="shared" si="3"/>
        <v/>
      </c>
      <c r="E199" s="4"/>
      <c r="F199" s="4"/>
      <c r="G199" s="17" t="str">
        <f>IF(A199="","",IF(SUMIFS($C$4:$C$500,$A$4:$A$500,A199)=IFERROR(INDEX(Matchs!$H$4:$H$31,MATCH(A199,Matchs!$A$4:$A$31,0)),""),"OK","⚠ Vérifier vs score adverse"))</f>
        <v/>
      </c>
    </row>
    <row r="200" spans="1:7" ht="15" customHeight="1" x14ac:dyDescent="0.25">
      <c r="A200" s="4"/>
      <c r="B200" s="4"/>
      <c r="C200" s="4"/>
      <c r="D200" s="4" t="str">
        <f t="shared" si="3"/>
        <v/>
      </c>
      <c r="E200" s="4"/>
      <c r="F200" s="4"/>
      <c r="G200" s="17" t="str">
        <f>IF(A200="","",IF(SUMIFS($C$4:$C$500,$A$4:$A$500,A200)=IFERROR(INDEX(Matchs!$H$4:$H$31,MATCH(A200,Matchs!$A$4:$A$31,0)),""),"OK","⚠ Vérifier vs score adverse"))</f>
        <v/>
      </c>
    </row>
    <row r="201" spans="1:7" ht="15" customHeight="1" x14ac:dyDescent="0.25">
      <c r="A201" s="4"/>
      <c r="B201" s="4"/>
      <c r="C201" s="4"/>
      <c r="D201" s="4" t="str">
        <f t="shared" si="3"/>
        <v/>
      </c>
      <c r="E201" s="4"/>
      <c r="F201" s="4"/>
      <c r="G201" s="17" t="str">
        <f>IF(A201="","",IF(SUMIFS($C$4:$C$500,$A$4:$A$500,A201)=IFERROR(INDEX(Matchs!$H$4:$H$31,MATCH(A201,Matchs!$A$4:$A$31,0)),""),"OK","⚠ Vérifier vs score adverse"))</f>
        <v/>
      </c>
    </row>
    <row r="202" spans="1:7" ht="15" customHeight="1" x14ac:dyDescent="0.25">
      <c r="A202" s="4"/>
      <c r="B202" s="4"/>
      <c r="C202" s="4"/>
      <c r="D202" s="4" t="str">
        <f t="shared" si="3"/>
        <v/>
      </c>
      <c r="E202" s="4"/>
      <c r="F202" s="4"/>
      <c r="G202" s="17" t="str">
        <f>IF(A202="","",IF(SUMIFS($C$4:$C$500,$A$4:$A$500,A202)=IFERROR(INDEX(Matchs!$H$4:$H$31,MATCH(A202,Matchs!$A$4:$A$31,0)),""),"OK","⚠ Vérifier vs score adverse"))</f>
        <v/>
      </c>
    </row>
    <row r="203" spans="1:7" ht="15" customHeight="1" x14ac:dyDescent="0.25">
      <c r="A203" s="4"/>
      <c r="B203" s="4"/>
      <c r="C203" s="4"/>
      <c r="D203" s="4" t="str">
        <f t="shared" si="3"/>
        <v/>
      </c>
      <c r="E203" s="4"/>
      <c r="F203" s="4"/>
      <c r="G203" s="17" t="str">
        <f>IF(A203="","",IF(SUMIFS($C$4:$C$500,$A$4:$A$500,A203)=IFERROR(INDEX(Matchs!$H$4:$H$31,MATCH(A203,Matchs!$A$4:$A$31,0)),""),"OK","⚠ Vérifier vs score adverse"))</f>
        <v/>
      </c>
    </row>
    <row r="204" spans="1:7" ht="15" customHeight="1" x14ac:dyDescent="0.25">
      <c r="A204" s="4"/>
      <c r="B204" s="4"/>
      <c r="C204" s="4"/>
      <c r="D204" s="4" t="str">
        <f t="shared" si="3"/>
        <v/>
      </c>
      <c r="E204" s="4"/>
      <c r="F204" s="4"/>
      <c r="G204" s="17" t="str">
        <f>IF(A204="","",IF(SUMIFS($C$4:$C$500,$A$4:$A$500,A204)=IFERROR(INDEX(Matchs!$H$4:$H$31,MATCH(A204,Matchs!$A$4:$A$31,0)),""),"OK","⚠ Vérifier vs score adverse"))</f>
        <v/>
      </c>
    </row>
    <row r="205" spans="1:7" ht="15" customHeight="1" x14ac:dyDescent="0.25">
      <c r="A205" s="4"/>
      <c r="B205" s="4"/>
      <c r="C205" s="4"/>
      <c r="D205" s="4" t="str">
        <f t="shared" si="3"/>
        <v/>
      </c>
      <c r="E205" s="4"/>
      <c r="F205" s="4"/>
      <c r="G205" s="17" t="str">
        <f>IF(A205="","",IF(SUMIFS($C$4:$C$500,$A$4:$A$500,A205)=IFERROR(INDEX(Matchs!$H$4:$H$31,MATCH(A205,Matchs!$A$4:$A$31,0)),""),"OK","⚠ Vérifier vs score adverse"))</f>
        <v/>
      </c>
    </row>
    <row r="206" spans="1:7" ht="15" customHeight="1" x14ac:dyDescent="0.25">
      <c r="A206" s="4"/>
      <c r="B206" s="4"/>
      <c r="C206" s="4"/>
      <c r="D206" s="4" t="str">
        <f t="shared" si="3"/>
        <v/>
      </c>
      <c r="E206" s="4"/>
      <c r="F206" s="4"/>
      <c r="G206" s="17" t="str">
        <f>IF(A206="","",IF(SUMIFS($C$4:$C$500,$A$4:$A$500,A206)=IFERROR(INDEX(Matchs!$H$4:$H$31,MATCH(A206,Matchs!$A$4:$A$31,0)),""),"OK","⚠ Vérifier vs score adverse"))</f>
        <v/>
      </c>
    </row>
    <row r="207" spans="1:7" ht="15" customHeight="1" x14ac:dyDescent="0.25">
      <c r="A207" s="4"/>
      <c r="B207" s="4"/>
      <c r="C207" s="4"/>
      <c r="D207" s="4" t="str">
        <f t="shared" si="3"/>
        <v/>
      </c>
      <c r="E207" s="4"/>
      <c r="F207" s="4"/>
      <c r="G207" s="17" t="str">
        <f>IF(A207="","",IF(SUMIFS($C$4:$C$500,$A$4:$A$500,A207)=IFERROR(INDEX(Matchs!$H$4:$H$31,MATCH(A207,Matchs!$A$4:$A$31,0)),""),"OK","⚠ Vérifier vs score adverse"))</f>
        <v/>
      </c>
    </row>
    <row r="208" spans="1:7" ht="15" customHeight="1" x14ac:dyDescent="0.25">
      <c r="A208" s="4"/>
      <c r="B208" s="4"/>
      <c r="C208" s="4"/>
      <c r="D208" s="4" t="str">
        <f t="shared" si="3"/>
        <v/>
      </c>
      <c r="E208" s="4"/>
      <c r="F208" s="4"/>
      <c r="G208" s="17" t="str">
        <f>IF(A208="","",IF(SUMIFS($C$4:$C$500,$A$4:$A$500,A208)=IFERROR(INDEX(Matchs!$H$4:$H$31,MATCH(A208,Matchs!$A$4:$A$31,0)),""),"OK","⚠ Vérifier vs score adverse"))</f>
        <v/>
      </c>
    </row>
    <row r="209" spans="1:7" ht="15" customHeight="1" x14ac:dyDescent="0.25">
      <c r="A209" s="4"/>
      <c r="B209" s="4"/>
      <c r="C209" s="4"/>
      <c r="D209" s="4" t="str">
        <f t="shared" si="3"/>
        <v/>
      </c>
      <c r="E209" s="4"/>
      <c r="F209" s="4"/>
      <c r="G209" s="17" t="str">
        <f>IF(A209="","",IF(SUMIFS($C$4:$C$500,$A$4:$A$500,A209)=IFERROR(INDEX(Matchs!$H$4:$H$31,MATCH(A209,Matchs!$A$4:$A$31,0)),""),"OK","⚠ Vérifier vs score adverse"))</f>
        <v/>
      </c>
    </row>
    <row r="210" spans="1:7" ht="15" customHeight="1" x14ac:dyDescent="0.25">
      <c r="A210" s="4"/>
      <c r="B210" s="4"/>
      <c r="C210" s="4"/>
      <c r="D210" s="4" t="str">
        <f t="shared" si="3"/>
        <v/>
      </c>
      <c r="E210" s="4"/>
      <c r="F210" s="4"/>
      <c r="G210" s="17" t="str">
        <f>IF(A210="","",IF(SUMIFS($C$4:$C$500,$A$4:$A$500,A210)=IFERROR(INDEX(Matchs!$H$4:$H$31,MATCH(A210,Matchs!$A$4:$A$31,0)),""),"OK","⚠ Vérifier vs score adverse"))</f>
        <v/>
      </c>
    </row>
    <row r="211" spans="1:7" ht="15" customHeight="1" x14ac:dyDescent="0.25">
      <c r="A211" s="4"/>
      <c r="B211" s="4"/>
      <c r="C211" s="4"/>
      <c r="D211" s="4" t="str">
        <f t="shared" si="3"/>
        <v/>
      </c>
      <c r="E211" s="4"/>
      <c r="F211" s="4"/>
      <c r="G211" s="17" t="str">
        <f>IF(A211="","",IF(SUMIFS($C$4:$C$500,$A$4:$A$500,A211)=IFERROR(INDEX(Matchs!$H$4:$H$31,MATCH(A211,Matchs!$A$4:$A$31,0)),""),"OK","⚠ Vérifier vs score adverse"))</f>
        <v/>
      </c>
    </row>
    <row r="212" spans="1:7" ht="15" customHeight="1" x14ac:dyDescent="0.25">
      <c r="A212" s="4"/>
      <c r="B212" s="4"/>
      <c r="C212" s="4"/>
      <c r="D212" s="4" t="str">
        <f t="shared" si="3"/>
        <v/>
      </c>
      <c r="E212" s="4"/>
      <c r="F212" s="4"/>
      <c r="G212" s="17" t="str">
        <f>IF(A212="","",IF(SUMIFS($C$4:$C$500,$A$4:$A$500,A212)=IFERROR(INDEX(Matchs!$H$4:$H$31,MATCH(A212,Matchs!$A$4:$A$31,0)),""),"OK","⚠ Vérifier vs score adverse"))</f>
        <v/>
      </c>
    </row>
    <row r="213" spans="1:7" ht="15" customHeight="1" x14ac:dyDescent="0.25">
      <c r="A213" s="4"/>
      <c r="B213" s="4"/>
      <c r="C213" s="4"/>
      <c r="D213" s="4" t="str">
        <f t="shared" si="3"/>
        <v/>
      </c>
      <c r="E213" s="4"/>
      <c r="F213" s="4"/>
      <c r="G213" s="17" t="str">
        <f>IF(A213="","",IF(SUMIFS($C$4:$C$500,$A$4:$A$500,A213)=IFERROR(INDEX(Matchs!$H$4:$H$31,MATCH(A213,Matchs!$A$4:$A$31,0)),""),"OK","⚠ Vérifier vs score adverse"))</f>
        <v/>
      </c>
    </row>
    <row r="214" spans="1:7" ht="15" customHeight="1" x14ac:dyDescent="0.25">
      <c r="A214" s="4"/>
      <c r="B214" s="4"/>
      <c r="C214" s="4"/>
      <c r="D214" s="4" t="str">
        <f t="shared" si="3"/>
        <v/>
      </c>
      <c r="E214" s="4"/>
      <c r="F214" s="4"/>
      <c r="G214" s="17" t="str">
        <f>IF(A214="","",IF(SUMIFS($C$4:$C$500,$A$4:$A$500,A214)=IFERROR(INDEX(Matchs!$H$4:$H$31,MATCH(A214,Matchs!$A$4:$A$31,0)),""),"OK","⚠ Vérifier vs score adverse"))</f>
        <v/>
      </c>
    </row>
    <row r="215" spans="1:7" ht="15" customHeight="1" x14ac:dyDescent="0.25">
      <c r="A215" s="4"/>
      <c r="B215" s="4"/>
      <c r="C215" s="4"/>
      <c r="D215" s="4" t="str">
        <f t="shared" si="3"/>
        <v/>
      </c>
      <c r="E215" s="4"/>
      <c r="F215" s="4"/>
      <c r="G215" s="17" t="str">
        <f>IF(A215="","",IF(SUMIFS($C$4:$C$500,$A$4:$A$500,A215)=IFERROR(INDEX(Matchs!$H$4:$H$31,MATCH(A215,Matchs!$A$4:$A$31,0)),""),"OK","⚠ Vérifier vs score adverse"))</f>
        <v/>
      </c>
    </row>
    <row r="216" spans="1:7" ht="15" customHeight="1" x14ac:dyDescent="0.25">
      <c r="A216" s="4"/>
      <c r="B216" s="4"/>
      <c r="C216" s="4"/>
      <c r="D216" s="4" t="str">
        <f t="shared" si="3"/>
        <v/>
      </c>
      <c r="E216" s="4"/>
      <c r="F216" s="4"/>
      <c r="G216" s="17" t="str">
        <f>IF(A216="","",IF(SUMIFS($C$4:$C$500,$A$4:$A$500,A216)=IFERROR(INDEX(Matchs!$H$4:$H$31,MATCH(A216,Matchs!$A$4:$A$31,0)),""),"OK","⚠ Vérifier vs score adverse"))</f>
        <v/>
      </c>
    </row>
    <row r="217" spans="1:7" ht="15" customHeight="1" x14ac:dyDescent="0.25">
      <c r="A217" s="4"/>
      <c r="B217" s="4"/>
      <c r="C217" s="4"/>
      <c r="D217" s="4" t="str">
        <f t="shared" si="3"/>
        <v/>
      </c>
      <c r="E217" s="4"/>
      <c r="F217" s="4"/>
      <c r="G217" s="17" t="str">
        <f>IF(A217="","",IF(SUMIFS($C$4:$C$500,$A$4:$A$500,A217)=IFERROR(INDEX(Matchs!$H$4:$H$31,MATCH(A217,Matchs!$A$4:$A$31,0)),""),"OK","⚠ Vérifier vs score adverse"))</f>
        <v/>
      </c>
    </row>
    <row r="218" spans="1:7" ht="15" customHeight="1" x14ac:dyDescent="0.25">
      <c r="A218" s="4"/>
      <c r="B218" s="4"/>
      <c r="C218" s="4"/>
      <c r="D218" s="4" t="str">
        <f t="shared" si="3"/>
        <v/>
      </c>
      <c r="E218" s="4"/>
      <c r="F218" s="4"/>
      <c r="G218" s="17" t="str">
        <f>IF(A218="","",IF(SUMIFS($C$4:$C$500,$A$4:$A$500,A218)=IFERROR(INDEX(Matchs!$H$4:$H$31,MATCH(A218,Matchs!$A$4:$A$31,0)),""),"OK","⚠ Vérifier vs score adverse"))</f>
        <v/>
      </c>
    </row>
    <row r="219" spans="1:7" ht="15" customHeight="1" x14ac:dyDescent="0.25">
      <c r="A219" s="4"/>
      <c r="B219" s="4"/>
      <c r="C219" s="4"/>
      <c r="D219" s="4" t="str">
        <f t="shared" si="3"/>
        <v/>
      </c>
      <c r="E219" s="4"/>
      <c r="F219" s="4"/>
      <c r="G219" s="17" t="str">
        <f>IF(A219="","",IF(SUMIFS($C$4:$C$500,$A$4:$A$500,A219)=IFERROR(INDEX(Matchs!$H$4:$H$31,MATCH(A219,Matchs!$A$4:$A$31,0)),""),"OK","⚠ Vérifier vs score adverse"))</f>
        <v/>
      </c>
    </row>
    <row r="220" spans="1:7" ht="15" customHeight="1" x14ac:dyDescent="0.25">
      <c r="A220" s="4"/>
      <c r="B220" s="4"/>
      <c r="C220" s="4"/>
      <c r="D220" s="4" t="str">
        <f t="shared" si="3"/>
        <v/>
      </c>
      <c r="E220" s="4"/>
      <c r="F220" s="4"/>
      <c r="G220" s="17" t="str">
        <f>IF(A220="","",IF(SUMIFS($C$4:$C$500,$A$4:$A$500,A220)=IFERROR(INDEX(Matchs!$H$4:$H$31,MATCH(A220,Matchs!$A$4:$A$31,0)),""),"OK","⚠ Vérifier vs score adverse"))</f>
        <v/>
      </c>
    </row>
    <row r="221" spans="1:7" ht="15" customHeight="1" x14ac:dyDescent="0.25">
      <c r="A221" s="4"/>
      <c r="B221" s="4"/>
      <c r="C221" s="4"/>
      <c r="D221" s="4" t="str">
        <f t="shared" si="3"/>
        <v/>
      </c>
      <c r="E221" s="4"/>
      <c r="F221" s="4"/>
      <c r="G221" s="17" t="str">
        <f>IF(A221="","",IF(SUMIFS($C$4:$C$500,$A$4:$A$500,A221)=IFERROR(INDEX(Matchs!$H$4:$H$31,MATCH(A221,Matchs!$A$4:$A$31,0)),""),"OK","⚠ Vérifier vs score adverse"))</f>
        <v/>
      </c>
    </row>
    <row r="222" spans="1:7" ht="15" customHeight="1" x14ac:dyDescent="0.25">
      <c r="A222" s="4"/>
      <c r="B222" s="4"/>
      <c r="C222" s="4"/>
      <c r="D222" s="4" t="str">
        <f t="shared" si="3"/>
        <v/>
      </c>
      <c r="E222" s="4"/>
      <c r="F222" s="4"/>
      <c r="G222" s="17" t="str">
        <f>IF(A222="","",IF(SUMIFS($C$4:$C$500,$A$4:$A$500,A222)=IFERROR(INDEX(Matchs!$H$4:$H$31,MATCH(A222,Matchs!$A$4:$A$31,0)),""),"OK","⚠ Vérifier vs score adverse"))</f>
        <v/>
      </c>
    </row>
    <row r="223" spans="1:7" ht="15" customHeight="1" x14ac:dyDescent="0.25">
      <c r="A223" s="4"/>
      <c r="B223" s="4"/>
      <c r="C223" s="4"/>
      <c r="D223" s="4" t="str">
        <f t="shared" si="3"/>
        <v/>
      </c>
      <c r="E223" s="4"/>
      <c r="F223" s="4"/>
      <c r="G223" s="17" t="str">
        <f>IF(A223="","",IF(SUMIFS($C$4:$C$500,$A$4:$A$500,A223)=IFERROR(INDEX(Matchs!$H$4:$H$31,MATCH(A223,Matchs!$A$4:$A$31,0)),""),"OK","⚠ Vérifier vs score adverse"))</f>
        <v/>
      </c>
    </row>
    <row r="224" spans="1:7" ht="15" customHeight="1" x14ac:dyDescent="0.25">
      <c r="A224" s="4"/>
      <c r="B224" s="4"/>
      <c r="C224" s="4"/>
      <c r="D224" s="4" t="str">
        <f t="shared" si="3"/>
        <v/>
      </c>
      <c r="E224" s="4"/>
      <c r="F224" s="4"/>
      <c r="G224" s="17" t="str">
        <f>IF(A224="","",IF(SUMIFS($C$4:$C$500,$A$4:$A$500,A224)=IFERROR(INDEX(Matchs!$H$4:$H$31,MATCH(A224,Matchs!$A$4:$A$31,0)),""),"OK","⚠ Vérifier vs score adverse"))</f>
        <v/>
      </c>
    </row>
    <row r="225" spans="1:7" ht="15" customHeight="1" x14ac:dyDescent="0.25">
      <c r="A225" s="4"/>
      <c r="B225" s="4"/>
      <c r="C225" s="4"/>
      <c r="D225" s="4" t="str">
        <f t="shared" si="3"/>
        <v/>
      </c>
      <c r="E225" s="4"/>
      <c r="F225" s="4"/>
      <c r="G225" s="17" t="str">
        <f>IF(A225="","",IF(SUMIFS($C$4:$C$500,$A$4:$A$500,A225)=IFERROR(INDEX(Matchs!$H$4:$H$31,MATCH(A225,Matchs!$A$4:$A$31,0)),""),"OK","⚠ Vérifier vs score adverse"))</f>
        <v/>
      </c>
    </row>
    <row r="226" spans="1:7" ht="15" customHeight="1" x14ac:dyDescent="0.25">
      <c r="A226" s="4"/>
      <c r="B226" s="4"/>
      <c r="C226" s="4"/>
      <c r="D226" s="4" t="str">
        <f t="shared" si="3"/>
        <v/>
      </c>
      <c r="E226" s="4"/>
      <c r="F226" s="4"/>
      <c r="G226" s="17" t="str">
        <f>IF(A226="","",IF(SUMIFS($C$4:$C$500,$A$4:$A$500,A226)=IFERROR(INDEX(Matchs!$H$4:$H$31,MATCH(A226,Matchs!$A$4:$A$31,0)),""),"OK","⚠ Vérifier vs score adverse"))</f>
        <v/>
      </c>
    </row>
    <row r="227" spans="1:7" ht="15" customHeight="1" x14ac:dyDescent="0.25">
      <c r="A227" s="4"/>
      <c r="B227" s="4"/>
      <c r="C227" s="4"/>
      <c r="D227" s="4" t="str">
        <f t="shared" si="3"/>
        <v/>
      </c>
      <c r="E227" s="4"/>
      <c r="F227" s="4"/>
      <c r="G227" s="17" t="str">
        <f>IF(A227="","",IF(SUMIFS($C$4:$C$500,$A$4:$A$500,A227)=IFERROR(INDEX(Matchs!$H$4:$H$31,MATCH(A227,Matchs!$A$4:$A$31,0)),""),"OK","⚠ Vérifier vs score adverse"))</f>
        <v/>
      </c>
    </row>
    <row r="228" spans="1:7" ht="15" customHeight="1" x14ac:dyDescent="0.25">
      <c r="A228" s="4"/>
      <c r="B228" s="4"/>
      <c r="C228" s="4"/>
      <c r="D228" s="4" t="str">
        <f t="shared" si="3"/>
        <v/>
      </c>
      <c r="E228" s="4"/>
      <c r="F228" s="4"/>
      <c r="G228" s="17" t="str">
        <f>IF(A228="","",IF(SUMIFS($C$4:$C$500,$A$4:$A$500,A228)=IFERROR(INDEX(Matchs!$H$4:$H$31,MATCH(A228,Matchs!$A$4:$A$31,0)),""),"OK","⚠ Vérifier vs score adverse"))</f>
        <v/>
      </c>
    </row>
    <row r="229" spans="1:7" ht="15" customHeight="1" x14ac:dyDescent="0.25">
      <c r="A229" s="4"/>
      <c r="B229" s="4"/>
      <c r="C229" s="4"/>
      <c r="D229" s="4" t="str">
        <f t="shared" si="3"/>
        <v/>
      </c>
      <c r="E229" s="4"/>
      <c r="F229" s="4"/>
      <c r="G229" s="17" t="str">
        <f>IF(A229="","",IF(SUMIFS($C$4:$C$500,$A$4:$A$500,A229)=IFERROR(INDEX(Matchs!$H$4:$H$31,MATCH(A229,Matchs!$A$4:$A$31,0)),""),"OK","⚠ Vérifier vs score adverse"))</f>
        <v/>
      </c>
    </row>
    <row r="230" spans="1:7" ht="15" customHeight="1" x14ac:dyDescent="0.25">
      <c r="A230" s="4"/>
      <c r="B230" s="4"/>
      <c r="C230" s="4"/>
      <c r="D230" s="4" t="str">
        <f t="shared" si="3"/>
        <v/>
      </c>
      <c r="E230" s="4"/>
      <c r="F230" s="4"/>
      <c r="G230" s="17" t="str">
        <f>IF(A230="","",IF(SUMIFS($C$4:$C$500,$A$4:$A$500,A230)=IFERROR(INDEX(Matchs!$H$4:$H$31,MATCH(A230,Matchs!$A$4:$A$31,0)),""),"OK","⚠ Vérifier vs score adverse"))</f>
        <v/>
      </c>
    </row>
    <row r="231" spans="1:7" ht="15" customHeight="1" x14ac:dyDescent="0.25">
      <c r="A231" s="4"/>
      <c r="B231" s="4"/>
      <c r="C231" s="4"/>
      <c r="D231" s="4" t="str">
        <f t="shared" si="3"/>
        <v/>
      </c>
      <c r="E231" s="4"/>
      <c r="F231" s="4"/>
      <c r="G231" s="17" t="str">
        <f>IF(A231="","",IF(SUMIFS($C$4:$C$500,$A$4:$A$500,A231)=IFERROR(INDEX(Matchs!$H$4:$H$31,MATCH(A231,Matchs!$A$4:$A$31,0)),""),"OK","⚠ Vérifier vs score adverse"))</f>
        <v/>
      </c>
    </row>
    <row r="232" spans="1:7" ht="15" customHeight="1" x14ac:dyDescent="0.25">
      <c r="A232" s="4"/>
      <c r="B232" s="4"/>
      <c r="C232" s="4"/>
      <c r="D232" s="4" t="str">
        <f t="shared" si="3"/>
        <v/>
      </c>
      <c r="E232" s="4"/>
      <c r="F232" s="4"/>
      <c r="G232" s="17" t="str">
        <f>IF(A232="","",IF(SUMIFS($C$4:$C$500,$A$4:$A$500,A232)=IFERROR(INDEX(Matchs!$H$4:$H$31,MATCH(A232,Matchs!$A$4:$A$31,0)),""),"OK","⚠ Vérifier vs score adverse"))</f>
        <v/>
      </c>
    </row>
    <row r="233" spans="1:7" ht="15" customHeight="1" x14ac:dyDescent="0.25">
      <c r="A233" s="4"/>
      <c r="B233" s="4"/>
      <c r="C233" s="4"/>
      <c r="D233" s="4" t="str">
        <f t="shared" si="3"/>
        <v/>
      </c>
      <c r="E233" s="4"/>
      <c r="F233" s="4"/>
      <c r="G233" s="17" t="str">
        <f>IF(A233="","",IF(SUMIFS($C$4:$C$500,$A$4:$A$500,A233)=IFERROR(INDEX(Matchs!$H$4:$H$31,MATCH(A233,Matchs!$A$4:$A$31,0)),""),"OK","⚠ Vérifier vs score adverse"))</f>
        <v/>
      </c>
    </row>
    <row r="234" spans="1:7" ht="15" customHeight="1" x14ac:dyDescent="0.25">
      <c r="A234" s="4"/>
      <c r="B234" s="4"/>
      <c r="C234" s="4"/>
      <c r="D234" s="4" t="str">
        <f t="shared" si="3"/>
        <v/>
      </c>
      <c r="E234" s="4"/>
      <c r="F234" s="4"/>
      <c r="G234" s="17" t="str">
        <f>IF(A234="","",IF(SUMIFS($C$4:$C$500,$A$4:$A$500,A234)=IFERROR(INDEX(Matchs!$H$4:$H$31,MATCH(A234,Matchs!$A$4:$A$31,0)),""),"OK","⚠ Vérifier vs score adverse"))</f>
        <v/>
      </c>
    </row>
    <row r="235" spans="1:7" ht="15" customHeight="1" x14ac:dyDescent="0.25">
      <c r="A235" s="4"/>
      <c r="B235" s="4"/>
      <c r="C235" s="4"/>
      <c r="D235" s="4" t="str">
        <f t="shared" si="3"/>
        <v/>
      </c>
      <c r="E235" s="4"/>
      <c r="F235" s="4"/>
      <c r="G235" s="17" t="str">
        <f>IF(A235="","",IF(SUMIFS($C$4:$C$500,$A$4:$A$500,A235)=IFERROR(INDEX(Matchs!$H$4:$H$31,MATCH(A235,Matchs!$A$4:$A$31,0)),""),"OK","⚠ Vérifier vs score adverse"))</f>
        <v/>
      </c>
    </row>
    <row r="236" spans="1:7" ht="15" customHeight="1" x14ac:dyDescent="0.25">
      <c r="A236" s="4"/>
      <c r="B236" s="4"/>
      <c r="C236" s="4"/>
      <c r="D236" s="4" t="str">
        <f t="shared" si="3"/>
        <v/>
      </c>
      <c r="E236" s="4"/>
      <c r="F236" s="4"/>
      <c r="G236" s="17" t="str">
        <f>IF(A236="","",IF(SUMIFS($C$4:$C$500,$A$4:$A$500,A236)=IFERROR(INDEX(Matchs!$H$4:$H$31,MATCH(A236,Matchs!$A$4:$A$31,0)),""),"OK","⚠ Vérifier vs score adverse"))</f>
        <v/>
      </c>
    </row>
    <row r="237" spans="1:7" ht="15" customHeight="1" x14ac:dyDescent="0.25">
      <c r="A237" s="4"/>
      <c r="B237" s="4"/>
      <c r="C237" s="4"/>
      <c r="D237" s="4" t="str">
        <f t="shared" si="3"/>
        <v/>
      </c>
      <c r="E237" s="4"/>
      <c r="F237" s="4"/>
      <c r="G237" s="17" t="str">
        <f>IF(A237="","",IF(SUMIFS($C$4:$C$500,$A$4:$A$500,A237)=IFERROR(INDEX(Matchs!$H$4:$H$31,MATCH(A237,Matchs!$A$4:$A$31,0)),""),"OK","⚠ Vérifier vs score adverse"))</f>
        <v/>
      </c>
    </row>
    <row r="238" spans="1:7" ht="15" customHeight="1" x14ac:dyDescent="0.25">
      <c r="A238" s="4"/>
      <c r="B238" s="4"/>
      <c r="C238" s="4"/>
      <c r="D238" s="4" t="str">
        <f t="shared" si="3"/>
        <v/>
      </c>
      <c r="E238" s="4"/>
      <c r="F238" s="4"/>
      <c r="G238" s="17" t="str">
        <f>IF(A238="","",IF(SUMIFS($C$4:$C$500,$A$4:$A$500,A238)=IFERROR(INDEX(Matchs!$H$4:$H$31,MATCH(A238,Matchs!$A$4:$A$31,0)),""),"OK","⚠ Vérifier vs score adverse"))</f>
        <v/>
      </c>
    </row>
    <row r="239" spans="1:7" ht="15" customHeight="1" x14ac:dyDescent="0.25">
      <c r="A239" s="4"/>
      <c r="B239" s="4"/>
      <c r="C239" s="4"/>
      <c r="D239" s="4" t="str">
        <f t="shared" si="3"/>
        <v/>
      </c>
      <c r="E239" s="4"/>
      <c r="F239" s="4"/>
      <c r="G239" s="17" t="str">
        <f>IF(A239="","",IF(SUMIFS($C$4:$C$500,$A$4:$A$500,A239)=IFERROR(INDEX(Matchs!$H$4:$H$31,MATCH(A239,Matchs!$A$4:$A$31,0)),""),"OK","⚠ Vérifier vs score adverse"))</f>
        <v/>
      </c>
    </row>
    <row r="240" spans="1:7" ht="15" customHeight="1" x14ac:dyDescent="0.25">
      <c r="A240" s="4"/>
      <c r="B240" s="4"/>
      <c r="C240" s="4"/>
      <c r="D240" s="4" t="str">
        <f t="shared" si="3"/>
        <v/>
      </c>
      <c r="E240" s="4"/>
      <c r="F240" s="4"/>
      <c r="G240" s="17" t="str">
        <f>IF(A240="","",IF(SUMIFS($C$4:$C$500,$A$4:$A$500,A240)=IFERROR(INDEX(Matchs!$H$4:$H$31,MATCH(A240,Matchs!$A$4:$A$31,0)),""),"OK","⚠ Vérifier vs score adverse"))</f>
        <v/>
      </c>
    </row>
    <row r="241" spans="1:7" ht="15" customHeight="1" x14ac:dyDescent="0.25">
      <c r="A241" s="4"/>
      <c r="B241" s="4"/>
      <c r="C241" s="4"/>
      <c r="D241" s="4" t="str">
        <f t="shared" si="3"/>
        <v/>
      </c>
      <c r="E241" s="4"/>
      <c r="F241" s="4"/>
      <c r="G241" s="17" t="str">
        <f>IF(A241="","",IF(SUMIFS($C$4:$C$500,$A$4:$A$500,A241)=IFERROR(INDEX(Matchs!$H$4:$H$31,MATCH(A241,Matchs!$A$4:$A$31,0)),""),"OK","⚠ Vérifier vs score adverse"))</f>
        <v/>
      </c>
    </row>
    <row r="242" spans="1:7" ht="15" customHeight="1" x14ac:dyDescent="0.25">
      <c r="A242" s="4"/>
      <c r="B242" s="4"/>
      <c r="C242" s="4"/>
      <c r="D242" s="4" t="str">
        <f t="shared" si="3"/>
        <v/>
      </c>
      <c r="E242" s="4"/>
      <c r="F242" s="4"/>
      <c r="G242" s="17" t="str">
        <f>IF(A242="","",IF(SUMIFS($C$4:$C$500,$A$4:$A$500,A242)=IFERROR(INDEX(Matchs!$H$4:$H$31,MATCH(A242,Matchs!$A$4:$A$31,0)),""),"OK","⚠ Vérifier vs score adverse"))</f>
        <v/>
      </c>
    </row>
    <row r="243" spans="1:7" ht="15" customHeight="1" x14ac:dyDescent="0.25">
      <c r="A243" s="4"/>
      <c r="B243" s="4"/>
      <c r="C243" s="4"/>
      <c r="D243" s="4" t="str">
        <f t="shared" si="3"/>
        <v/>
      </c>
      <c r="E243" s="4"/>
      <c r="F243" s="4"/>
      <c r="G243" s="17" t="str">
        <f>IF(A243="","",IF(SUMIFS($C$4:$C$500,$A$4:$A$500,A243)=IFERROR(INDEX(Matchs!$H$4:$H$31,MATCH(A243,Matchs!$A$4:$A$31,0)),""),"OK","⚠ Vérifier vs score adverse"))</f>
        <v/>
      </c>
    </row>
    <row r="244" spans="1:7" ht="15" customHeight="1" x14ac:dyDescent="0.25">
      <c r="A244" s="4"/>
      <c r="B244" s="4"/>
      <c r="C244" s="4"/>
      <c r="D244" s="4" t="str">
        <f t="shared" si="3"/>
        <v/>
      </c>
      <c r="E244" s="4"/>
      <c r="F244" s="4"/>
      <c r="G244" s="17" t="str">
        <f>IF(A244="","",IF(SUMIFS($C$4:$C$500,$A$4:$A$500,A244)=IFERROR(INDEX(Matchs!$H$4:$H$31,MATCH(A244,Matchs!$A$4:$A$31,0)),""),"OK","⚠ Vérifier vs score adverse"))</f>
        <v/>
      </c>
    </row>
    <row r="245" spans="1:7" ht="15" customHeight="1" x14ac:dyDescent="0.25">
      <c r="A245" s="4"/>
      <c r="B245" s="4"/>
      <c r="C245" s="4"/>
      <c r="D245" s="4" t="str">
        <f t="shared" si="3"/>
        <v/>
      </c>
      <c r="E245" s="4"/>
      <c r="F245" s="4"/>
      <c r="G245" s="17" t="str">
        <f>IF(A245="","",IF(SUMIFS($C$4:$C$500,$A$4:$A$500,A245)=IFERROR(INDEX(Matchs!$H$4:$H$31,MATCH(A245,Matchs!$A$4:$A$31,0)),""),"OK","⚠ Vérifier vs score adverse"))</f>
        <v/>
      </c>
    </row>
    <row r="246" spans="1:7" ht="15" customHeight="1" x14ac:dyDescent="0.25">
      <c r="A246" s="4"/>
      <c r="B246" s="4"/>
      <c r="C246" s="4"/>
      <c r="D246" s="4" t="str">
        <f t="shared" si="3"/>
        <v/>
      </c>
      <c r="E246" s="4"/>
      <c r="F246" s="4"/>
      <c r="G246" s="17" t="str">
        <f>IF(A246="","",IF(SUMIFS($C$4:$C$500,$A$4:$A$500,A246)=IFERROR(INDEX(Matchs!$H$4:$H$31,MATCH(A246,Matchs!$A$4:$A$31,0)),""),"OK","⚠ Vérifier vs score adverse"))</f>
        <v/>
      </c>
    </row>
    <row r="247" spans="1:7" ht="15" customHeight="1" x14ac:dyDescent="0.25">
      <c r="A247" s="4"/>
      <c r="B247" s="4"/>
      <c r="C247" s="4"/>
      <c r="D247" s="4" t="str">
        <f t="shared" si="3"/>
        <v/>
      </c>
      <c r="E247" s="4"/>
      <c r="F247" s="4"/>
      <c r="G247" s="17" t="str">
        <f>IF(A247="","",IF(SUMIFS($C$4:$C$500,$A$4:$A$500,A247)=IFERROR(INDEX(Matchs!$H$4:$H$31,MATCH(A247,Matchs!$A$4:$A$31,0)),""),"OK","⚠ Vérifier vs score adverse"))</f>
        <v/>
      </c>
    </row>
    <row r="248" spans="1:7" ht="15" customHeight="1" x14ac:dyDescent="0.25">
      <c r="A248" s="4"/>
      <c r="B248" s="4"/>
      <c r="C248" s="4"/>
      <c r="D248" s="4" t="str">
        <f t="shared" si="3"/>
        <v/>
      </c>
      <c r="E248" s="4"/>
      <c r="F248" s="4"/>
      <c r="G248" s="17" t="str">
        <f>IF(A248="","",IF(SUMIFS($C$4:$C$500,$A$4:$A$500,A248)=IFERROR(INDEX(Matchs!$H$4:$H$31,MATCH(A248,Matchs!$A$4:$A$31,0)),""),"OK","⚠ Vérifier vs score adverse"))</f>
        <v/>
      </c>
    </row>
    <row r="249" spans="1:7" ht="15" customHeight="1" x14ac:dyDescent="0.25">
      <c r="A249" s="4"/>
      <c r="B249" s="4"/>
      <c r="C249" s="4"/>
      <c r="D249" s="4" t="str">
        <f t="shared" si="3"/>
        <v/>
      </c>
      <c r="E249" s="4"/>
      <c r="F249" s="4"/>
      <c r="G249" s="17" t="str">
        <f>IF(A249="","",IF(SUMIFS($C$4:$C$500,$A$4:$A$500,A249)=IFERROR(INDEX(Matchs!$H$4:$H$31,MATCH(A249,Matchs!$A$4:$A$31,0)),""),"OK","⚠ Vérifier vs score adverse"))</f>
        <v/>
      </c>
    </row>
    <row r="250" spans="1:7" ht="15" customHeight="1" x14ac:dyDescent="0.25">
      <c r="A250" s="4"/>
      <c r="B250" s="4"/>
      <c r="C250" s="4"/>
      <c r="D250" s="4" t="str">
        <f t="shared" si="3"/>
        <v/>
      </c>
      <c r="E250" s="4"/>
      <c r="F250" s="4"/>
      <c r="G250" s="17" t="str">
        <f>IF(A250="","",IF(SUMIFS($C$4:$C$500,$A$4:$A$500,A250)=IFERROR(INDEX(Matchs!$H$4:$H$31,MATCH(A250,Matchs!$A$4:$A$31,0)),""),"OK","⚠ Vérifier vs score adverse"))</f>
        <v/>
      </c>
    </row>
    <row r="251" spans="1:7" ht="15" customHeight="1" x14ac:dyDescent="0.25">
      <c r="A251" s="4"/>
      <c r="B251" s="4"/>
      <c r="C251" s="4"/>
      <c r="D251" s="4" t="str">
        <f t="shared" si="3"/>
        <v/>
      </c>
      <c r="E251" s="4"/>
      <c r="F251" s="4"/>
      <c r="G251" s="17" t="str">
        <f>IF(A251="","",IF(SUMIFS($C$4:$C$500,$A$4:$A$500,A251)=IFERROR(INDEX(Matchs!$H$4:$H$31,MATCH(A251,Matchs!$A$4:$A$31,0)),""),"OK","⚠ Vérifier vs score adverse"))</f>
        <v/>
      </c>
    </row>
    <row r="252" spans="1:7" ht="15" customHeight="1" x14ac:dyDescent="0.25">
      <c r="A252" s="4"/>
      <c r="B252" s="4"/>
      <c r="C252" s="4"/>
      <c r="D252" s="4" t="str">
        <f t="shared" si="3"/>
        <v/>
      </c>
      <c r="E252" s="4"/>
      <c r="F252" s="4"/>
      <c r="G252" s="17" t="str">
        <f>IF(A252="","",IF(SUMIFS($C$4:$C$500,$A$4:$A$500,A252)=IFERROR(INDEX(Matchs!$H$4:$H$31,MATCH(A252,Matchs!$A$4:$A$31,0)),""),"OK","⚠ Vérifier vs score adverse"))</f>
        <v/>
      </c>
    </row>
    <row r="253" spans="1:7" ht="15" customHeight="1" x14ac:dyDescent="0.25">
      <c r="A253" s="4"/>
      <c r="B253" s="4"/>
      <c r="C253" s="4"/>
      <c r="D253" s="4" t="str">
        <f t="shared" si="3"/>
        <v/>
      </c>
      <c r="E253" s="4"/>
      <c r="F253" s="4"/>
      <c r="G253" s="17" t="str">
        <f>IF(A253="","",IF(SUMIFS($C$4:$C$500,$A$4:$A$500,A253)=IFERROR(INDEX(Matchs!$H$4:$H$31,MATCH(A253,Matchs!$A$4:$A$31,0)),""),"OK","⚠ Vérifier vs score adverse"))</f>
        <v/>
      </c>
    </row>
    <row r="254" spans="1:7" ht="15" customHeight="1" x14ac:dyDescent="0.25">
      <c r="A254" s="4"/>
      <c r="B254" s="4"/>
      <c r="C254" s="4"/>
      <c r="D254" s="4" t="str">
        <f t="shared" si="3"/>
        <v/>
      </c>
      <c r="E254" s="4"/>
      <c r="F254" s="4"/>
      <c r="G254" s="17" t="str">
        <f>IF(A254="","",IF(SUMIFS($C$4:$C$500,$A$4:$A$500,A254)=IFERROR(INDEX(Matchs!$H$4:$H$31,MATCH(A254,Matchs!$A$4:$A$31,0)),""),"OK","⚠ Vérifier vs score adverse"))</f>
        <v/>
      </c>
    </row>
    <row r="255" spans="1:7" ht="15" customHeight="1" x14ac:dyDescent="0.25">
      <c r="A255" s="4"/>
      <c r="B255" s="4"/>
      <c r="C255" s="4"/>
      <c r="D255" s="4" t="str">
        <f t="shared" si="3"/>
        <v/>
      </c>
      <c r="E255" s="4"/>
      <c r="F255" s="4"/>
      <c r="G255" s="17" t="str">
        <f>IF(A255="","",IF(SUMIFS($C$4:$C$500,$A$4:$A$500,A255)=IFERROR(INDEX(Matchs!$H$4:$H$31,MATCH(A255,Matchs!$A$4:$A$31,0)),""),"OK","⚠ Vérifier vs score adverse"))</f>
        <v/>
      </c>
    </row>
    <row r="256" spans="1:7" ht="15" customHeight="1" x14ac:dyDescent="0.25">
      <c r="A256" s="4"/>
      <c r="B256" s="4"/>
      <c r="C256" s="4"/>
      <c r="D256" s="4" t="str">
        <f t="shared" si="3"/>
        <v/>
      </c>
      <c r="E256" s="4"/>
      <c r="F256" s="4"/>
      <c r="G256" s="17" t="str">
        <f>IF(A256="","",IF(SUMIFS($C$4:$C$500,$A$4:$A$500,A256)=IFERROR(INDEX(Matchs!$H$4:$H$31,MATCH(A256,Matchs!$A$4:$A$31,0)),""),"OK","⚠ Vérifier vs score adverse"))</f>
        <v/>
      </c>
    </row>
    <row r="257" spans="1:7" ht="15" customHeight="1" x14ac:dyDescent="0.25">
      <c r="A257" s="4"/>
      <c r="B257" s="4"/>
      <c r="C257" s="4"/>
      <c r="D257" s="4" t="str">
        <f t="shared" si="3"/>
        <v/>
      </c>
      <c r="E257" s="4"/>
      <c r="F257" s="4"/>
      <c r="G257" s="17" t="str">
        <f>IF(A257="","",IF(SUMIFS($C$4:$C$500,$A$4:$A$500,A257)=IFERROR(INDEX(Matchs!$H$4:$H$31,MATCH(A257,Matchs!$A$4:$A$31,0)),""),"OK","⚠ Vérifier vs score adverse"))</f>
        <v/>
      </c>
    </row>
    <row r="258" spans="1:7" ht="15" customHeight="1" x14ac:dyDescent="0.25">
      <c r="A258" s="4"/>
      <c r="B258" s="4"/>
      <c r="C258" s="4"/>
      <c r="D258" s="4" t="str">
        <f t="shared" si="3"/>
        <v/>
      </c>
      <c r="E258" s="4"/>
      <c r="F258" s="4"/>
      <c r="G258" s="17" t="str">
        <f>IF(A258="","",IF(SUMIFS($C$4:$C$500,$A$4:$A$500,A258)=IFERROR(INDEX(Matchs!$H$4:$H$31,MATCH(A258,Matchs!$A$4:$A$31,0)),""),"OK","⚠ Vérifier vs score adverse"))</f>
        <v/>
      </c>
    </row>
    <row r="259" spans="1:7" ht="15" customHeight="1" x14ac:dyDescent="0.25">
      <c r="A259" s="4"/>
      <c r="B259" s="4"/>
      <c r="C259" s="4"/>
      <c r="D259" s="4" t="str">
        <f t="shared" si="3"/>
        <v/>
      </c>
      <c r="E259" s="4"/>
      <c r="F259" s="4"/>
      <c r="G259" s="17" t="str">
        <f>IF(A259="","",IF(SUMIFS($C$4:$C$500,$A$4:$A$500,A259)=IFERROR(INDEX(Matchs!$H$4:$H$31,MATCH(A259,Matchs!$A$4:$A$31,0)),""),"OK","⚠ Vérifier vs score adverse"))</f>
        <v/>
      </c>
    </row>
    <row r="260" spans="1:7" ht="15" customHeight="1" x14ac:dyDescent="0.25">
      <c r="A260" s="4"/>
      <c r="B260" s="4"/>
      <c r="C260" s="4"/>
      <c r="D260" s="4" t="str">
        <f t="shared" ref="D260:D323" si="4">IF(C260="","",IF(C260=0,"Oui","Non"))</f>
        <v/>
      </c>
      <c r="E260" s="4"/>
      <c r="F260" s="4"/>
      <c r="G260" s="17" t="str">
        <f>IF(A260="","",IF(SUMIFS($C$4:$C$500,$A$4:$A$500,A260)=IFERROR(INDEX(Matchs!$H$4:$H$31,MATCH(A260,Matchs!$A$4:$A$31,0)),""),"OK","⚠ Vérifier vs score adverse"))</f>
        <v/>
      </c>
    </row>
    <row r="261" spans="1:7" ht="15" customHeight="1" x14ac:dyDescent="0.25">
      <c r="A261" s="4"/>
      <c r="B261" s="4"/>
      <c r="C261" s="4"/>
      <c r="D261" s="4" t="str">
        <f t="shared" si="4"/>
        <v/>
      </c>
      <c r="E261" s="4"/>
      <c r="F261" s="4"/>
      <c r="G261" s="17" t="str">
        <f>IF(A261="","",IF(SUMIFS($C$4:$C$500,$A$4:$A$500,A261)=IFERROR(INDEX(Matchs!$H$4:$H$31,MATCH(A261,Matchs!$A$4:$A$31,0)),""),"OK","⚠ Vérifier vs score adverse"))</f>
        <v/>
      </c>
    </row>
    <row r="262" spans="1:7" ht="15" customHeight="1" x14ac:dyDescent="0.25">
      <c r="A262" s="4"/>
      <c r="B262" s="4"/>
      <c r="C262" s="4"/>
      <c r="D262" s="4" t="str">
        <f t="shared" si="4"/>
        <v/>
      </c>
      <c r="E262" s="4"/>
      <c r="F262" s="4"/>
      <c r="G262" s="17" t="str">
        <f>IF(A262="","",IF(SUMIFS($C$4:$C$500,$A$4:$A$500,A262)=IFERROR(INDEX(Matchs!$H$4:$H$31,MATCH(A262,Matchs!$A$4:$A$31,0)),""),"OK","⚠ Vérifier vs score adverse"))</f>
        <v/>
      </c>
    </row>
    <row r="263" spans="1:7" ht="15" customHeight="1" x14ac:dyDescent="0.25">
      <c r="A263" s="4"/>
      <c r="B263" s="4"/>
      <c r="C263" s="4"/>
      <c r="D263" s="4" t="str">
        <f t="shared" si="4"/>
        <v/>
      </c>
      <c r="E263" s="4"/>
      <c r="F263" s="4"/>
      <c r="G263" s="17" t="str">
        <f>IF(A263="","",IF(SUMIFS($C$4:$C$500,$A$4:$A$500,A263)=IFERROR(INDEX(Matchs!$H$4:$H$31,MATCH(A263,Matchs!$A$4:$A$31,0)),""),"OK","⚠ Vérifier vs score adverse"))</f>
        <v/>
      </c>
    </row>
    <row r="264" spans="1:7" ht="15" customHeight="1" x14ac:dyDescent="0.25">
      <c r="A264" s="4"/>
      <c r="B264" s="4"/>
      <c r="C264" s="4"/>
      <c r="D264" s="4" t="str">
        <f t="shared" si="4"/>
        <v/>
      </c>
      <c r="E264" s="4"/>
      <c r="F264" s="4"/>
      <c r="G264" s="17" t="str">
        <f>IF(A264="","",IF(SUMIFS($C$4:$C$500,$A$4:$A$500,A264)=IFERROR(INDEX(Matchs!$H$4:$H$31,MATCH(A264,Matchs!$A$4:$A$31,0)),""),"OK","⚠ Vérifier vs score adverse"))</f>
        <v/>
      </c>
    </row>
    <row r="265" spans="1:7" ht="15" customHeight="1" x14ac:dyDescent="0.25">
      <c r="A265" s="4"/>
      <c r="B265" s="4"/>
      <c r="C265" s="4"/>
      <c r="D265" s="4" t="str">
        <f t="shared" si="4"/>
        <v/>
      </c>
      <c r="E265" s="4"/>
      <c r="F265" s="4"/>
      <c r="G265" s="17" t="str">
        <f>IF(A265="","",IF(SUMIFS($C$4:$C$500,$A$4:$A$500,A265)=IFERROR(INDEX(Matchs!$H$4:$H$31,MATCH(A265,Matchs!$A$4:$A$31,0)),""),"OK","⚠ Vérifier vs score adverse"))</f>
        <v/>
      </c>
    </row>
    <row r="266" spans="1:7" ht="15" customHeight="1" x14ac:dyDescent="0.25">
      <c r="A266" s="4"/>
      <c r="B266" s="4"/>
      <c r="C266" s="4"/>
      <c r="D266" s="4" t="str">
        <f t="shared" si="4"/>
        <v/>
      </c>
      <c r="E266" s="4"/>
      <c r="F266" s="4"/>
      <c r="G266" s="17" t="str">
        <f>IF(A266="","",IF(SUMIFS($C$4:$C$500,$A$4:$A$500,A266)=IFERROR(INDEX(Matchs!$H$4:$H$31,MATCH(A266,Matchs!$A$4:$A$31,0)),""),"OK","⚠ Vérifier vs score adverse"))</f>
        <v/>
      </c>
    </row>
    <row r="267" spans="1:7" ht="15" customHeight="1" x14ac:dyDescent="0.25">
      <c r="A267" s="4"/>
      <c r="B267" s="4"/>
      <c r="C267" s="4"/>
      <c r="D267" s="4" t="str">
        <f t="shared" si="4"/>
        <v/>
      </c>
      <c r="E267" s="4"/>
      <c r="F267" s="4"/>
      <c r="G267" s="17" t="str">
        <f>IF(A267="","",IF(SUMIFS($C$4:$C$500,$A$4:$A$500,A267)=IFERROR(INDEX(Matchs!$H$4:$H$31,MATCH(A267,Matchs!$A$4:$A$31,0)),""),"OK","⚠ Vérifier vs score adverse"))</f>
        <v/>
      </c>
    </row>
    <row r="268" spans="1:7" ht="15" customHeight="1" x14ac:dyDescent="0.25">
      <c r="A268" s="4"/>
      <c r="B268" s="4"/>
      <c r="C268" s="4"/>
      <c r="D268" s="4" t="str">
        <f t="shared" si="4"/>
        <v/>
      </c>
      <c r="E268" s="4"/>
      <c r="F268" s="4"/>
      <c r="G268" s="17" t="str">
        <f>IF(A268="","",IF(SUMIFS($C$4:$C$500,$A$4:$A$500,A268)=IFERROR(INDEX(Matchs!$H$4:$H$31,MATCH(A268,Matchs!$A$4:$A$31,0)),""),"OK","⚠ Vérifier vs score adverse"))</f>
        <v/>
      </c>
    </row>
    <row r="269" spans="1:7" ht="15" customHeight="1" x14ac:dyDescent="0.25">
      <c r="A269" s="4"/>
      <c r="B269" s="4"/>
      <c r="C269" s="4"/>
      <c r="D269" s="4" t="str">
        <f t="shared" si="4"/>
        <v/>
      </c>
      <c r="E269" s="4"/>
      <c r="F269" s="4"/>
      <c r="G269" s="17" t="str">
        <f>IF(A269="","",IF(SUMIFS($C$4:$C$500,$A$4:$A$500,A269)=IFERROR(INDEX(Matchs!$H$4:$H$31,MATCH(A269,Matchs!$A$4:$A$31,0)),""),"OK","⚠ Vérifier vs score adverse"))</f>
        <v/>
      </c>
    </row>
    <row r="270" spans="1:7" ht="15" customHeight="1" x14ac:dyDescent="0.25">
      <c r="A270" s="4"/>
      <c r="B270" s="4"/>
      <c r="C270" s="4"/>
      <c r="D270" s="4" t="str">
        <f t="shared" si="4"/>
        <v/>
      </c>
      <c r="E270" s="4"/>
      <c r="F270" s="4"/>
      <c r="G270" s="17" t="str">
        <f>IF(A270="","",IF(SUMIFS($C$4:$C$500,$A$4:$A$500,A270)=IFERROR(INDEX(Matchs!$H$4:$H$31,MATCH(A270,Matchs!$A$4:$A$31,0)),""),"OK","⚠ Vérifier vs score adverse"))</f>
        <v/>
      </c>
    </row>
    <row r="271" spans="1:7" ht="15" customHeight="1" x14ac:dyDescent="0.25">
      <c r="A271" s="4"/>
      <c r="B271" s="4"/>
      <c r="C271" s="4"/>
      <c r="D271" s="4" t="str">
        <f t="shared" si="4"/>
        <v/>
      </c>
      <c r="E271" s="4"/>
      <c r="F271" s="4"/>
      <c r="G271" s="17" t="str">
        <f>IF(A271="","",IF(SUMIFS($C$4:$C$500,$A$4:$A$500,A271)=IFERROR(INDEX(Matchs!$H$4:$H$31,MATCH(A271,Matchs!$A$4:$A$31,0)),""),"OK","⚠ Vérifier vs score adverse"))</f>
        <v/>
      </c>
    </row>
    <row r="272" spans="1:7" ht="15" customHeight="1" x14ac:dyDescent="0.25">
      <c r="A272" s="4"/>
      <c r="B272" s="4"/>
      <c r="C272" s="4"/>
      <c r="D272" s="4" t="str">
        <f t="shared" si="4"/>
        <v/>
      </c>
      <c r="E272" s="4"/>
      <c r="F272" s="4"/>
      <c r="G272" s="17" t="str">
        <f>IF(A272="","",IF(SUMIFS($C$4:$C$500,$A$4:$A$500,A272)=IFERROR(INDEX(Matchs!$H$4:$H$31,MATCH(A272,Matchs!$A$4:$A$31,0)),""),"OK","⚠ Vérifier vs score adverse"))</f>
        <v/>
      </c>
    </row>
    <row r="273" spans="1:7" ht="15" customHeight="1" x14ac:dyDescent="0.25">
      <c r="A273" s="4"/>
      <c r="B273" s="4"/>
      <c r="C273" s="4"/>
      <c r="D273" s="4" t="str">
        <f t="shared" si="4"/>
        <v/>
      </c>
      <c r="E273" s="4"/>
      <c r="F273" s="4"/>
      <c r="G273" s="17" t="str">
        <f>IF(A273="","",IF(SUMIFS($C$4:$C$500,$A$4:$A$500,A273)=IFERROR(INDEX(Matchs!$H$4:$H$31,MATCH(A273,Matchs!$A$4:$A$31,0)),""),"OK","⚠ Vérifier vs score adverse"))</f>
        <v/>
      </c>
    </row>
    <row r="274" spans="1:7" ht="15" customHeight="1" x14ac:dyDescent="0.25">
      <c r="A274" s="4"/>
      <c r="B274" s="4"/>
      <c r="C274" s="4"/>
      <c r="D274" s="4" t="str">
        <f t="shared" si="4"/>
        <v/>
      </c>
      <c r="E274" s="4"/>
      <c r="F274" s="4"/>
      <c r="G274" s="17" t="str">
        <f>IF(A274="","",IF(SUMIFS($C$4:$C$500,$A$4:$A$500,A274)=IFERROR(INDEX(Matchs!$H$4:$H$31,MATCH(A274,Matchs!$A$4:$A$31,0)),""),"OK","⚠ Vérifier vs score adverse"))</f>
        <v/>
      </c>
    </row>
    <row r="275" spans="1:7" ht="15" customHeight="1" x14ac:dyDescent="0.25">
      <c r="A275" s="4"/>
      <c r="B275" s="4"/>
      <c r="C275" s="4"/>
      <c r="D275" s="4" t="str">
        <f t="shared" si="4"/>
        <v/>
      </c>
      <c r="E275" s="4"/>
      <c r="F275" s="4"/>
      <c r="G275" s="17" t="str">
        <f>IF(A275="","",IF(SUMIFS($C$4:$C$500,$A$4:$A$500,A275)=IFERROR(INDEX(Matchs!$H$4:$H$31,MATCH(A275,Matchs!$A$4:$A$31,0)),""),"OK","⚠ Vérifier vs score adverse"))</f>
        <v/>
      </c>
    </row>
    <row r="276" spans="1:7" ht="15" customHeight="1" x14ac:dyDescent="0.25">
      <c r="A276" s="4"/>
      <c r="B276" s="4"/>
      <c r="C276" s="4"/>
      <c r="D276" s="4" t="str">
        <f t="shared" si="4"/>
        <v/>
      </c>
      <c r="E276" s="4"/>
      <c r="F276" s="4"/>
      <c r="G276" s="17" t="str">
        <f>IF(A276="","",IF(SUMIFS($C$4:$C$500,$A$4:$A$500,A276)=IFERROR(INDEX(Matchs!$H$4:$H$31,MATCH(A276,Matchs!$A$4:$A$31,0)),""),"OK","⚠ Vérifier vs score adverse"))</f>
        <v/>
      </c>
    </row>
    <row r="277" spans="1:7" ht="15" customHeight="1" x14ac:dyDescent="0.25">
      <c r="A277" s="4"/>
      <c r="B277" s="4"/>
      <c r="C277" s="4"/>
      <c r="D277" s="4" t="str">
        <f t="shared" si="4"/>
        <v/>
      </c>
      <c r="E277" s="4"/>
      <c r="F277" s="4"/>
      <c r="G277" s="17" t="str">
        <f>IF(A277="","",IF(SUMIFS($C$4:$C$500,$A$4:$A$500,A277)=IFERROR(INDEX(Matchs!$H$4:$H$31,MATCH(A277,Matchs!$A$4:$A$31,0)),""),"OK","⚠ Vérifier vs score adverse"))</f>
        <v/>
      </c>
    </row>
    <row r="278" spans="1:7" ht="15" customHeight="1" x14ac:dyDescent="0.25">
      <c r="A278" s="4"/>
      <c r="B278" s="4"/>
      <c r="C278" s="4"/>
      <c r="D278" s="4" t="str">
        <f t="shared" si="4"/>
        <v/>
      </c>
      <c r="E278" s="4"/>
      <c r="F278" s="4"/>
      <c r="G278" s="17" t="str">
        <f>IF(A278="","",IF(SUMIFS($C$4:$C$500,$A$4:$A$500,A278)=IFERROR(INDEX(Matchs!$H$4:$H$31,MATCH(A278,Matchs!$A$4:$A$31,0)),""),"OK","⚠ Vérifier vs score adverse"))</f>
        <v/>
      </c>
    </row>
    <row r="279" spans="1:7" ht="15" customHeight="1" x14ac:dyDescent="0.25">
      <c r="A279" s="4"/>
      <c r="B279" s="4"/>
      <c r="C279" s="4"/>
      <c r="D279" s="4" t="str">
        <f t="shared" si="4"/>
        <v/>
      </c>
      <c r="E279" s="4"/>
      <c r="F279" s="4"/>
      <c r="G279" s="17" t="str">
        <f>IF(A279="","",IF(SUMIFS($C$4:$C$500,$A$4:$A$500,A279)=IFERROR(INDEX(Matchs!$H$4:$H$31,MATCH(A279,Matchs!$A$4:$A$31,0)),""),"OK","⚠ Vérifier vs score adverse"))</f>
        <v/>
      </c>
    </row>
    <row r="280" spans="1:7" ht="15" customHeight="1" x14ac:dyDescent="0.25">
      <c r="A280" s="4"/>
      <c r="B280" s="4"/>
      <c r="C280" s="4"/>
      <c r="D280" s="4" t="str">
        <f t="shared" si="4"/>
        <v/>
      </c>
      <c r="E280" s="4"/>
      <c r="F280" s="4"/>
      <c r="G280" s="17" t="str">
        <f>IF(A280="","",IF(SUMIFS($C$4:$C$500,$A$4:$A$500,A280)=IFERROR(INDEX(Matchs!$H$4:$H$31,MATCH(A280,Matchs!$A$4:$A$31,0)),""),"OK","⚠ Vérifier vs score adverse"))</f>
        <v/>
      </c>
    </row>
    <row r="281" spans="1:7" ht="15" customHeight="1" x14ac:dyDescent="0.25">
      <c r="A281" s="4"/>
      <c r="B281" s="4"/>
      <c r="C281" s="4"/>
      <c r="D281" s="4" t="str">
        <f t="shared" si="4"/>
        <v/>
      </c>
      <c r="E281" s="4"/>
      <c r="F281" s="4"/>
      <c r="G281" s="17" t="str">
        <f>IF(A281="","",IF(SUMIFS($C$4:$C$500,$A$4:$A$500,A281)=IFERROR(INDEX(Matchs!$H$4:$H$31,MATCH(A281,Matchs!$A$4:$A$31,0)),""),"OK","⚠ Vérifier vs score adverse"))</f>
        <v/>
      </c>
    </row>
    <row r="282" spans="1:7" ht="15" customHeight="1" x14ac:dyDescent="0.25">
      <c r="A282" s="4"/>
      <c r="B282" s="4"/>
      <c r="C282" s="4"/>
      <c r="D282" s="4" t="str">
        <f t="shared" si="4"/>
        <v/>
      </c>
      <c r="E282" s="4"/>
      <c r="F282" s="4"/>
      <c r="G282" s="17" t="str">
        <f>IF(A282="","",IF(SUMIFS($C$4:$C$500,$A$4:$A$500,A282)=IFERROR(INDEX(Matchs!$H$4:$H$31,MATCH(A282,Matchs!$A$4:$A$31,0)),""),"OK","⚠ Vérifier vs score adverse"))</f>
        <v/>
      </c>
    </row>
    <row r="283" spans="1:7" ht="15" customHeight="1" x14ac:dyDescent="0.25">
      <c r="A283" s="4"/>
      <c r="B283" s="4"/>
      <c r="C283" s="4"/>
      <c r="D283" s="4" t="str">
        <f t="shared" si="4"/>
        <v/>
      </c>
      <c r="E283" s="4"/>
      <c r="F283" s="4"/>
      <c r="G283" s="17" t="str">
        <f>IF(A283="","",IF(SUMIFS($C$4:$C$500,$A$4:$A$500,A283)=IFERROR(INDEX(Matchs!$H$4:$H$31,MATCH(A283,Matchs!$A$4:$A$31,0)),""),"OK","⚠ Vérifier vs score adverse"))</f>
        <v/>
      </c>
    </row>
    <row r="284" spans="1:7" ht="15" customHeight="1" x14ac:dyDescent="0.25">
      <c r="A284" s="4"/>
      <c r="B284" s="4"/>
      <c r="C284" s="4"/>
      <c r="D284" s="4" t="str">
        <f t="shared" si="4"/>
        <v/>
      </c>
      <c r="E284" s="4"/>
      <c r="F284" s="4"/>
      <c r="G284" s="17" t="str">
        <f>IF(A284="","",IF(SUMIFS($C$4:$C$500,$A$4:$A$500,A284)=IFERROR(INDEX(Matchs!$H$4:$H$31,MATCH(A284,Matchs!$A$4:$A$31,0)),""),"OK","⚠ Vérifier vs score adverse"))</f>
        <v/>
      </c>
    </row>
    <row r="285" spans="1:7" ht="15" customHeight="1" x14ac:dyDescent="0.25">
      <c r="A285" s="4"/>
      <c r="B285" s="4"/>
      <c r="C285" s="4"/>
      <c r="D285" s="4" t="str">
        <f t="shared" si="4"/>
        <v/>
      </c>
      <c r="E285" s="4"/>
      <c r="F285" s="4"/>
      <c r="G285" s="17" t="str">
        <f>IF(A285="","",IF(SUMIFS($C$4:$C$500,$A$4:$A$500,A285)=IFERROR(INDEX(Matchs!$H$4:$H$31,MATCH(A285,Matchs!$A$4:$A$31,0)),""),"OK","⚠ Vérifier vs score adverse"))</f>
        <v/>
      </c>
    </row>
    <row r="286" spans="1:7" ht="15" customHeight="1" x14ac:dyDescent="0.25">
      <c r="A286" s="4"/>
      <c r="B286" s="4"/>
      <c r="C286" s="4"/>
      <c r="D286" s="4" t="str">
        <f t="shared" si="4"/>
        <v/>
      </c>
      <c r="E286" s="4"/>
      <c r="F286" s="4"/>
      <c r="G286" s="17" t="str">
        <f>IF(A286="","",IF(SUMIFS($C$4:$C$500,$A$4:$A$500,A286)=IFERROR(INDEX(Matchs!$H$4:$H$31,MATCH(A286,Matchs!$A$4:$A$31,0)),""),"OK","⚠ Vérifier vs score adverse"))</f>
        <v/>
      </c>
    </row>
    <row r="287" spans="1:7" ht="15" customHeight="1" x14ac:dyDescent="0.25">
      <c r="A287" s="4"/>
      <c r="B287" s="4"/>
      <c r="C287" s="4"/>
      <c r="D287" s="4" t="str">
        <f t="shared" si="4"/>
        <v/>
      </c>
      <c r="E287" s="4"/>
      <c r="F287" s="4"/>
      <c r="G287" s="17" t="str">
        <f>IF(A287="","",IF(SUMIFS($C$4:$C$500,$A$4:$A$500,A287)=IFERROR(INDEX(Matchs!$H$4:$H$31,MATCH(A287,Matchs!$A$4:$A$31,0)),""),"OK","⚠ Vérifier vs score adverse"))</f>
        <v/>
      </c>
    </row>
    <row r="288" spans="1:7" ht="15" customHeight="1" x14ac:dyDescent="0.25">
      <c r="A288" s="4"/>
      <c r="B288" s="4"/>
      <c r="C288" s="4"/>
      <c r="D288" s="4" t="str">
        <f t="shared" si="4"/>
        <v/>
      </c>
      <c r="E288" s="4"/>
      <c r="F288" s="4"/>
      <c r="G288" s="17" t="str">
        <f>IF(A288="","",IF(SUMIFS($C$4:$C$500,$A$4:$A$500,A288)=IFERROR(INDEX(Matchs!$H$4:$H$31,MATCH(A288,Matchs!$A$4:$A$31,0)),""),"OK","⚠ Vérifier vs score adverse"))</f>
        <v/>
      </c>
    </row>
    <row r="289" spans="1:7" ht="15" customHeight="1" x14ac:dyDescent="0.25">
      <c r="A289" s="4"/>
      <c r="B289" s="4"/>
      <c r="C289" s="4"/>
      <c r="D289" s="4" t="str">
        <f t="shared" si="4"/>
        <v/>
      </c>
      <c r="E289" s="4"/>
      <c r="F289" s="4"/>
      <c r="G289" s="17" t="str">
        <f>IF(A289="","",IF(SUMIFS($C$4:$C$500,$A$4:$A$500,A289)=IFERROR(INDEX(Matchs!$H$4:$H$31,MATCH(A289,Matchs!$A$4:$A$31,0)),""),"OK","⚠ Vérifier vs score adverse"))</f>
        <v/>
      </c>
    </row>
    <row r="290" spans="1:7" ht="15" customHeight="1" x14ac:dyDescent="0.25">
      <c r="A290" s="4"/>
      <c r="B290" s="4"/>
      <c r="C290" s="4"/>
      <c r="D290" s="4" t="str">
        <f t="shared" si="4"/>
        <v/>
      </c>
      <c r="E290" s="4"/>
      <c r="F290" s="4"/>
      <c r="G290" s="17" t="str">
        <f>IF(A290="","",IF(SUMIFS($C$4:$C$500,$A$4:$A$500,A290)=IFERROR(INDEX(Matchs!$H$4:$H$31,MATCH(A290,Matchs!$A$4:$A$31,0)),""),"OK","⚠ Vérifier vs score adverse"))</f>
        <v/>
      </c>
    </row>
    <row r="291" spans="1:7" ht="15" customHeight="1" x14ac:dyDescent="0.25">
      <c r="A291" s="4"/>
      <c r="B291" s="4"/>
      <c r="C291" s="4"/>
      <c r="D291" s="4" t="str">
        <f t="shared" si="4"/>
        <v/>
      </c>
      <c r="E291" s="4"/>
      <c r="F291" s="4"/>
      <c r="G291" s="17" t="str">
        <f>IF(A291="","",IF(SUMIFS($C$4:$C$500,$A$4:$A$500,A291)=IFERROR(INDEX(Matchs!$H$4:$H$31,MATCH(A291,Matchs!$A$4:$A$31,0)),""),"OK","⚠ Vérifier vs score adverse"))</f>
        <v/>
      </c>
    </row>
    <row r="292" spans="1:7" ht="15" customHeight="1" x14ac:dyDescent="0.25">
      <c r="A292" s="4"/>
      <c r="B292" s="4"/>
      <c r="C292" s="4"/>
      <c r="D292" s="4" t="str">
        <f t="shared" si="4"/>
        <v/>
      </c>
      <c r="E292" s="4"/>
      <c r="F292" s="4"/>
      <c r="G292" s="17" t="str">
        <f>IF(A292="","",IF(SUMIFS($C$4:$C$500,$A$4:$A$500,A292)=IFERROR(INDEX(Matchs!$H$4:$H$31,MATCH(A292,Matchs!$A$4:$A$31,0)),""),"OK","⚠ Vérifier vs score adverse"))</f>
        <v/>
      </c>
    </row>
    <row r="293" spans="1:7" ht="15" customHeight="1" x14ac:dyDescent="0.25">
      <c r="A293" s="4"/>
      <c r="B293" s="4"/>
      <c r="C293" s="4"/>
      <c r="D293" s="4" t="str">
        <f t="shared" si="4"/>
        <v/>
      </c>
      <c r="E293" s="4"/>
      <c r="F293" s="4"/>
      <c r="G293" s="17" t="str">
        <f>IF(A293="","",IF(SUMIFS($C$4:$C$500,$A$4:$A$500,A293)=IFERROR(INDEX(Matchs!$H$4:$H$31,MATCH(A293,Matchs!$A$4:$A$31,0)),""),"OK","⚠ Vérifier vs score adverse"))</f>
        <v/>
      </c>
    </row>
    <row r="294" spans="1:7" ht="15" customHeight="1" x14ac:dyDescent="0.25">
      <c r="A294" s="4"/>
      <c r="B294" s="4"/>
      <c r="C294" s="4"/>
      <c r="D294" s="4" t="str">
        <f t="shared" si="4"/>
        <v/>
      </c>
      <c r="E294" s="4"/>
      <c r="F294" s="4"/>
      <c r="G294" s="17" t="str">
        <f>IF(A294="","",IF(SUMIFS($C$4:$C$500,$A$4:$A$500,A294)=IFERROR(INDEX(Matchs!$H$4:$H$31,MATCH(A294,Matchs!$A$4:$A$31,0)),""),"OK","⚠ Vérifier vs score adverse"))</f>
        <v/>
      </c>
    </row>
    <row r="295" spans="1:7" ht="15" customHeight="1" x14ac:dyDescent="0.25">
      <c r="A295" s="4"/>
      <c r="B295" s="4"/>
      <c r="C295" s="4"/>
      <c r="D295" s="4" t="str">
        <f t="shared" si="4"/>
        <v/>
      </c>
      <c r="E295" s="4"/>
      <c r="F295" s="4"/>
      <c r="G295" s="17" t="str">
        <f>IF(A295="","",IF(SUMIFS($C$4:$C$500,$A$4:$A$500,A295)=IFERROR(INDEX(Matchs!$H$4:$H$31,MATCH(A295,Matchs!$A$4:$A$31,0)),""),"OK","⚠ Vérifier vs score adverse"))</f>
        <v/>
      </c>
    </row>
    <row r="296" spans="1:7" ht="15" customHeight="1" x14ac:dyDescent="0.25">
      <c r="A296" s="4"/>
      <c r="B296" s="4"/>
      <c r="C296" s="4"/>
      <c r="D296" s="4" t="str">
        <f t="shared" si="4"/>
        <v/>
      </c>
      <c r="E296" s="4"/>
      <c r="F296" s="4"/>
      <c r="G296" s="17" t="str">
        <f>IF(A296="","",IF(SUMIFS($C$4:$C$500,$A$4:$A$500,A296)=IFERROR(INDEX(Matchs!$H$4:$H$31,MATCH(A296,Matchs!$A$4:$A$31,0)),""),"OK","⚠ Vérifier vs score adverse"))</f>
        <v/>
      </c>
    </row>
    <row r="297" spans="1:7" ht="15" customHeight="1" x14ac:dyDescent="0.25">
      <c r="A297" s="4"/>
      <c r="B297" s="4"/>
      <c r="C297" s="4"/>
      <c r="D297" s="4" t="str">
        <f t="shared" si="4"/>
        <v/>
      </c>
      <c r="E297" s="4"/>
      <c r="F297" s="4"/>
      <c r="G297" s="17" t="str">
        <f>IF(A297="","",IF(SUMIFS($C$4:$C$500,$A$4:$A$500,A297)=IFERROR(INDEX(Matchs!$H$4:$H$31,MATCH(A297,Matchs!$A$4:$A$31,0)),""),"OK","⚠ Vérifier vs score adverse"))</f>
        <v/>
      </c>
    </row>
    <row r="298" spans="1:7" ht="15" customHeight="1" x14ac:dyDescent="0.25">
      <c r="A298" s="4"/>
      <c r="B298" s="4"/>
      <c r="C298" s="4"/>
      <c r="D298" s="4" t="str">
        <f t="shared" si="4"/>
        <v/>
      </c>
      <c r="E298" s="4"/>
      <c r="F298" s="4"/>
      <c r="G298" s="17" t="str">
        <f>IF(A298="","",IF(SUMIFS($C$4:$C$500,$A$4:$A$500,A298)=IFERROR(INDEX(Matchs!$H$4:$H$31,MATCH(A298,Matchs!$A$4:$A$31,0)),""),"OK","⚠ Vérifier vs score adverse"))</f>
        <v/>
      </c>
    </row>
    <row r="299" spans="1:7" ht="15" customHeight="1" x14ac:dyDescent="0.25">
      <c r="A299" s="4"/>
      <c r="B299" s="4"/>
      <c r="C299" s="4"/>
      <c r="D299" s="4" t="str">
        <f t="shared" si="4"/>
        <v/>
      </c>
      <c r="E299" s="4"/>
      <c r="F299" s="4"/>
      <c r="G299" s="17" t="str">
        <f>IF(A299="","",IF(SUMIFS($C$4:$C$500,$A$4:$A$500,A299)=IFERROR(INDEX(Matchs!$H$4:$H$31,MATCH(A299,Matchs!$A$4:$A$31,0)),""),"OK","⚠ Vérifier vs score adverse"))</f>
        <v/>
      </c>
    </row>
    <row r="300" spans="1:7" ht="15" customHeight="1" x14ac:dyDescent="0.25">
      <c r="A300" s="4"/>
      <c r="B300" s="4"/>
      <c r="C300" s="4"/>
      <c r="D300" s="4" t="str">
        <f t="shared" si="4"/>
        <v/>
      </c>
      <c r="E300" s="4"/>
      <c r="F300" s="4"/>
      <c r="G300" s="17" t="str">
        <f>IF(A300="","",IF(SUMIFS($C$4:$C$500,$A$4:$A$500,A300)=IFERROR(INDEX(Matchs!$H$4:$H$31,MATCH(A300,Matchs!$A$4:$A$31,0)),""),"OK","⚠ Vérifier vs score adverse"))</f>
        <v/>
      </c>
    </row>
    <row r="301" spans="1:7" ht="15" customHeight="1" x14ac:dyDescent="0.25">
      <c r="A301" s="4"/>
      <c r="B301" s="4"/>
      <c r="C301" s="4"/>
      <c r="D301" s="4" t="str">
        <f t="shared" si="4"/>
        <v/>
      </c>
      <c r="E301" s="4"/>
      <c r="F301" s="4"/>
      <c r="G301" s="17" t="str">
        <f>IF(A301="","",IF(SUMIFS($C$4:$C$500,$A$4:$A$500,A301)=IFERROR(INDEX(Matchs!$H$4:$H$31,MATCH(A301,Matchs!$A$4:$A$31,0)),""),"OK","⚠ Vérifier vs score adverse"))</f>
        <v/>
      </c>
    </row>
    <row r="302" spans="1:7" ht="15" customHeight="1" x14ac:dyDescent="0.25">
      <c r="A302" s="4"/>
      <c r="B302" s="4"/>
      <c r="C302" s="4"/>
      <c r="D302" s="4" t="str">
        <f t="shared" si="4"/>
        <v/>
      </c>
      <c r="E302" s="4"/>
      <c r="F302" s="4"/>
      <c r="G302" s="17" t="str">
        <f>IF(A302="","",IF(SUMIFS($C$4:$C$500,$A$4:$A$500,A302)=IFERROR(INDEX(Matchs!$H$4:$H$31,MATCH(A302,Matchs!$A$4:$A$31,0)),""),"OK","⚠ Vérifier vs score adverse"))</f>
        <v/>
      </c>
    </row>
    <row r="303" spans="1:7" ht="15" customHeight="1" x14ac:dyDescent="0.25">
      <c r="A303" s="4"/>
      <c r="B303" s="4"/>
      <c r="C303" s="4"/>
      <c r="D303" s="4" t="str">
        <f t="shared" si="4"/>
        <v/>
      </c>
      <c r="E303" s="4"/>
      <c r="F303" s="4"/>
      <c r="G303" s="17" t="str">
        <f>IF(A303="","",IF(SUMIFS($C$4:$C$500,$A$4:$A$500,A303)=IFERROR(INDEX(Matchs!$H$4:$H$31,MATCH(A303,Matchs!$A$4:$A$31,0)),""),"OK","⚠ Vérifier vs score adverse"))</f>
        <v/>
      </c>
    </row>
    <row r="304" spans="1:7" ht="15" customHeight="1" x14ac:dyDescent="0.25">
      <c r="A304" s="4"/>
      <c r="B304" s="4"/>
      <c r="C304" s="4"/>
      <c r="D304" s="4" t="str">
        <f t="shared" si="4"/>
        <v/>
      </c>
      <c r="E304" s="4"/>
      <c r="F304" s="4"/>
      <c r="G304" s="17" t="str">
        <f>IF(A304="","",IF(SUMIFS($C$4:$C$500,$A$4:$A$500,A304)=IFERROR(INDEX(Matchs!$H$4:$H$31,MATCH(A304,Matchs!$A$4:$A$31,0)),""),"OK","⚠ Vérifier vs score adverse"))</f>
        <v/>
      </c>
    </row>
    <row r="305" spans="1:7" ht="15" customHeight="1" x14ac:dyDescent="0.25">
      <c r="A305" s="4"/>
      <c r="B305" s="4"/>
      <c r="C305" s="4"/>
      <c r="D305" s="4" t="str">
        <f t="shared" si="4"/>
        <v/>
      </c>
      <c r="E305" s="4"/>
      <c r="F305" s="4"/>
      <c r="G305" s="17" t="str">
        <f>IF(A305="","",IF(SUMIFS($C$4:$C$500,$A$4:$A$500,A305)=IFERROR(INDEX(Matchs!$H$4:$H$31,MATCH(A305,Matchs!$A$4:$A$31,0)),""),"OK","⚠ Vérifier vs score adverse"))</f>
        <v/>
      </c>
    </row>
    <row r="306" spans="1:7" ht="15" customHeight="1" x14ac:dyDescent="0.25">
      <c r="A306" s="4"/>
      <c r="B306" s="4"/>
      <c r="C306" s="4"/>
      <c r="D306" s="4" t="str">
        <f t="shared" si="4"/>
        <v/>
      </c>
      <c r="E306" s="4"/>
      <c r="F306" s="4"/>
      <c r="G306" s="17" t="str">
        <f>IF(A306="","",IF(SUMIFS($C$4:$C$500,$A$4:$A$500,A306)=IFERROR(INDEX(Matchs!$H$4:$H$31,MATCH(A306,Matchs!$A$4:$A$31,0)),""),"OK","⚠ Vérifier vs score adverse"))</f>
        <v/>
      </c>
    </row>
    <row r="307" spans="1:7" ht="15" customHeight="1" x14ac:dyDescent="0.25">
      <c r="A307" s="4"/>
      <c r="B307" s="4"/>
      <c r="C307" s="4"/>
      <c r="D307" s="4" t="str">
        <f t="shared" si="4"/>
        <v/>
      </c>
      <c r="E307" s="4"/>
      <c r="F307" s="4"/>
      <c r="G307" s="17" t="str">
        <f>IF(A307="","",IF(SUMIFS($C$4:$C$500,$A$4:$A$500,A307)=IFERROR(INDEX(Matchs!$H$4:$H$31,MATCH(A307,Matchs!$A$4:$A$31,0)),""),"OK","⚠ Vérifier vs score adverse"))</f>
        <v/>
      </c>
    </row>
    <row r="308" spans="1:7" ht="15" customHeight="1" x14ac:dyDescent="0.25">
      <c r="A308" s="4"/>
      <c r="B308" s="4"/>
      <c r="C308" s="4"/>
      <c r="D308" s="4" t="str">
        <f t="shared" si="4"/>
        <v/>
      </c>
      <c r="E308" s="4"/>
      <c r="F308" s="4"/>
      <c r="G308" s="17" t="str">
        <f>IF(A308="","",IF(SUMIFS($C$4:$C$500,$A$4:$A$500,A308)=IFERROR(INDEX(Matchs!$H$4:$H$31,MATCH(A308,Matchs!$A$4:$A$31,0)),""),"OK","⚠ Vérifier vs score adverse"))</f>
        <v/>
      </c>
    </row>
    <row r="309" spans="1:7" ht="15" customHeight="1" x14ac:dyDescent="0.25">
      <c r="A309" s="4"/>
      <c r="B309" s="4"/>
      <c r="C309" s="4"/>
      <c r="D309" s="4" t="str">
        <f t="shared" si="4"/>
        <v/>
      </c>
      <c r="E309" s="4"/>
      <c r="F309" s="4"/>
      <c r="G309" s="17" t="str">
        <f>IF(A309="","",IF(SUMIFS($C$4:$C$500,$A$4:$A$500,A309)=IFERROR(INDEX(Matchs!$H$4:$H$31,MATCH(A309,Matchs!$A$4:$A$31,0)),""),"OK","⚠ Vérifier vs score adverse"))</f>
        <v/>
      </c>
    </row>
    <row r="310" spans="1:7" ht="15" customHeight="1" x14ac:dyDescent="0.25">
      <c r="A310" s="4"/>
      <c r="B310" s="4"/>
      <c r="C310" s="4"/>
      <c r="D310" s="4" t="str">
        <f t="shared" si="4"/>
        <v/>
      </c>
      <c r="E310" s="4"/>
      <c r="F310" s="4"/>
      <c r="G310" s="17" t="str">
        <f>IF(A310="","",IF(SUMIFS($C$4:$C$500,$A$4:$A$500,A310)=IFERROR(INDEX(Matchs!$H$4:$H$31,MATCH(A310,Matchs!$A$4:$A$31,0)),""),"OK","⚠ Vérifier vs score adverse"))</f>
        <v/>
      </c>
    </row>
    <row r="311" spans="1:7" ht="15" customHeight="1" x14ac:dyDescent="0.25">
      <c r="A311" s="4"/>
      <c r="B311" s="4"/>
      <c r="C311" s="4"/>
      <c r="D311" s="4" t="str">
        <f t="shared" si="4"/>
        <v/>
      </c>
      <c r="E311" s="4"/>
      <c r="F311" s="4"/>
      <c r="G311" s="17" t="str">
        <f>IF(A311="","",IF(SUMIFS($C$4:$C$500,$A$4:$A$500,A311)=IFERROR(INDEX(Matchs!$H$4:$H$31,MATCH(A311,Matchs!$A$4:$A$31,0)),""),"OK","⚠ Vérifier vs score adverse"))</f>
        <v/>
      </c>
    </row>
    <row r="312" spans="1:7" ht="15" customHeight="1" x14ac:dyDescent="0.25">
      <c r="A312" s="4"/>
      <c r="B312" s="4"/>
      <c r="C312" s="4"/>
      <c r="D312" s="4" t="str">
        <f t="shared" si="4"/>
        <v/>
      </c>
      <c r="E312" s="4"/>
      <c r="F312" s="4"/>
      <c r="G312" s="17" t="str">
        <f>IF(A312="","",IF(SUMIFS($C$4:$C$500,$A$4:$A$500,A312)=IFERROR(INDEX(Matchs!$H$4:$H$31,MATCH(A312,Matchs!$A$4:$A$31,0)),""),"OK","⚠ Vérifier vs score adverse"))</f>
        <v/>
      </c>
    </row>
    <row r="313" spans="1:7" ht="15" customHeight="1" x14ac:dyDescent="0.25">
      <c r="A313" s="4"/>
      <c r="B313" s="4"/>
      <c r="C313" s="4"/>
      <c r="D313" s="4" t="str">
        <f t="shared" si="4"/>
        <v/>
      </c>
      <c r="E313" s="4"/>
      <c r="F313" s="4"/>
      <c r="G313" s="17" t="str">
        <f>IF(A313="","",IF(SUMIFS($C$4:$C$500,$A$4:$A$500,A313)=IFERROR(INDEX(Matchs!$H$4:$H$31,MATCH(A313,Matchs!$A$4:$A$31,0)),""),"OK","⚠ Vérifier vs score adverse"))</f>
        <v/>
      </c>
    </row>
    <row r="314" spans="1:7" ht="15" customHeight="1" x14ac:dyDescent="0.25">
      <c r="A314" s="4"/>
      <c r="B314" s="4"/>
      <c r="C314" s="4"/>
      <c r="D314" s="4" t="str">
        <f t="shared" si="4"/>
        <v/>
      </c>
      <c r="E314" s="4"/>
      <c r="F314" s="4"/>
      <c r="G314" s="17" t="str">
        <f>IF(A314="","",IF(SUMIFS($C$4:$C$500,$A$4:$A$500,A314)=IFERROR(INDEX(Matchs!$H$4:$H$31,MATCH(A314,Matchs!$A$4:$A$31,0)),""),"OK","⚠ Vérifier vs score adverse"))</f>
        <v/>
      </c>
    </row>
    <row r="315" spans="1:7" ht="15" customHeight="1" x14ac:dyDescent="0.25">
      <c r="A315" s="4"/>
      <c r="B315" s="4"/>
      <c r="C315" s="4"/>
      <c r="D315" s="4" t="str">
        <f t="shared" si="4"/>
        <v/>
      </c>
      <c r="E315" s="4"/>
      <c r="F315" s="4"/>
      <c r="G315" s="17" t="str">
        <f>IF(A315="","",IF(SUMIFS($C$4:$C$500,$A$4:$A$500,A315)=IFERROR(INDEX(Matchs!$H$4:$H$31,MATCH(A315,Matchs!$A$4:$A$31,0)),""),"OK","⚠ Vérifier vs score adverse"))</f>
        <v/>
      </c>
    </row>
    <row r="316" spans="1:7" ht="15" customHeight="1" x14ac:dyDescent="0.25">
      <c r="A316" s="4"/>
      <c r="B316" s="4"/>
      <c r="C316" s="4"/>
      <c r="D316" s="4" t="str">
        <f t="shared" si="4"/>
        <v/>
      </c>
      <c r="E316" s="4"/>
      <c r="F316" s="4"/>
      <c r="G316" s="17" t="str">
        <f>IF(A316="","",IF(SUMIFS($C$4:$C$500,$A$4:$A$500,A316)=IFERROR(INDEX(Matchs!$H$4:$H$31,MATCH(A316,Matchs!$A$4:$A$31,0)),""),"OK","⚠ Vérifier vs score adverse"))</f>
        <v/>
      </c>
    </row>
    <row r="317" spans="1:7" ht="15" customHeight="1" x14ac:dyDescent="0.25">
      <c r="A317" s="4"/>
      <c r="B317" s="4"/>
      <c r="C317" s="4"/>
      <c r="D317" s="4" t="str">
        <f t="shared" si="4"/>
        <v/>
      </c>
      <c r="E317" s="4"/>
      <c r="F317" s="4"/>
      <c r="G317" s="17" t="str">
        <f>IF(A317="","",IF(SUMIFS($C$4:$C$500,$A$4:$A$500,A317)=IFERROR(INDEX(Matchs!$H$4:$H$31,MATCH(A317,Matchs!$A$4:$A$31,0)),""),"OK","⚠ Vérifier vs score adverse"))</f>
        <v/>
      </c>
    </row>
    <row r="318" spans="1:7" ht="15" customHeight="1" x14ac:dyDescent="0.25">
      <c r="A318" s="4"/>
      <c r="B318" s="4"/>
      <c r="C318" s="4"/>
      <c r="D318" s="4" t="str">
        <f t="shared" si="4"/>
        <v/>
      </c>
      <c r="E318" s="4"/>
      <c r="F318" s="4"/>
      <c r="G318" s="17" t="str">
        <f>IF(A318="","",IF(SUMIFS($C$4:$C$500,$A$4:$A$500,A318)=IFERROR(INDEX(Matchs!$H$4:$H$31,MATCH(A318,Matchs!$A$4:$A$31,0)),""),"OK","⚠ Vérifier vs score adverse"))</f>
        <v/>
      </c>
    </row>
    <row r="319" spans="1:7" ht="15" customHeight="1" x14ac:dyDescent="0.25">
      <c r="A319" s="4"/>
      <c r="B319" s="4"/>
      <c r="C319" s="4"/>
      <c r="D319" s="4" t="str">
        <f t="shared" si="4"/>
        <v/>
      </c>
      <c r="E319" s="4"/>
      <c r="F319" s="4"/>
      <c r="G319" s="17" t="str">
        <f>IF(A319="","",IF(SUMIFS($C$4:$C$500,$A$4:$A$500,A319)=IFERROR(INDEX(Matchs!$H$4:$H$31,MATCH(A319,Matchs!$A$4:$A$31,0)),""),"OK","⚠ Vérifier vs score adverse"))</f>
        <v/>
      </c>
    </row>
    <row r="320" spans="1:7" ht="15" customHeight="1" x14ac:dyDescent="0.25">
      <c r="A320" s="4"/>
      <c r="B320" s="4"/>
      <c r="C320" s="4"/>
      <c r="D320" s="4" t="str">
        <f t="shared" si="4"/>
        <v/>
      </c>
      <c r="E320" s="4"/>
      <c r="F320" s="4"/>
      <c r="G320" s="17" t="str">
        <f>IF(A320="","",IF(SUMIFS($C$4:$C$500,$A$4:$A$500,A320)=IFERROR(INDEX(Matchs!$H$4:$H$31,MATCH(A320,Matchs!$A$4:$A$31,0)),""),"OK","⚠ Vérifier vs score adverse"))</f>
        <v/>
      </c>
    </row>
    <row r="321" spans="1:7" ht="15" customHeight="1" x14ac:dyDescent="0.25">
      <c r="A321" s="4"/>
      <c r="B321" s="4"/>
      <c r="C321" s="4"/>
      <c r="D321" s="4" t="str">
        <f t="shared" si="4"/>
        <v/>
      </c>
      <c r="E321" s="4"/>
      <c r="F321" s="4"/>
      <c r="G321" s="17" t="str">
        <f>IF(A321="","",IF(SUMIFS($C$4:$C$500,$A$4:$A$500,A321)=IFERROR(INDEX(Matchs!$H$4:$H$31,MATCH(A321,Matchs!$A$4:$A$31,0)),""),"OK","⚠ Vérifier vs score adverse"))</f>
        <v/>
      </c>
    </row>
    <row r="322" spans="1:7" ht="15" customHeight="1" x14ac:dyDescent="0.25">
      <c r="A322" s="4"/>
      <c r="B322" s="4"/>
      <c r="C322" s="4"/>
      <c r="D322" s="4" t="str">
        <f t="shared" si="4"/>
        <v/>
      </c>
      <c r="E322" s="4"/>
      <c r="F322" s="4"/>
      <c r="G322" s="17" t="str">
        <f>IF(A322="","",IF(SUMIFS($C$4:$C$500,$A$4:$A$500,A322)=IFERROR(INDEX(Matchs!$H$4:$H$31,MATCH(A322,Matchs!$A$4:$A$31,0)),""),"OK","⚠ Vérifier vs score adverse"))</f>
        <v/>
      </c>
    </row>
    <row r="323" spans="1:7" ht="15" customHeight="1" x14ac:dyDescent="0.25">
      <c r="A323" s="4"/>
      <c r="B323" s="4"/>
      <c r="C323" s="4"/>
      <c r="D323" s="4" t="str">
        <f t="shared" si="4"/>
        <v/>
      </c>
      <c r="E323" s="4"/>
      <c r="F323" s="4"/>
      <c r="G323" s="17" t="str">
        <f>IF(A323="","",IF(SUMIFS($C$4:$C$500,$A$4:$A$500,A323)=IFERROR(INDEX(Matchs!$H$4:$H$31,MATCH(A323,Matchs!$A$4:$A$31,0)),""),"OK","⚠ Vérifier vs score adverse"))</f>
        <v/>
      </c>
    </row>
    <row r="324" spans="1:7" ht="15" customHeight="1" x14ac:dyDescent="0.25">
      <c r="A324" s="4"/>
      <c r="B324" s="4"/>
      <c r="C324" s="4"/>
      <c r="D324" s="4" t="str">
        <f t="shared" ref="D324:D387" si="5">IF(C324="","",IF(C324=0,"Oui","Non"))</f>
        <v/>
      </c>
      <c r="E324" s="4"/>
      <c r="F324" s="4"/>
      <c r="G324" s="17" t="str">
        <f>IF(A324="","",IF(SUMIFS($C$4:$C$500,$A$4:$A$500,A324)=IFERROR(INDEX(Matchs!$H$4:$H$31,MATCH(A324,Matchs!$A$4:$A$31,0)),""),"OK","⚠ Vérifier vs score adverse"))</f>
        <v/>
      </c>
    </row>
    <row r="325" spans="1:7" ht="15" customHeight="1" x14ac:dyDescent="0.25">
      <c r="A325" s="4"/>
      <c r="B325" s="4"/>
      <c r="C325" s="4"/>
      <c r="D325" s="4" t="str">
        <f t="shared" si="5"/>
        <v/>
      </c>
      <c r="E325" s="4"/>
      <c r="F325" s="4"/>
      <c r="G325" s="17" t="str">
        <f>IF(A325="","",IF(SUMIFS($C$4:$C$500,$A$4:$A$500,A325)=IFERROR(INDEX(Matchs!$H$4:$H$31,MATCH(A325,Matchs!$A$4:$A$31,0)),""),"OK","⚠ Vérifier vs score adverse"))</f>
        <v/>
      </c>
    </row>
    <row r="326" spans="1:7" ht="15" customHeight="1" x14ac:dyDescent="0.25">
      <c r="A326" s="4"/>
      <c r="B326" s="4"/>
      <c r="C326" s="4"/>
      <c r="D326" s="4" t="str">
        <f t="shared" si="5"/>
        <v/>
      </c>
      <c r="E326" s="4"/>
      <c r="F326" s="4"/>
      <c r="G326" s="17" t="str">
        <f>IF(A326="","",IF(SUMIFS($C$4:$C$500,$A$4:$A$500,A326)=IFERROR(INDEX(Matchs!$H$4:$H$31,MATCH(A326,Matchs!$A$4:$A$31,0)),""),"OK","⚠ Vérifier vs score adverse"))</f>
        <v/>
      </c>
    </row>
    <row r="327" spans="1:7" ht="15" customHeight="1" x14ac:dyDescent="0.25">
      <c r="A327" s="4"/>
      <c r="B327" s="4"/>
      <c r="C327" s="4"/>
      <c r="D327" s="4" t="str">
        <f t="shared" si="5"/>
        <v/>
      </c>
      <c r="E327" s="4"/>
      <c r="F327" s="4"/>
      <c r="G327" s="17" t="str">
        <f>IF(A327="","",IF(SUMIFS($C$4:$C$500,$A$4:$A$500,A327)=IFERROR(INDEX(Matchs!$H$4:$H$31,MATCH(A327,Matchs!$A$4:$A$31,0)),""),"OK","⚠ Vérifier vs score adverse"))</f>
        <v/>
      </c>
    </row>
    <row r="328" spans="1:7" ht="15" customHeight="1" x14ac:dyDescent="0.25">
      <c r="A328" s="4"/>
      <c r="B328" s="4"/>
      <c r="C328" s="4"/>
      <c r="D328" s="4" t="str">
        <f t="shared" si="5"/>
        <v/>
      </c>
      <c r="E328" s="4"/>
      <c r="F328" s="4"/>
      <c r="G328" s="17" t="str">
        <f>IF(A328="","",IF(SUMIFS($C$4:$C$500,$A$4:$A$500,A328)=IFERROR(INDEX(Matchs!$H$4:$H$31,MATCH(A328,Matchs!$A$4:$A$31,0)),""),"OK","⚠ Vérifier vs score adverse"))</f>
        <v/>
      </c>
    </row>
    <row r="329" spans="1:7" ht="15" customHeight="1" x14ac:dyDescent="0.25">
      <c r="A329" s="4"/>
      <c r="B329" s="4"/>
      <c r="C329" s="4"/>
      <c r="D329" s="4" t="str">
        <f t="shared" si="5"/>
        <v/>
      </c>
      <c r="E329" s="4"/>
      <c r="F329" s="4"/>
      <c r="G329" s="17" t="str">
        <f>IF(A329="","",IF(SUMIFS($C$4:$C$500,$A$4:$A$500,A329)=IFERROR(INDEX(Matchs!$H$4:$H$31,MATCH(A329,Matchs!$A$4:$A$31,0)),""),"OK","⚠ Vérifier vs score adverse"))</f>
        <v/>
      </c>
    </row>
    <row r="330" spans="1:7" ht="15" customHeight="1" x14ac:dyDescent="0.25">
      <c r="A330" s="4"/>
      <c r="B330" s="4"/>
      <c r="C330" s="4"/>
      <c r="D330" s="4" t="str">
        <f t="shared" si="5"/>
        <v/>
      </c>
      <c r="E330" s="4"/>
      <c r="F330" s="4"/>
      <c r="G330" s="17" t="str">
        <f>IF(A330="","",IF(SUMIFS($C$4:$C$500,$A$4:$A$500,A330)=IFERROR(INDEX(Matchs!$H$4:$H$31,MATCH(A330,Matchs!$A$4:$A$31,0)),""),"OK","⚠ Vérifier vs score adverse"))</f>
        <v/>
      </c>
    </row>
    <row r="331" spans="1:7" ht="15" customHeight="1" x14ac:dyDescent="0.25">
      <c r="A331" s="4"/>
      <c r="B331" s="4"/>
      <c r="C331" s="4"/>
      <c r="D331" s="4" t="str">
        <f t="shared" si="5"/>
        <v/>
      </c>
      <c r="E331" s="4"/>
      <c r="F331" s="4"/>
      <c r="G331" s="17" t="str">
        <f>IF(A331="","",IF(SUMIFS($C$4:$C$500,$A$4:$A$500,A331)=IFERROR(INDEX(Matchs!$H$4:$H$31,MATCH(A331,Matchs!$A$4:$A$31,0)),""),"OK","⚠ Vérifier vs score adverse"))</f>
        <v/>
      </c>
    </row>
    <row r="332" spans="1:7" ht="15" customHeight="1" x14ac:dyDescent="0.25">
      <c r="A332" s="4"/>
      <c r="B332" s="4"/>
      <c r="C332" s="4"/>
      <c r="D332" s="4" t="str">
        <f t="shared" si="5"/>
        <v/>
      </c>
      <c r="E332" s="4"/>
      <c r="F332" s="4"/>
      <c r="G332" s="17" t="str">
        <f>IF(A332="","",IF(SUMIFS($C$4:$C$500,$A$4:$A$500,A332)=IFERROR(INDEX(Matchs!$H$4:$H$31,MATCH(A332,Matchs!$A$4:$A$31,0)),""),"OK","⚠ Vérifier vs score adverse"))</f>
        <v/>
      </c>
    </row>
    <row r="333" spans="1:7" ht="15" customHeight="1" x14ac:dyDescent="0.25">
      <c r="A333" s="4"/>
      <c r="B333" s="4"/>
      <c r="C333" s="4"/>
      <c r="D333" s="4" t="str">
        <f t="shared" si="5"/>
        <v/>
      </c>
      <c r="E333" s="4"/>
      <c r="F333" s="4"/>
      <c r="G333" s="17" t="str">
        <f>IF(A333="","",IF(SUMIFS($C$4:$C$500,$A$4:$A$500,A333)=IFERROR(INDEX(Matchs!$H$4:$H$31,MATCH(A333,Matchs!$A$4:$A$31,0)),""),"OK","⚠ Vérifier vs score adverse"))</f>
        <v/>
      </c>
    </row>
    <row r="334" spans="1:7" ht="15" customHeight="1" x14ac:dyDescent="0.25">
      <c r="A334" s="4"/>
      <c r="B334" s="4"/>
      <c r="C334" s="4"/>
      <c r="D334" s="4" t="str">
        <f t="shared" si="5"/>
        <v/>
      </c>
      <c r="E334" s="4"/>
      <c r="F334" s="4"/>
      <c r="G334" s="17" t="str">
        <f>IF(A334="","",IF(SUMIFS($C$4:$C$500,$A$4:$A$500,A334)=IFERROR(INDEX(Matchs!$H$4:$H$31,MATCH(A334,Matchs!$A$4:$A$31,0)),""),"OK","⚠ Vérifier vs score adverse"))</f>
        <v/>
      </c>
    </row>
    <row r="335" spans="1:7" ht="15" customHeight="1" x14ac:dyDescent="0.25">
      <c r="A335" s="4"/>
      <c r="B335" s="4"/>
      <c r="C335" s="4"/>
      <c r="D335" s="4" t="str">
        <f t="shared" si="5"/>
        <v/>
      </c>
      <c r="E335" s="4"/>
      <c r="F335" s="4"/>
      <c r="G335" s="17" t="str">
        <f>IF(A335="","",IF(SUMIFS($C$4:$C$500,$A$4:$A$500,A335)=IFERROR(INDEX(Matchs!$H$4:$H$31,MATCH(A335,Matchs!$A$4:$A$31,0)),""),"OK","⚠ Vérifier vs score adverse"))</f>
        <v/>
      </c>
    </row>
    <row r="336" spans="1:7" ht="15" customHeight="1" x14ac:dyDescent="0.25">
      <c r="A336" s="4"/>
      <c r="B336" s="4"/>
      <c r="C336" s="4"/>
      <c r="D336" s="4" t="str">
        <f t="shared" si="5"/>
        <v/>
      </c>
      <c r="E336" s="4"/>
      <c r="F336" s="4"/>
      <c r="G336" s="17" t="str">
        <f>IF(A336="","",IF(SUMIFS($C$4:$C$500,$A$4:$A$500,A336)=IFERROR(INDEX(Matchs!$H$4:$H$31,MATCH(A336,Matchs!$A$4:$A$31,0)),""),"OK","⚠ Vérifier vs score adverse"))</f>
        <v/>
      </c>
    </row>
    <row r="337" spans="1:7" ht="15" customHeight="1" x14ac:dyDescent="0.25">
      <c r="A337" s="4"/>
      <c r="B337" s="4"/>
      <c r="C337" s="4"/>
      <c r="D337" s="4" t="str">
        <f t="shared" si="5"/>
        <v/>
      </c>
      <c r="E337" s="4"/>
      <c r="F337" s="4"/>
      <c r="G337" s="17" t="str">
        <f>IF(A337="","",IF(SUMIFS($C$4:$C$500,$A$4:$A$500,A337)=IFERROR(INDEX(Matchs!$H$4:$H$31,MATCH(A337,Matchs!$A$4:$A$31,0)),""),"OK","⚠ Vérifier vs score adverse"))</f>
        <v/>
      </c>
    </row>
    <row r="338" spans="1:7" ht="15" customHeight="1" x14ac:dyDescent="0.25">
      <c r="A338" s="4"/>
      <c r="B338" s="4"/>
      <c r="C338" s="4"/>
      <c r="D338" s="4" t="str">
        <f t="shared" si="5"/>
        <v/>
      </c>
      <c r="E338" s="4"/>
      <c r="F338" s="4"/>
      <c r="G338" s="17" t="str">
        <f>IF(A338="","",IF(SUMIFS($C$4:$C$500,$A$4:$A$500,A338)=IFERROR(INDEX(Matchs!$H$4:$H$31,MATCH(A338,Matchs!$A$4:$A$31,0)),""),"OK","⚠ Vérifier vs score adverse"))</f>
        <v/>
      </c>
    </row>
    <row r="339" spans="1:7" ht="15" customHeight="1" x14ac:dyDescent="0.25">
      <c r="A339" s="4"/>
      <c r="B339" s="4"/>
      <c r="C339" s="4"/>
      <c r="D339" s="4" t="str">
        <f t="shared" si="5"/>
        <v/>
      </c>
      <c r="E339" s="4"/>
      <c r="F339" s="4"/>
      <c r="G339" s="17" t="str">
        <f>IF(A339="","",IF(SUMIFS($C$4:$C$500,$A$4:$A$500,A339)=IFERROR(INDEX(Matchs!$H$4:$H$31,MATCH(A339,Matchs!$A$4:$A$31,0)),""),"OK","⚠ Vérifier vs score adverse"))</f>
        <v/>
      </c>
    </row>
    <row r="340" spans="1:7" ht="15" customHeight="1" x14ac:dyDescent="0.25">
      <c r="A340" s="4"/>
      <c r="B340" s="4"/>
      <c r="C340" s="4"/>
      <c r="D340" s="4" t="str">
        <f t="shared" si="5"/>
        <v/>
      </c>
      <c r="E340" s="4"/>
      <c r="F340" s="4"/>
      <c r="G340" s="17" t="str">
        <f>IF(A340="","",IF(SUMIFS($C$4:$C$500,$A$4:$A$500,A340)=IFERROR(INDEX(Matchs!$H$4:$H$31,MATCH(A340,Matchs!$A$4:$A$31,0)),""),"OK","⚠ Vérifier vs score adverse"))</f>
        <v/>
      </c>
    </row>
    <row r="341" spans="1:7" ht="15" customHeight="1" x14ac:dyDescent="0.25">
      <c r="A341" s="4"/>
      <c r="B341" s="4"/>
      <c r="C341" s="4"/>
      <c r="D341" s="4" t="str">
        <f t="shared" si="5"/>
        <v/>
      </c>
      <c r="E341" s="4"/>
      <c r="F341" s="4"/>
      <c r="G341" s="17" t="str">
        <f>IF(A341="","",IF(SUMIFS($C$4:$C$500,$A$4:$A$500,A341)=IFERROR(INDEX(Matchs!$H$4:$H$31,MATCH(A341,Matchs!$A$4:$A$31,0)),""),"OK","⚠ Vérifier vs score adverse"))</f>
        <v/>
      </c>
    </row>
    <row r="342" spans="1:7" ht="15" customHeight="1" x14ac:dyDescent="0.25">
      <c r="A342" s="4"/>
      <c r="B342" s="4"/>
      <c r="C342" s="4"/>
      <c r="D342" s="4" t="str">
        <f t="shared" si="5"/>
        <v/>
      </c>
      <c r="E342" s="4"/>
      <c r="F342" s="4"/>
      <c r="G342" s="17" t="str">
        <f>IF(A342="","",IF(SUMIFS($C$4:$C$500,$A$4:$A$500,A342)=IFERROR(INDEX(Matchs!$H$4:$H$31,MATCH(A342,Matchs!$A$4:$A$31,0)),""),"OK","⚠ Vérifier vs score adverse"))</f>
        <v/>
      </c>
    </row>
    <row r="343" spans="1:7" ht="15" customHeight="1" x14ac:dyDescent="0.25">
      <c r="A343" s="4"/>
      <c r="B343" s="4"/>
      <c r="C343" s="4"/>
      <c r="D343" s="4" t="str">
        <f t="shared" si="5"/>
        <v/>
      </c>
      <c r="E343" s="4"/>
      <c r="F343" s="4"/>
      <c r="G343" s="17" t="str">
        <f>IF(A343="","",IF(SUMIFS($C$4:$C$500,$A$4:$A$500,A343)=IFERROR(INDEX(Matchs!$H$4:$H$31,MATCH(A343,Matchs!$A$4:$A$31,0)),""),"OK","⚠ Vérifier vs score adverse"))</f>
        <v/>
      </c>
    </row>
    <row r="344" spans="1:7" ht="15" customHeight="1" x14ac:dyDescent="0.25">
      <c r="A344" s="4"/>
      <c r="B344" s="4"/>
      <c r="C344" s="4"/>
      <c r="D344" s="4" t="str">
        <f t="shared" si="5"/>
        <v/>
      </c>
      <c r="E344" s="4"/>
      <c r="F344" s="4"/>
      <c r="G344" s="17" t="str">
        <f>IF(A344="","",IF(SUMIFS($C$4:$C$500,$A$4:$A$500,A344)=IFERROR(INDEX(Matchs!$H$4:$H$31,MATCH(A344,Matchs!$A$4:$A$31,0)),""),"OK","⚠ Vérifier vs score adverse"))</f>
        <v/>
      </c>
    </row>
    <row r="345" spans="1:7" ht="15" customHeight="1" x14ac:dyDescent="0.25">
      <c r="A345" s="4"/>
      <c r="B345" s="4"/>
      <c r="C345" s="4"/>
      <c r="D345" s="4" t="str">
        <f t="shared" si="5"/>
        <v/>
      </c>
      <c r="E345" s="4"/>
      <c r="F345" s="4"/>
      <c r="G345" s="17" t="str">
        <f>IF(A345="","",IF(SUMIFS($C$4:$C$500,$A$4:$A$500,A345)=IFERROR(INDEX(Matchs!$H$4:$H$31,MATCH(A345,Matchs!$A$4:$A$31,0)),""),"OK","⚠ Vérifier vs score adverse"))</f>
        <v/>
      </c>
    </row>
    <row r="346" spans="1:7" ht="15" customHeight="1" x14ac:dyDescent="0.25">
      <c r="A346" s="4"/>
      <c r="B346" s="4"/>
      <c r="C346" s="4"/>
      <c r="D346" s="4" t="str">
        <f t="shared" si="5"/>
        <v/>
      </c>
      <c r="E346" s="4"/>
      <c r="F346" s="4"/>
      <c r="G346" s="17" t="str">
        <f>IF(A346="","",IF(SUMIFS($C$4:$C$500,$A$4:$A$500,A346)=IFERROR(INDEX(Matchs!$H$4:$H$31,MATCH(A346,Matchs!$A$4:$A$31,0)),""),"OK","⚠ Vérifier vs score adverse"))</f>
        <v/>
      </c>
    </row>
    <row r="347" spans="1:7" ht="15" customHeight="1" x14ac:dyDescent="0.25">
      <c r="A347" s="4"/>
      <c r="B347" s="4"/>
      <c r="C347" s="4"/>
      <c r="D347" s="4" t="str">
        <f t="shared" si="5"/>
        <v/>
      </c>
      <c r="E347" s="4"/>
      <c r="F347" s="4"/>
      <c r="G347" s="17" t="str">
        <f>IF(A347="","",IF(SUMIFS($C$4:$C$500,$A$4:$A$500,A347)=IFERROR(INDEX(Matchs!$H$4:$H$31,MATCH(A347,Matchs!$A$4:$A$31,0)),""),"OK","⚠ Vérifier vs score adverse"))</f>
        <v/>
      </c>
    </row>
    <row r="348" spans="1:7" ht="15" customHeight="1" x14ac:dyDescent="0.25">
      <c r="A348" s="4"/>
      <c r="B348" s="4"/>
      <c r="C348" s="4"/>
      <c r="D348" s="4" t="str">
        <f t="shared" si="5"/>
        <v/>
      </c>
      <c r="E348" s="4"/>
      <c r="F348" s="4"/>
      <c r="G348" s="17" t="str">
        <f>IF(A348="","",IF(SUMIFS($C$4:$C$500,$A$4:$A$500,A348)=IFERROR(INDEX(Matchs!$H$4:$H$31,MATCH(A348,Matchs!$A$4:$A$31,0)),""),"OK","⚠ Vérifier vs score adverse"))</f>
        <v/>
      </c>
    </row>
    <row r="349" spans="1:7" ht="15" customHeight="1" x14ac:dyDescent="0.25">
      <c r="A349" s="4"/>
      <c r="B349" s="4"/>
      <c r="C349" s="4"/>
      <c r="D349" s="4" t="str">
        <f t="shared" si="5"/>
        <v/>
      </c>
      <c r="E349" s="4"/>
      <c r="F349" s="4"/>
      <c r="G349" s="17" t="str">
        <f>IF(A349="","",IF(SUMIFS($C$4:$C$500,$A$4:$A$500,A349)=IFERROR(INDEX(Matchs!$H$4:$H$31,MATCH(A349,Matchs!$A$4:$A$31,0)),""),"OK","⚠ Vérifier vs score adverse"))</f>
        <v/>
      </c>
    </row>
    <row r="350" spans="1:7" ht="15" customHeight="1" x14ac:dyDescent="0.25">
      <c r="A350" s="4"/>
      <c r="B350" s="4"/>
      <c r="C350" s="4"/>
      <c r="D350" s="4" t="str">
        <f t="shared" si="5"/>
        <v/>
      </c>
      <c r="E350" s="4"/>
      <c r="F350" s="4"/>
      <c r="G350" s="17" t="str">
        <f>IF(A350="","",IF(SUMIFS($C$4:$C$500,$A$4:$A$500,A350)=IFERROR(INDEX(Matchs!$H$4:$H$31,MATCH(A350,Matchs!$A$4:$A$31,0)),""),"OK","⚠ Vérifier vs score adverse"))</f>
        <v/>
      </c>
    </row>
    <row r="351" spans="1:7" ht="15" customHeight="1" x14ac:dyDescent="0.25">
      <c r="A351" s="4"/>
      <c r="B351" s="4"/>
      <c r="C351" s="4"/>
      <c r="D351" s="4" t="str">
        <f t="shared" si="5"/>
        <v/>
      </c>
      <c r="E351" s="4"/>
      <c r="F351" s="4"/>
      <c r="G351" s="17" t="str">
        <f>IF(A351="","",IF(SUMIFS($C$4:$C$500,$A$4:$A$500,A351)=IFERROR(INDEX(Matchs!$H$4:$H$31,MATCH(A351,Matchs!$A$4:$A$31,0)),""),"OK","⚠ Vérifier vs score adverse"))</f>
        <v/>
      </c>
    </row>
    <row r="352" spans="1:7" ht="15" customHeight="1" x14ac:dyDescent="0.25">
      <c r="A352" s="4"/>
      <c r="B352" s="4"/>
      <c r="C352" s="4"/>
      <c r="D352" s="4" t="str">
        <f t="shared" si="5"/>
        <v/>
      </c>
      <c r="E352" s="4"/>
      <c r="F352" s="4"/>
      <c r="G352" s="17" t="str">
        <f>IF(A352="","",IF(SUMIFS($C$4:$C$500,$A$4:$A$500,A352)=IFERROR(INDEX(Matchs!$H$4:$H$31,MATCH(A352,Matchs!$A$4:$A$31,0)),""),"OK","⚠ Vérifier vs score adverse"))</f>
        <v/>
      </c>
    </row>
    <row r="353" spans="1:7" ht="15" customHeight="1" x14ac:dyDescent="0.25">
      <c r="A353" s="4"/>
      <c r="B353" s="4"/>
      <c r="C353" s="4"/>
      <c r="D353" s="4" t="str">
        <f t="shared" si="5"/>
        <v/>
      </c>
      <c r="E353" s="4"/>
      <c r="F353" s="4"/>
      <c r="G353" s="17" t="str">
        <f>IF(A353="","",IF(SUMIFS($C$4:$C$500,$A$4:$A$500,A353)=IFERROR(INDEX(Matchs!$H$4:$H$31,MATCH(A353,Matchs!$A$4:$A$31,0)),""),"OK","⚠ Vérifier vs score adverse"))</f>
        <v/>
      </c>
    </row>
    <row r="354" spans="1:7" ht="15" customHeight="1" x14ac:dyDescent="0.25">
      <c r="A354" s="4"/>
      <c r="B354" s="4"/>
      <c r="C354" s="4"/>
      <c r="D354" s="4" t="str">
        <f t="shared" si="5"/>
        <v/>
      </c>
      <c r="E354" s="4"/>
      <c r="F354" s="4"/>
      <c r="G354" s="17" t="str">
        <f>IF(A354="","",IF(SUMIFS($C$4:$C$500,$A$4:$A$500,A354)=IFERROR(INDEX(Matchs!$H$4:$H$31,MATCH(A354,Matchs!$A$4:$A$31,0)),""),"OK","⚠ Vérifier vs score adverse"))</f>
        <v/>
      </c>
    </row>
    <row r="355" spans="1:7" ht="15" customHeight="1" x14ac:dyDescent="0.25">
      <c r="A355" s="4"/>
      <c r="B355" s="4"/>
      <c r="C355" s="4"/>
      <c r="D355" s="4" t="str">
        <f t="shared" si="5"/>
        <v/>
      </c>
      <c r="E355" s="4"/>
      <c r="F355" s="4"/>
      <c r="G355" s="17" t="str">
        <f>IF(A355="","",IF(SUMIFS($C$4:$C$500,$A$4:$A$500,A355)=IFERROR(INDEX(Matchs!$H$4:$H$31,MATCH(A355,Matchs!$A$4:$A$31,0)),""),"OK","⚠ Vérifier vs score adverse"))</f>
        <v/>
      </c>
    </row>
    <row r="356" spans="1:7" ht="15" customHeight="1" x14ac:dyDescent="0.25">
      <c r="A356" s="4"/>
      <c r="B356" s="4"/>
      <c r="C356" s="4"/>
      <c r="D356" s="4" t="str">
        <f t="shared" si="5"/>
        <v/>
      </c>
      <c r="E356" s="4"/>
      <c r="F356" s="4"/>
      <c r="G356" s="17" t="str">
        <f>IF(A356="","",IF(SUMIFS($C$4:$C$500,$A$4:$A$500,A356)=IFERROR(INDEX(Matchs!$H$4:$H$31,MATCH(A356,Matchs!$A$4:$A$31,0)),""),"OK","⚠ Vérifier vs score adverse"))</f>
        <v/>
      </c>
    </row>
    <row r="357" spans="1:7" ht="15" customHeight="1" x14ac:dyDescent="0.25">
      <c r="A357" s="4"/>
      <c r="B357" s="4"/>
      <c r="C357" s="4"/>
      <c r="D357" s="4" t="str">
        <f t="shared" si="5"/>
        <v/>
      </c>
      <c r="E357" s="4"/>
      <c r="F357" s="4"/>
      <c r="G357" s="17" t="str">
        <f>IF(A357="","",IF(SUMIFS($C$4:$C$500,$A$4:$A$500,A357)=IFERROR(INDEX(Matchs!$H$4:$H$31,MATCH(A357,Matchs!$A$4:$A$31,0)),""),"OK","⚠ Vérifier vs score adverse"))</f>
        <v/>
      </c>
    </row>
    <row r="358" spans="1:7" ht="15" customHeight="1" x14ac:dyDescent="0.25">
      <c r="A358" s="4"/>
      <c r="B358" s="4"/>
      <c r="C358" s="4"/>
      <c r="D358" s="4" t="str">
        <f t="shared" si="5"/>
        <v/>
      </c>
      <c r="E358" s="4"/>
      <c r="F358" s="4"/>
      <c r="G358" s="17" t="str">
        <f>IF(A358="","",IF(SUMIFS($C$4:$C$500,$A$4:$A$500,A358)=IFERROR(INDEX(Matchs!$H$4:$H$31,MATCH(A358,Matchs!$A$4:$A$31,0)),""),"OK","⚠ Vérifier vs score adverse"))</f>
        <v/>
      </c>
    </row>
    <row r="359" spans="1:7" ht="15" customHeight="1" x14ac:dyDescent="0.25">
      <c r="A359" s="4"/>
      <c r="B359" s="4"/>
      <c r="C359" s="4"/>
      <c r="D359" s="4" t="str">
        <f t="shared" si="5"/>
        <v/>
      </c>
      <c r="E359" s="4"/>
      <c r="F359" s="4"/>
      <c r="G359" s="17" t="str">
        <f>IF(A359="","",IF(SUMIFS($C$4:$C$500,$A$4:$A$500,A359)=IFERROR(INDEX(Matchs!$H$4:$H$31,MATCH(A359,Matchs!$A$4:$A$31,0)),""),"OK","⚠ Vérifier vs score adverse"))</f>
        <v/>
      </c>
    </row>
    <row r="360" spans="1:7" ht="15" customHeight="1" x14ac:dyDescent="0.25">
      <c r="A360" s="4"/>
      <c r="B360" s="4"/>
      <c r="C360" s="4"/>
      <c r="D360" s="4" t="str">
        <f t="shared" si="5"/>
        <v/>
      </c>
      <c r="E360" s="4"/>
      <c r="F360" s="4"/>
      <c r="G360" s="17" t="str">
        <f>IF(A360="","",IF(SUMIFS($C$4:$C$500,$A$4:$A$500,A360)=IFERROR(INDEX(Matchs!$H$4:$H$31,MATCH(A360,Matchs!$A$4:$A$31,0)),""),"OK","⚠ Vérifier vs score adverse"))</f>
        <v/>
      </c>
    </row>
    <row r="361" spans="1:7" ht="15" customHeight="1" x14ac:dyDescent="0.25">
      <c r="A361" s="4"/>
      <c r="B361" s="4"/>
      <c r="C361" s="4"/>
      <c r="D361" s="4" t="str">
        <f t="shared" si="5"/>
        <v/>
      </c>
      <c r="E361" s="4"/>
      <c r="F361" s="4"/>
      <c r="G361" s="17" t="str">
        <f>IF(A361="","",IF(SUMIFS($C$4:$C$500,$A$4:$A$500,A361)=IFERROR(INDEX(Matchs!$H$4:$H$31,MATCH(A361,Matchs!$A$4:$A$31,0)),""),"OK","⚠ Vérifier vs score adverse"))</f>
        <v/>
      </c>
    </row>
    <row r="362" spans="1:7" ht="15" customHeight="1" x14ac:dyDescent="0.25">
      <c r="A362" s="4"/>
      <c r="B362" s="4"/>
      <c r="C362" s="4"/>
      <c r="D362" s="4" t="str">
        <f t="shared" si="5"/>
        <v/>
      </c>
      <c r="E362" s="4"/>
      <c r="F362" s="4"/>
      <c r="G362" s="17" t="str">
        <f>IF(A362="","",IF(SUMIFS($C$4:$C$500,$A$4:$A$500,A362)=IFERROR(INDEX(Matchs!$H$4:$H$31,MATCH(A362,Matchs!$A$4:$A$31,0)),""),"OK","⚠ Vérifier vs score adverse"))</f>
        <v/>
      </c>
    </row>
    <row r="363" spans="1:7" ht="15" customHeight="1" x14ac:dyDescent="0.25">
      <c r="A363" s="4"/>
      <c r="B363" s="4"/>
      <c r="C363" s="4"/>
      <c r="D363" s="4" t="str">
        <f t="shared" si="5"/>
        <v/>
      </c>
      <c r="E363" s="4"/>
      <c r="F363" s="4"/>
      <c r="G363" s="17" t="str">
        <f>IF(A363="","",IF(SUMIFS($C$4:$C$500,$A$4:$A$500,A363)=IFERROR(INDEX(Matchs!$H$4:$H$31,MATCH(A363,Matchs!$A$4:$A$31,0)),""),"OK","⚠ Vérifier vs score adverse"))</f>
        <v/>
      </c>
    </row>
    <row r="364" spans="1:7" ht="15" customHeight="1" x14ac:dyDescent="0.25">
      <c r="A364" s="4"/>
      <c r="B364" s="4"/>
      <c r="C364" s="4"/>
      <c r="D364" s="4" t="str">
        <f t="shared" si="5"/>
        <v/>
      </c>
      <c r="E364" s="4"/>
      <c r="F364" s="4"/>
      <c r="G364" s="17" t="str">
        <f>IF(A364="","",IF(SUMIFS($C$4:$C$500,$A$4:$A$500,A364)=IFERROR(INDEX(Matchs!$H$4:$H$31,MATCH(A364,Matchs!$A$4:$A$31,0)),""),"OK","⚠ Vérifier vs score adverse"))</f>
        <v/>
      </c>
    </row>
    <row r="365" spans="1:7" ht="15" customHeight="1" x14ac:dyDescent="0.25">
      <c r="A365" s="4"/>
      <c r="B365" s="4"/>
      <c r="C365" s="4"/>
      <c r="D365" s="4" t="str">
        <f t="shared" si="5"/>
        <v/>
      </c>
      <c r="E365" s="4"/>
      <c r="F365" s="4"/>
      <c r="G365" s="17" t="str">
        <f>IF(A365="","",IF(SUMIFS($C$4:$C$500,$A$4:$A$500,A365)=IFERROR(INDEX(Matchs!$H$4:$H$31,MATCH(A365,Matchs!$A$4:$A$31,0)),""),"OK","⚠ Vérifier vs score adverse"))</f>
        <v/>
      </c>
    </row>
    <row r="366" spans="1:7" ht="15" customHeight="1" x14ac:dyDescent="0.25">
      <c r="A366" s="4"/>
      <c r="B366" s="4"/>
      <c r="C366" s="4"/>
      <c r="D366" s="4" t="str">
        <f t="shared" si="5"/>
        <v/>
      </c>
      <c r="E366" s="4"/>
      <c r="F366" s="4"/>
      <c r="G366" s="17" t="str">
        <f>IF(A366="","",IF(SUMIFS($C$4:$C$500,$A$4:$A$500,A366)=IFERROR(INDEX(Matchs!$H$4:$H$31,MATCH(A366,Matchs!$A$4:$A$31,0)),""),"OK","⚠ Vérifier vs score adverse"))</f>
        <v/>
      </c>
    </row>
    <row r="367" spans="1:7" ht="15" customHeight="1" x14ac:dyDescent="0.25">
      <c r="A367" s="4"/>
      <c r="B367" s="4"/>
      <c r="C367" s="4"/>
      <c r="D367" s="4" t="str">
        <f t="shared" si="5"/>
        <v/>
      </c>
      <c r="E367" s="4"/>
      <c r="F367" s="4"/>
      <c r="G367" s="17" t="str">
        <f>IF(A367="","",IF(SUMIFS($C$4:$C$500,$A$4:$A$500,A367)=IFERROR(INDEX(Matchs!$H$4:$H$31,MATCH(A367,Matchs!$A$4:$A$31,0)),""),"OK","⚠ Vérifier vs score adverse"))</f>
        <v/>
      </c>
    </row>
    <row r="368" spans="1:7" ht="15" customHeight="1" x14ac:dyDescent="0.25">
      <c r="A368" s="4"/>
      <c r="B368" s="4"/>
      <c r="C368" s="4"/>
      <c r="D368" s="4" t="str">
        <f t="shared" si="5"/>
        <v/>
      </c>
      <c r="E368" s="4"/>
      <c r="F368" s="4"/>
      <c r="G368" s="17" t="str">
        <f>IF(A368="","",IF(SUMIFS($C$4:$C$500,$A$4:$A$500,A368)=IFERROR(INDEX(Matchs!$H$4:$H$31,MATCH(A368,Matchs!$A$4:$A$31,0)),""),"OK","⚠ Vérifier vs score adverse"))</f>
        <v/>
      </c>
    </row>
    <row r="369" spans="1:7" ht="15" customHeight="1" x14ac:dyDescent="0.25">
      <c r="A369" s="4"/>
      <c r="B369" s="4"/>
      <c r="C369" s="4"/>
      <c r="D369" s="4" t="str">
        <f t="shared" si="5"/>
        <v/>
      </c>
      <c r="E369" s="4"/>
      <c r="F369" s="4"/>
      <c r="G369" s="17" t="str">
        <f>IF(A369="","",IF(SUMIFS($C$4:$C$500,$A$4:$A$500,A369)=IFERROR(INDEX(Matchs!$H$4:$H$31,MATCH(A369,Matchs!$A$4:$A$31,0)),""),"OK","⚠ Vérifier vs score adverse"))</f>
        <v/>
      </c>
    </row>
    <row r="370" spans="1:7" ht="15" customHeight="1" x14ac:dyDescent="0.25">
      <c r="A370" s="4"/>
      <c r="B370" s="4"/>
      <c r="C370" s="4"/>
      <c r="D370" s="4" t="str">
        <f t="shared" si="5"/>
        <v/>
      </c>
      <c r="E370" s="4"/>
      <c r="F370" s="4"/>
      <c r="G370" s="17" t="str">
        <f>IF(A370="","",IF(SUMIFS($C$4:$C$500,$A$4:$A$500,A370)=IFERROR(INDEX(Matchs!$H$4:$H$31,MATCH(A370,Matchs!$A$4:$A$31,0)),""),"OK","⚠ Vérifier vs score adverse"))</f>
        <v/>
      </c>
    </row>
    <row r="371" spans="1:7" ht="15" customHeight="1" x14ac:dyDescent="0.25">
      <c r="A371" s="4"/>
      <c r="B371" s="4"/>
      <c r="C371" s="4"/>
      <c r="D371" s="4" t="str">
        <f t="shared" si="5"/>
        <v/>
      </c>
      <c r="E371" s="4"/>
      <c r="F371" s="4"/>
      <c r="G371" s="17" t="str">
        <f>IF(A371="","",IF(SUMIFS($C$4:$C$500,$A$4:$A$500,A371)=IFERROR(INDEX(Matchs!$H$4:$H$31,MATCH(A371,Matchs!$A$4:$A$31,0)),""),"OK","⚠ Vérifier vs score adverse"))</f>
        <v/>
      </c>
    </row>
    <row r="372" spans="1:7" ht="15" customHeight="1" x14ac:dyDescent="0.25">
      <c r="A372" s="4"/>
      <c r="B372" s="4"/>
      <c r="C372" s="4"/>
      <c r="D372" s="4" t="str">
        <f t="shared" si="5"/>
        <v/>
      </c>
      <c r="E372" s="4"/>
      <c r="F372" s="4"/>
      <c r="G372" s="17" t="str">
        <f>IF(A372="","",IF(SUMIFS($C$4:$C$500,$A$4:$A$500,A372)=IFERROR(INDEX(Matchs!$H$4:$H$31,MATCH(A372,Matchs!$A$4:$A$31,0)),""),"OK","⚠ Vérifier vs score adverse"))</f>
        <v/>
      </c>
    </row>
    <row r="373" spans="1:7" ht="15" customHeight="1" x14ac:dyDescent="0.25">
      <c r="A373" s="4"/>
      <c r="B373" s="4"/>
      <c r="C373" s="4"/>
      <c r="D373" s="4" t="str">
        <f t="shared" si="5"/>
        <v/>
      </c>
      <c r="E373" s="4"/>
      <c r="F373" s="4"/>
      <c r="G373" s="17" t="str">
        <f>IF(A373="","",IF(SUMIFS($C$4:$C$500,$A$4:$A$500,A373)=IFERROR(INDEX(Matchs!$H$4:$H$31,MATCH(A373,Matchs!$A$4:$A$31,0)),""),"OK","⚠ Vérifier vs score adverse"))</f>
        <v/>
      </c>
    </row>
    <row r="374" spans="1:7" ht="15" customHeight="1" x14ac:dyDescent="0.25">
      <c r="A374" s="4"/>
      <c r="B374" s="4"/>
      <c r="C374" s="4"/>
      <c r="D374" s="4" t="str">
        <f t="shared" si="5"/>
        <v/>
      </c>
      <c r="E374" s="4"/>
      <c r="F374" s="4"/>
      <c r="G374" s="17" t="str">
        <f>IF(A374="","",IF(SUMIFS($C$4:$C$500,$A$4:$A$500,A374)=IFERROR(INDEX(Matchs!$H$4:$H$31,MATCH(A374,Matchs!$A$4:$A$31,0)),""),"OK","⚠ Vérifier vs score adverse"))</f>
        <v/>
      </c>
    </row>
    <row r="375" spans="1:7" ht="15" customHeight="1" x14ac:dyDescent="0.25">
      <c r="A375" s="4"/>
      <c r="B375" s="4"/>
      <c r="C375" s="4"/>
      <c r="D375" s="4" t="str">
        <f t="shared" si="5"/>
        <v/>
      </c>
      <c r="E375" s="4"/>
      <c r="F375" s="4"/>
      <c r="G375" s="17" t="str">
        <f>IF(A375="","",IF(SUMIFS($C$4:$C$500,$A$4:$A$500,A375)=IFERROR(INDEX(Matchs!$H$4:$H$31,MATCH(A375,Matchs!$A$4:$A$31,0)),""),"OK","⚠ Vérifier vs score adverse"))</f>
        <v/>
      </c>
    </row>
    <row r="376" spans="1:7" ht="15" customHeight="1" x14ac:dyDescent="0.25">
      <c r="A376" s="4"/>
      <c r="B376" s="4"/>
      <c r="C376" s="4"/>
      <c r="D376" s="4" t="str">
        <f t="shared" si="5"/>
        <v/>
      </c>
      <c r="E376" s="4"/>
      <c r="F376" s="4"/>
      <c r="G376" s="17" t="str">
        <f>IF(A376="","",IF(SUMIFS($C$4:$C$500,$A$4:$A$500,A376)=IFERROR(INDEX(Matchs!$H$4:$H$31,MATCH(A376,Matchs!$A$4:$A$31,0)),""),"OK","⚠ Vérifier vs score adverse"))</f>
        <v/>
      </c>
    </row>
    <row r="377" spans="1:7" ht="15" customHeight="1" x14ac:dyDescent="0.25">
      <c r="A377" s="4"/>
      <c r="B377" s="4"/>
      <c r="C377" s="4"/>
      <c r="D377" s="4" t="str">
        <f t="shared" si="5"/>
        <v/>
      </c>
      <c r="E377" s="4"/>
      <c r="F377" s="4"/>
      <c r="G377" s="17" t="str">
        <f>IF(A377="","",IF(SUMIFS($C$4:$C$500,$A$4:$A$500,A377)=IFERROR(INDEX(Matchs!$H$4:$H$31,MATCH(A377,Matchs!$A$4:$A$31,0)),""),"OK","⚠ Vérifier vs score adverse"))</f>
        <v/>
      </c>
    </row>
    <row r="378" spans="1:7" ht="15" customHeight="1" x14ac:dyDescent="0.25">
      <c r="A378" s="4"/>
      <c r="B378" s="4"/>
      <c r="C378" s="4"/>
      <c r="D378" s="4" t="str">
        <f t="shared" si="5"/>
        <v/>
      </c>
      <c r="E378" s="4"/>
      <c r="F378" s="4"/>
      <c r="G378" s="17" t="str">
        <f>IF(A378="","",IF(SUMIFS($C$4:$C$500,$A$4:$A$500,A378)=IFERROR(INDEX(Matchs!$H$4:$H$31,MATCH(A378,Matchs!$A$4:$A$31,0)),""),"OK","⚠ Vérifier vs score adverse"))</f>
        <v/>
      </c>
    </row>
    <row r="379" spans="1:7" ht="15" customHeight="1" x14ac:dyDescent="0.25">
      <c r="A379" s="4"/>
      <c r="B379" s="4"/>
      <c r="C379" s="4"/>
      <c r="D379" s="4" t="str">
        <f t="shared" si="5"/>
        <v/>
      </c>
      <c r="E379" s="4"/>
      <c r="F379" s="4"/>
      <c r="G379" s="17" t="str">
        <f>IF(A379="","",IF(SUMIFS($C$4:$C$500,$A$4:$A$500,A379)=IFERROR(INDEX(Matchs!$H$4:$H$31,MATCH(A379,Matchs!$A$4:$A$31,0)),""),"OK","⚠ Vérifier vs score adverse"))</f>
        <v/>
      </c>
    </row>
    <row r="380" spans="1:7" ht="15" customHeight="1" x14ac:dyDescent="0.25">
      <c r="A380" s="4"/>
      <c r="B380" s="4"/>
      <c r="C380" s="4"/>
      <c r="D380" s="4" t="str">
        <f t="shared" si="5"/>
        <v/>
      </c>
      <c r="E380" s="4"/>
      <c r="F380" s="4"/>
      <c r="G380" s="17" t="str">
        <f>IF(A380="","",IF(SUMIFS($C$4:$C$500,$A$4:$A$500,A380)=IFERROR(INDEX(Matchs!$H$4:$H$31,MATCH(A380,Matchs!$A$4:$A$31,0)),""),"OK","⚠ Vérifier vs score adverse"))</f>
        <v/>
      </c>
    </row>
    <row r="381" spans="1:7" ht="15" customHeight="1" x14ac:dyDescent="0.25">
      <c r="A381" s="4"/>
      <c r="B381" s="4"/>
      <c r="C381" s="4"/>
      <c r="D381" s="4" t="str">
        <f t="shared" si="5"/>
        <v/>
      </c>
      <c r="E381" s="4"/>
      <c r="F381" s="4"/>
      <c r="G381" s="17" t="str">
        <f>IF(A381="","",IF(SUMIFS($C$4:$C$500,$A$4:$A$500,A381)=IFERROR(INDEX(Matchs!$H$4:$H$31,MATCH(A381,Matchs!$A$4:$A$31,0)),""),"OK","⚠ Vérifier vs score adverse"))</f>
        <v/>
      </c>
    </row>
    <row r="382" spans="1:7" ht="15" customHeight="1" x14ac:dyDescent="0.25">
      <c r="A382" s="4"/>
      <c r="B382" s="4"/>
      <c r="C382" s="4"/>
      <c r="D382" s="4" t="str">
        <f t="shared" si="5"/>
        <v/>
      </c>
      <c r="E382" s="4"/>
      <c r="F382" s="4"/>
      <c r="G382" s="17" t="str">
        <f>IF(A382="","",IF(SUMIFS($C$4:$C$500,$A$4:$A$500,A382)=IFERROR(INDEX(Matchs!$H$4:$H$31,MATCH(A382,Matchs!$A$4:$A$31,0)),""),"OK","⚠ Vérifier vs score adverse"))</f>
        <v/>
      </c>
    </row>
    <row r="383" spans="1:7" ht="15" customHeight="1" x14ac:dyDescent="0.25">
      <c r="A383" s="4"/>
      <c r="B383" s="4"/>
      <c r="C383" s="4"/>
      <c r="D383" s="4" t="str">
        <f t="shared" si="5"/>
        <v/>
      </c>
      <c r="E383" s="4"/>
      <c r="F383" s="4"/>
      <c r="G383" s="17" t="str">
        <f>IF(A383="","",IF(SUMIFS($C$4:$C$500,$A$4:$A$500,A383)=IFERROR(INDEX(Matchs!$H$4:$H$31,MATCH(A383,Matchs!$A$4:$A$31,0)),""),"OK","⚠ Vérifier vs score adverse"))</f>
        <v/>
      </c>
    </row>
    <row r="384" spans="1:7" ht="15" customHeight="1" x14ac:dyDescent="0.25">
      <c r="A384" s="4"/>
      <c r="B384" s="4"/>
      <c r="C384" s="4"/>
      <c r="D384" s="4" t="str">
        <f t="shared" si="5"/>
        <v/>
      </c>
      <c r="E384" s="4"/>
      <c r="F384" s="4"/>
      <c r="G384" s="17" t="str">
        <f>IF(A384="","",IF(SUMIFS($C$4:$C$500,$A$4:$A$500,A384)=IFERROR(INDEX(Matchs!$H$4:$H$31,MATCH(A384,Matchs!$A$4:$A$31,0)),""),"OK","⚠ Vérifier vs score adverse"))</f>
        <v/>
      </c>
    </row>
    <row r="385" spans="1:7" ht="15" customHeight="1" x14ac:dyDescent="0.25">
      <c r="A385" s="4"/>
      <c r="B385" s="4"/>
      <c r="C385" s="4"/>
      <c r="D385" s="4" t="str">
        <f t="shared" si="5"/>
        <v/>
      </c>
      <c r="E385" s="4"/>
      <c r="F385" s="4"/>
      <c r="G385" s="17" t="str">
        <f>IF(A385="","",IF(SUMIFS($C$4:$C$500,$A$4:$A$500,A385)=IFERROR(INDEX(Matchs!$H$4:$H$31,MATCH(A385,Matchs!$A$4:$A$31,0)),""),"OK","⚠ Vérifier vs score adverse"))</f>
        <v/>
      </c>
    </row>
    <row r="386" spans="1:7" ht="15" customHeight="1" x14ac:dyDescent="0.25">
      <c r="A386" s="4"/>
      <c r="B386" s="4"/>
      <c r="C386" s="4"/>
      <c r="D386" s="4" t="str">
        <f t="shared" si="5"/>
        <v/>
      </c>
      <c r="E386" s="4"/>
      <c r="F386" s="4"/>
      <c r="G386" s="17" t="str">
        <f>IF(A386="","",IF(SUMIFS($C$4:$C$500,$A$4:$A$500,A386)=IFERROR(INDEX(Matchs!$H$4:$H$31,MATCH(A386,Matchs!$A$4:$A$31,0)),""),"OK","⚠ Vérifier vs score adverse"))</f>
        <v/>
      </c>
    </row>
    <row r="387" spans="1:7" ht="15" customHeight="1" x14ac:dyDescent="0.25">
      <c r="A387" s="4"/>
      <c r="B387" s="4"/>
      <c r="C387" s="4"/>
      <c r="D387" s="4" t="str">
        <f t="shared" si="5"/>
        <v/>
      </c>
      <c r="E387" s="4"/>
      <c r="F387" s="4"/>
      <c r="G387" s="17" t="str">
        <f>IF(A387="","",IF(SUMIFS($C$4:$C$500,$A$4:$A$500,A387)=IFERROR(INDEX(Matchs!$H$4:$H$31,MATCH(A387,Matchs!$A$4:$A$31,0)),""),"OK","⚠ Vérifier vs score adverse"))</f>
        <v/>
      </c>
    </row>
    <row r="388" spans="1:7" ht="15" customHeight="1" x14ac:dyDescent="0.25">
      <c r="A388" s="4"/>
      <c r="B388" s="4"/>
      <c r="C388" s="4"/>
      <c r="D388" s="4" t="str">
        <f t="shared" ref="D388:D451" si="6">IF(C388="","",IF(C388=0,"Oui","Non"))</f>
        <v/>
      </c>
      <c r="E388" s="4"/>
      <c r="F388" s="4"/>
      <c r="G388" s="17" t="str">
        <f>IF(A388="","",IF(SUMIFS($C$4:$C$500,$A$4:$A$500,A388)=IFERROR(INDEX(Matchs!$H$4:$H$31,MATCH(A388,Matchs!$A$4:$A$31,0)),""),"OK","⚠ Vérifier vs score adverse"))</f>
        <v/>
      </c>
    </row>
    <row r="389" spans="1:7" ht="15" customHeight="1" x14ac:dyDescent="0.25">
      <c r="A389" s="4"/>
      <c r="B389" s="4"/>
      <c r="C389" s="4"/>
      <c r="D389" s="4" t="str">
        <f t="shared" si="6"/>
        <v/>
      </c>
      <c r="E389" s="4"/>
      <c r="F389" s="4"/>
      <c r="G389" s="17" t="str">
        <f>IF(A389="","",IF(SUMIFS($C$4:$C$500,$A$4:$A$500,A389)=IFERROR(INDEX(Matchs!$H$4:$H$31,MATCH(A389,Matchs!$A$4:$A$31,0)),""),"OK","⚠ Vérifier vs score adverse"))</f>
        <v/>
      </c>
    </row>
    <row r="390" spans="1:7" ht="15" customHeight="1" x14ac:dyDescent="0.25">
      <c r="A390" s="4"/>
      <c r="B390" s="4"/>
      <c r="C390" s="4"/>
      <c r="D390" s="4" t="str">
        <f t="shared" si="6"/>
        <v/>
      </c>
      <c r="E390" s="4"/>
      <c r="F390" s="4"/>
      <c r="G390" s="17" t="str">
        <f>IF(A390="","",IF(SUMIFS($C$4:$C$500,$A$4:$A$500,A390)=IFERROR(INDEX(Matchs!$H$4:$H$31,MATCH(A390,Matchs!$A$4:$A$31,0)),""),"OK","⚠ Vérifier vs score adverse"))</f>
        <v/>
      </c>
    </row>
    <row r="391" spans="1:7" ht="15" customHeight="1" x14ac:dyDescent="0.25">
      <c r="A391" s="4"/>
      <c r="B391" s="4"/>
      <c r="C391" s="4"/>
      <c r="D391" s="4" t="str">
        <f t="shared" si="6"/>
        <v/>
      </c>
      <c r="E391" s="4"/>
      <c r="F391" s="4"/>
      <c r="G391" s="17" t="str">
        <f>IF(A391="","",IF(SUMIFS($C$4:$C$500,$A$4:$A$500,A391)=IFERROR(INDEX(Matchs!$H$4:$H$31,MATCH(A391,Matchs!$A$4:$A$31,0)),""),"OK","⚠ Vérifier vs score adverse"))</f>
        <v/>
      </c>
    </row>
    <row r="392" spans="1:7" ht="15" customHeight="1" x14ac:dyDescent="0.25">
      <c r="A392" s="4"/>
      <c r="B392" s="4"/>
      <c r="C392" s="4"/>
      <c r="D392" s="4" t="str">
        <f t="shared" si="6"/>
        <v/>
      </c>
      <c r="E392" s="4"/>
      <c r="F392" s="4"/>
      <c r="G392" s="17" t="str">
        <f>IF(A392="","",IF(SUMIFS($C$4:$C$500,$A$4:$A$500,A392)=IFERROR(INDEX(Matchs!$H$4:$H$31,MATCH(A392,Matchs!$A$4:$A$31,0)),""),"OK","⚠ Vérifier vs score adverse"))</f>
        <v/>
      </c>
    </row>
    <row r="393" spans="1:7" ht="15" customHeight="1" x14ac:dyDescent="0.25">
      <c r="A393" s="4"/>
      <c r="B393" s="4"/>
      <c r="C393" s="4"/>
      <c r="D393" s="4" t="str">
        <f t="shared" si="6"/>
        <v/>
      </c>
      <c r="E393" s="4"/>
      <c r="F393" s="4"/>
      <c r="G393" s="17" t="str">
        <f>IF(A393="","",IF(SUMIFS($C$4:$C$500,$A$4:$A$500,A393)=IFERROR(INDEX(Matchs!$H$4:$H$31,MATCH(A393,Matchs!$A$4:$A$31,0)),""),"OK","⚠ Vérifier vs score adverse"))</f>
        <v/>
      </c>
    </row>
    <row r="394" spans="1:7" ht="15" customHeight="1" x14ac:dyDescent="0.25">
      <c r="A394" s="4"/>
      <c r="B394" s="4"/>
      <c r="C394" s="4"/>
      <c r="D394" s="4" t="str">
        <f t="shared" si="6"/>
        <v/>
      </c>
      <c r="E394" s="4"/>
      <c r="F394" s="4"/>
      <c r="G394" s="17" t="str">
        <f>IF(A394="","",IF(SUMIFS($C$4:$C$500,$A$4:$A$500,A394)=IFERROR(INDEX(Matchs!$H$4:$H$31,MATCH(A394,Matchs!$A$4:$A$31,0)),""),"OK","⚠ Vérifier vs score adverse"))</f>
        <v/>
      </c>
    </row>
    <row r="395" spans="1:7" ht="15" customHeight="1" x14ac:dyDescent="0.25">
      <c r="A395" s="4"/>
      <c r="B395" s="4"/>
      <c r="C395" s="4"/>
      <c r="D395" s="4" t="str">
        <f t="shared" si="6"/>
        <v/>
      </c>
      <c r="E395" s="4"/>
      <c r="F395" s="4"/>
      <c r="G395" s="17" t="str">
        <f>IF(A395="","",IF(SUMIFS($C$4:$C$500,$A$4:$A$500,A395)=IFERROR(INDEX(Matchs!$H$4:$H$31,MATCH(A395,Matchs!$A$4:$A$31,0)),""),"OK","⚠ Vérifier vs score adverse"))</f>
        <v/>
      </c>
    </row>
    <row r="396" spans="1:7" ht="15" customHeight="1" x14ac:dyDescent="0.25">
      <c r="A396" s="4"/>
      <c r="B396" s="4"/>
      <c r="C396" s="4"/>
      <c r="D396" s="4" t="str">
        <f t="shared" si="6"/>
        <v/>
      </c>
      <c r="E396" s="4"/>
      <c r="F396" s="4"/>
      <c r="G396" s="17" t="str">
        <f>IF(A396="","",IF(SUMIFS($C$4:$C$500,$A$4:$A$500,A396)=IFERROR(INDEX(Matchs!$H$4:$H$31,MATCH(A396,Matchs!$A$4:$A$31,0)),""),"OK","⚠ Vérifier vs score adverse"))</f>
        <v/>
      </c>
    </row>
    <row r="397" spans="1:7" ht="15" customHeight="1" x14ac:dyDescent="0.25">
      <c r="A397" s="4"/>
      <c r="B397" s="4"/>
      <c r="C397" s="4"/>
      <c r="D397" s="4" t="str">
        <f t="shared" si="6"/>
        <v/>
      </c>
      <c r="E397" s="4"/>
      <c r="F397" s="4"/>
      <c r="G397" s="17" t="str">
        <f>IF(A397="","",IF(SUMIFS($C$4:$C$500,$A$4:$A$500,A397)=IFERROR(INDEX(Matchs!$H$4:$H$31,MATCH(A397,Matchs!$A$4:$A$31,0)),""),"OK","⚠ Vérifier vs score adverse"))</f>
        <v/>
      </c>
    </row>
    <row r="398" spans="1:7" ht="15" customHeight="1" x14ac:dyDescent="0.25">
      <c r="A398" s="4"/>
      <c r="B398" s="4"/>
      <c r="C398" s="4"/>
      <c r="D398" s="4" t="str">
        <f t="shared" si="6"/>
        <v/>
      </c>
      <c r="E398" s="4"/>
      <c r="F398" s="4"/>
      <c r="G398" s="17" t="str">
        <f>IF(A398="","",IF(SUMIFS($C$4:$C$500,$A$4:$A$500,A398)=IFERROR(INDEX(Matchs!$H$4:$H$31,MATCH(A398,Matchs!$A$4:$A$31,0)),""),"OK","⚠ Vérifier vs score adverse"))</f>
        <v/>
      </c>
    </row>
    <row r="399" spans="1:7" ht="15" customHeight="1" x14ac:dyDescent="0.25">
      <c r="A399" s="4"/>
      <c r="B399" s="4"/>
      <c r="C399" s="4"/>
      <c r="D399" s="4" t="str">
        <f t="shared" si="6"/>
        <v/>
      </c>
      <c r="E399" s="4"/>
      <c r="F399" s="4"/>
      <c r="G399" s="17" t="str">
        <f>IF(A399="","",IF(SUMIFS($C$4:$C$500,$A$4:$A$500,A399)=IFERROR(INDEX(Matchs!$H$4:$H$31,MATCH(A399,Matchs!$A$4:$A$31,0)),""),"OK","⚠ Vérifier vs score adverse"))</f>
        <v/>
      </c>
    </row>
    <row r="400" spans="1:7" ht="15" customHeight="1" x14ac:dyDescent="0.25">
      <c r="A400" s="4"/>
      <c r="B400" s="4"/>
      <c r="C400" s="4"/>
      <c r="D400" s="4" t="str">
        <f t="shared" si="6"/>
        <v/>
      </c>
      <c r="E400" s="4"/>
      <c r="F400" s="4"/>
      <c r="G400" s="17" t="str">
        <f>IF(A400="","",IF(SUMIFS($C$4:$C$500,$A$4:$A$500,A400)=IFERROR(INDEX(Matchs!$H$4:$H$31,MATCH(A400,Matchs!$A$4:$A$31,0)),""),"OK","⚠ Vérifier vs score adverse"))</f>
        <v/>
      </c>
    </row>
    <row r="401" spans="1:7" ht="15" customHeight="1" x14ac:dyDescent="0.25">
      <c r="A401" s="4"/>
      <c r="B401" s="4"/>
      <c r="C401" s="4"/>
      <c r="D401" s="4" t="str">
        <f t="shared" si="6"/>
        <v/>
      </c>
      <c r="E401" s="4"/>
      <c r="F401" s="4"/>
      <c r="G401" s="17" t="str">
        <f>IF(A401="","",IF(SUMIFS($C$4:$C$500,$A$4:$A$500,A401)=IFERROR(INDEX(Matchs!$H$4:$H$31,MATCH(A401,Matchs!$A$4:$A$31,0)),""),"OK","⚠ Vérifier vs score adverse"))</f>
        <v/>
      </c>
    </row>
    <row r="402" spans="1:7" ht="15" customHeight="1" x14ac:dyDescent="0.25">
      <c r="A402" s="4"/>
      <c r="B402" s="4"/>
      <c r="C402" s="4"/>
      <c r="D402" s="4" t="str">
        <f t="shared" si="6"/>
        <v/>
      </c>
      <c r="E402" s="4"/>
      <c r="F402" s="4"/>
      <c r="G402" s="17" t="str">
        <f>IF(A402="","",IF(SUMIFS($C$4:$C$500,$A$4:$A$500,A402)=IFERROR(INDEX(Matchs!$H$4:$H$31,MATCH(A402,Matchs!$A$4:$A$31,0)),""),"OK","⚠ Vérifier vs score adverse"))</f>
        <v/>
      </c>
    </row>
    <row r="403" spans="1:7" ht="15" customHeight="1" x14ac:dyDescent="0.25">
      <c r="A403" s="4"/>
      <c r="B403" s="4"/>
      <c r="C403" s="4"/>
      <c r="D403" s="4" t="str">
        <f t="shared" si="6"/>
        <v/>
      </c>
      <c r="E403" s="4"/>
      <c r="F403" s="4"/>
      <c r="G403" s="17" t="str">
        <f>IF(A403="","",IF(SUMIFS($C$4:$C$500,$A$4:$A$500,A403)=IFERROR(INDEX(Matchs!$H$4:$H$31,MATCH(A403,Matchs!$A$4:$A$31,0)),""),"OK","⚠ Vérifier vs score adverse"))</f>
        <v/>
      </c>
    </row>
    <row r="404" spans="1:7" ht="15" customHeight="1" x14ac:dyDescent="0.25">
      <c r="A404" s="4"/>
      <c r="B404" s="4"/>
      <c r="C404" s="4"/>
      <c r="D404" s="4" t="str">
        <f t="shared" si="6"/>
        <v/>
      </c>
      <c r="E404" s="4"/>
      <c r="F404" s="4"/>
      <c r="G404" s="17" t="str">
        <f>IF(A404="","",IF(SUMIFS($C$4:$C$500,$A$4:$A$500,A404)=IFERROR(INDEX(Matchs!$H$4:$H$31,MATCH(A404,Matchs!$A$4:$A$31,0)),""),"OK","⚠ Vérifier vs score adverse"))</f>
        <v/>
      </c>
    </row>
    <row r="405" spans="1:7" ht="15" customHeight="1" x14ac:dyDescent="0.25">
      <c r="A405" s="4"/>
      <c r="B405" s="4"/>
      <c r="C405" s="4"/>
      <c r="D405" s="4" t="str">
        <f t="shared" si="6"/>
        <v/>
      </c>
      <c r="E405" s="4"/>
      <c r="F405" s="4"/>
      <c r="G405" s="17" t="str">
        <f>IF(A405="","",IF(SUMIFS($C$4:$C$500,$A$4:$A$500,A405)=IFERROR(INDEX(Matchs!$H$4:$H$31,MATCH(A405,Matchs!$A$4:$A$31,0)),""),"OK","⚠ Vérifier vs score adverse"))</f>
        <v/>
      </c>
    </row>
    <row r="406" spans="1:7" ht="15" customHeight="1" x14ac:dyDescent="0.25">
      <c r="A406" s="4"/>
      <c r="B406" s="4"/>
      <c r="C406" s="4"/>
      <c r="D406" s="4" t="str">
        <f t="shared" si="6"/>
        <v/>
      </c>
      <c r="E406" s="4"/>
      <c r="F406" s="4"/>
      <c r="G406" s="17" t="str">
        <f>IF(A406="","",IF(SUMIFS($C$4:$C$500,$A$4:$A$500,A406)=IFERROR(INDEX(Matchs!$H$4:$H$31,MATCH(A406,Matchs!$A$4:$A$31,0)),""),"OK","⚠ Vérifier vs score adverse"))</f>
        <v/>
      </c>
    </row>
    <row r="407" spans="1:7" ht="15" customHeight="1" x14ac:dyDescent="0.25">
      <c r="A407" s="4"/>
      <c r="B407" s="4"/>
      <c r="C407" s="4"/>
      <c r="D407" s="4" t="str">
        <f t="shared" si="6"/>
        <v/>
      </c>
      <c r="E407" s="4"/>
      <c r="F407" s="4"/>
      <c r="G407" s="17" t="str">
        <f>IF(A407="","",IF(SUMIFS($C$4:$C$500,$A$4:$A$500,A407)=IFERROR(INDEX(Matchs!$H$4:$H$31,MATCH(A407,Matchs!$A$4:$A$31,0)),""),"OK","⚠ Vérifier vs score adverse"))</f>
        <v/>
      </c>
    </row>
    <row r="408" spans="1:7" ht="15" customHeight="1" x14ac:dyDescent="0.25">
      <c r="A408" s="4"/>
      <c r="B408" s="4"/>
      <c r="C408" s="4"/>
      <c r="D408" s="4" t="str">
        <f t="shared" si="6"/>
        <v/>
      </c>
      <c r="E408" s="4"/>
      <c r="F408" s="4"/>
      <c r="G408" s="17" t="str">
        <f>IF(A408="","",IF(SUMIFS($C$4:$C$500,$A$4:$A$500,A408)=IFERROR(INDEX(Matchs!$H$4:$H$31,MATCH(A408,Matchs!$A$4:$A$31,0)),""),"OK","⚠ Vérifier vs score adverse"))</f>
        <v/>
      </c>
    </row>
    <row r="409" spans="1:7" ht="15" customHeight="1" x14ac:dyDescent="0.25">
      <c r="A409" s="4"/>
      <c r="B409" s="4"/>
      <c r="C409" s="4"/>
      <c r="D409" s="4" t="str">
        <f t="shared" si="6"/>
        <v/>
      </c>
      <c r="E409" s="4"/>
      <c r="F409" s="4"/>
      <c r="G409" s="17" t="str">
        <f>IF(A409="","",IF(SUMIFS($C$4:$C$500,$A$4:$A$500,A409)=IFERROR(INDEX(Matchs!$H$4:$H$31,MATCH(A409,Matchs!$A$4:$A$31,0)),""),"OK","⚠ Vérifier vs score adverse"))</f>
        <v/>
      </c>
    </row>
    <row r="410" spans="1:7" ht="15" customHeight="1" x14ac:dyDescent="0.25">
      <c r="A410" s="4"/>
      <c r="B410" s="4"/>
      <c r="C410" s="4"/>
      <c r="D410" s="4" t="str">
        <f t="shared" si="6"/>
        <v/>
      </c>
      <c r="E410" s="4"/>
      <c r="F410" s="4"/>
      <c r="G410" s="17" t="str">
        <f>IF(A410="","",IF(SUMIFS($C$4:$C$500,$A$4:$A$500,A410)=IFERROR(INDEX(Matchs!$H$4:$H$31,MATCH(A410,Matchs!$A$4:$A$31,0)),""),"OK","⚠ Vérifier vs score adverse"))</f>
        <v/>
      </c>
    </row>
    <row r="411" spans="1:7" ht="15" customHeight="1" x14ac:dyDescent="0.25">
      <c r="A411" s="4"/>
      <c r="B411" s="4"/>
      <c r="C411" s="4"/>
      <c r="D411" s="4" t="str">
        <f t="shared" si="6"/>
        <v/>
      </c>
      <c r="E411" s="4"/>
      <c r="F411" s="4"/>
      <c r="G411" s="17" t="str">
        <f>IF(A411="","",IF(SUMIFS($C$4:$C$500,$A$4:$A$500,A411)=IFERROR(INDEX(Matchs!$H$4:$H$31,MATCH(A411,Matchs!$A$4:$A$31,0)),""),"OK","⚠ Vérifier vs score adverse"))</f>
        <v/>
      </c>
    </row>
    <row r="412" spans="1:7" ht="15" customHeight="1" x14ac:dyDescent="0.25">
      <c r="A412" s="4"/>
      <c r="B412" s="4"/>
      <c r="C412" s="4"/>
      <c r="D412" s="4" t="str">
        <f t="shared" si="6"/>
        <v/>
      </c>
      <c r="E412" s="4"/>
      <c r="F412" s="4"/>
      <c r="G412" s="17" t="str">
        <f>IF(A412="","",IF(SUMIFS($C$4:$C$500,$A$4:$A$500,A412)=IFERROR(INDEX(Matchs!$H$4:$H$31,MATCH(A412,Matchs!$A$4:$A$31,0)),""),"OK","⚠ Vérifier vs score adverse"))</f>
        <v/>
      </c>
    </row>
    <row r="413" spans="1:7" ht="15" customHeight="1" x14ac:dyDescent="0.25">
      <c r="A413" s="4"/>
      <c r="B413" s="4"/>
      <c r="C413" s="4"/>
      <c r="D413" s="4" t="str">
        <f t="shared" si="6"/>
        <v/>
      </c>
      <c r="E413" s="4"/>
      <c r="F413" s="4"/>
      <c r="G413" s="17" t="str">
        <f>IF(A413="","",IF(SUMIFS($C$4:$C$500,$A$4:$A$500,A413)=IFERROR(INDEX(Matchs!$H$4:$H$31,MATCH(A413,Matchs!$A$4:$A$31,0)),""),"OK","⚠ Vérifier vs score adverse"))</f>
        <v/>
      </c>
    </row>
    <row r="414" spans="1:7" ht="15" customHeight="1" x14ac:dyDescent="0.25">
      <c r="A414" s="4"/>
      <c r="B414" s="4"/>
      <c r="C414" s="4"/>
      <c r="D414" s="4" t="str">
        <f t="shared" si="6"/>
        <v/>
      </c>
      <c r="E414" s="4"/>
      <c r="F414" s="4"/>
      <c r="G414" s="17" t="str">
        <f>IF(A414="","",IF(SUMIFS($C$4:$C$500,$A$4:$A$500,A414)=IFERROR(INDEX(Matchs!$H$4:$H$31,MATCH(A414,Matchs!$A$4:$A$31,0)),""),"OK","⚠ Vérifier vs score adverse"))</f>
        <v/>
      </c>
    </row>
    <row r="415" spans="1:7" ht="15" customHeight="1" x14ac:dyDescent="0.25">
      <c r="A415" s="4"/>
      <c r="B415" s="4"/>
      <c r="C415" s="4"/>
      <c r="D415" s="4" t="str">
        <f t="shared" si="6"/>
        <v/>
      </c>
      <c r="E415" s="4"/>
      <c r="F415" s="4"/>
      <c r="G415" s="17" t="str">
        <f>IF(A415="","",IF(SUMIFS($C$4:$C$500,$A$4:$A$500,A415)=IFERROR(INDEX(Matchs!$H$4:$H$31,MATCH(A415,Matchs!$A$4:$A$31,0)),""),"OK","⚠ Vérifier vs score adverse"))</f>
        <v/>
      </c>
    </row>
    <row r="416" spans="1:7" ht="15" customHeight="1" x14ac:dyDescent="0.25">
      <c r="A416" s="4"/>
      <c r="B416" s="4"/>
      <c r="C416" s="4"/>
      <c r="D416" s="4" t="str">
        <f t="shared" si="6"/>
        <v/>
      </c>
      <c r="E416" s="4"/>
      <c r="F416" s="4"/>
      <c r="G416" s="17" t="str">
        <f>IF(A416="","",IF(SUMIFS($C$4:$C$500,$A$4:$A$500,A416)=IFERROR(INDEX(Matchs!$H$4:$H$31,MATCH(A416,Matchs!$A$4:$A$31,0)),""),"OK","⚠ Vérifier vs score adverse"))</f>
        <v/>
      </c>
    </row>
    <row r="417" spans="1:7" ht="15" customHeight="1" x14ac:dyDescent="0.25">
      <c r="A417" s="4"/>
      <c r="B417" s="4"/>
      <c r="C417" s="4"/>
      <c r="D417" s="4" t="str">
        <f t="shared" si="6"/>
        <v/>
      </c>
      <c r="E417" s="4"/>
      <c r="F417" s="4"/>
      <c r="G417" s="17" t="str">
        <f>IF(A417="","",IF(SUMIFS($C$4:$C$500,$A$4:$A$500,A417)=IFERROR(INDEX(Matchs!$H$4:$H$31,MATCH(A417,Matchs!$A$4:$A$31,0)),""),"OK","⚠ Vérifier vs score adverse"))</f>
        <v/>
      </c>
    </row>
    <row r="418" spans="1:7" ht="15" customHeight="1" x14ac:dyDescent="0.25">
      <c r="A418" s="4"/>
      <c r="B418" s="4"/>
      <c r="C418" s="4"/>
      <c r="D418" s="4" t="str">
        <f t="shared" si="6"/>
        <v/>
      </c>
      <c r="E418" s="4"/>
      <c r="F418" s="4"/>
      <c r="G418" s="17" t="str">
        <f>IF(A418="","",IF(SUMIFS($C$4:$C$500,$A$4:$A$500,A418)=IFERROR(INDEX(Matchs!$H$4:$H$31,MATCH(A418,Matchs!$A$4:$A$31,0)),""),"OK","⚠ Vérifier vs score adverse"))</f>
        <v/>
      </c>
    </row>
    <row r="419" spans="1:7" ht="15" customHeight="1" x14ac:dyDescent="0.25">
      <c r="A419" s="4"/>
      <c r="B419" s="4"/>
      <c r="C419" s="4"/>
      <c r="D419" s="4" t="str">
        <f t="shared" si="6"/>
        <v/>
      </c>
      <c r="E419" s="4"/>
      <c r="F419" s="4"/>
      <c r="G419" s="17" t="str">
        <f>IF(A419="","",IF(SUMIFS($C$4:$C$500,$A$4:$A$500,A419)=IFERROR(INDEX(Matchs!$H$4:$H$31,MATCH(A419,Matchs!$A$4:$A$31,0)),""),"OK","⚠ Vérifier vs score adverse"))</f>
        <v/>
      </c>
    </row>
    <row r="420" spans="1:7" ht="15" customHeight="1" x14ac:dyDescent="0.25">
      <c r="A420" s="4"/>
      <c r="B420" s="4"/>
      <c r="C420" s="4"/>
      <c r="D420" s="4" t="str">
        <f t="shared" si="6"/>
        <v/>
      </c>
      <c r="E420" s="4"/>
      <c r="F420" s="4"/>
      <c r="G420" s="17" t="str">
        <f>IF(A420="","",IF(SUMIFS($C$4:$C$500,$A$4:$A$500,A420)=IFERROR(INDEX(Matchs!$H$4:$H$31,MATCH(A420,Matchs!$A$4:$A$31,0)),""),"OK","⚠ Vérifier vs score adverse"))</f>
        <v/>
      </c>
    </row>
    <row r="421" spans="1:7" ht="15" customHeight="1" x14ac:dyDescent="0.25">
      <c r="A421" s="4"/>
      <c r="B421" s="4"/>
      <c r="C421" s="4"/>
      <c r="D421" s="4" t="str">
        <f t="shared" si="6"/>
        <v/>
      </c>
      <c r="E421" s="4"/>
      <c r="F421" s="4"/>
      <c r="G421" s="17" t="str">
        <f>IF(A421="","",IF(SUMIFS($C$4:$C$500,$A$4:$A$500,A421)=IFERROR(INDEX(Matchs!$H$4:$H$31,MATCH(A421,Matchs!$A$4:$A$31,0)),""),"OK","⚠ Vérifier vs score adverse"))</f>
        <v/>
      </c>
    </row>
    <row r="422" spans="1:7" ht="15" customHeight="1" x14ac:dyDescent="0.25">
      <c r="A422" s="4"/>
      <c r="B422" s="4"/>
      <c r="C422" s="4"/>
      <c r="D422" s="4" t="str">
        <f t="shared" si="6"/>
        <v/>
      </c>
      <c r="E422" s="4"/>
      <c r="F422" s="4"/>
      <c r="G422" s="17" t="str">
        <f>IF(A422="","",IF(SUMIFS($C$4:$C$500,$A$4:$A$500,A422)=IFERROR(INDEX(Matchs!$H$4:$H$31,MATCH(A422,Matchs!$A$4:$A$31,0)),""),"OK","⚠ Vérifier vs score adverse"))</f>
        <v/>
      </c>
    </row>
    <row r="423" spans="1:7" ht="15" customHeight="1" x14ac:dyDescent="0.25">
      <c r="A423" s="4"/>
      <c r="B423" s="4"/>
      <c r="C423" s="4"/>
      <c r="D423" s="4" t="str">
        <f t="shared" si="6"/>
        <v/>
      </c>
      <c r="E423" s="4"/>
      <c r="F423" s="4"/>
      <c r="G423" s="17" t="str">
        <f>IF(A423="","",IF(SUMIFS($C$4:$C$500,$A$4:$A$500,A423)=IFERROR(INDEX(Matchs!$H$4:$H$31,MATCH(A423,Matchs!$A$4:$A$31,0)),""),"OK","⚠ Vérifier vs score adverse"))</f>
        <v/>
      </c>
    </row>
    <row r="424" spans="1:7" ht="15" customHeight="1" x14ac:dyDescent="0.25">
      <c r="A424" s="4"/>
      <c r="B424" s="4"/>
      <c r="C424" s="4"/>
      <c r="D424" s="4" t="str">
        <f t="shared" si="6"/>
        <v/>
      </c>
      <c r="E424" s="4"/>
      <c r="F424" s="4"/>
      <c r="G424" s="17" t="str">
        <f>IF(A424="","",IF(SUMIFS($C$4:$C$500,$A$4:$A$500,A424)=IFERROR(INDEX(Matchs!$H$4:$H$31,MATCH(A424,Matchs!$A$4:$A$31,0)),""),"OK","⚠ Vérifier vs score adverse"))</f>
        <v/>
      </c>
    </row>
    <row r="425" spans="1:7" ht="15" customHeight="1" x14ac:dyDescent="0.25">
      <c r="A425" s="4"/>
      <c r="B425" s="4"/>
      <c r="C425" s="4"/>
      <c r="D425" s="4" t="str">
        <f t="shared" si="6"/>
        <v/>
      </c>
      <c r="E425" s="4"/>
      <c r="F425" s="4"/>
      <c r="G425" s="17" t="str">
        <f>IF(A425="","",IF(SUMIFS($C$4:$C$500,$A$4:$A$500,A425)=IFERROR(INDEX(Matchs!$H$4:$H$31,MATCH(A425,Matchs!$A$4:$A$31,0)),""),"OK","⚠ Vérifier vs score adverse"))</f>
        <v/>
      </c>
    </row>
    <row r="426" spans="1:7" ht="15" customHeight="1" x14ac:dyDescent="0.25">
      <c r="A426" s="4"/>
      <c r="B426" s="4"/>
      <c r="C426" s="4"/>
      <c r="D426" s="4" t="str">
        <f t="shared" si="6"/>
        <v/>
      </c>
      <c r="E426" s="4"/>
      <c r="F426" s="4"/>
      <c r="G426" s="17" t="str">
        <f>IF(A426="","",IF(SUMIFS($C$4:$C$500,$A$4:$A$500,A426)=IFERROR(INDEX(Matchs!$H$4:$H$31,MATCH(A426,Matchs!$A$4:$A$31,0)),""),"OK","⚠ Vérifier vs score adverse"))</f>
        <v/>
      </c>
    </row>
    <row r="427" spans="1:7" ht="15" customHeight="1" x14ac:dyDescent="0.25">
      <c r="A427" s="4"/>
      <c r="B427" s="4"/>
      <c r="C427" s="4"/>
      <c r="D427" s="4" t="str">
        <f t="shared" si="6"/>
        <v/>
      </c>
      <c r="E427" s="4"/>
      <c r="F427" s="4"/>
      <c r="G427" s="17" t="str">
        <f>IF(A427="","",IF(SUMIFS($C$4:$C$500,$A$4:$A$500,A427)=IFERROR(INDEX(Matchs!$H$4:$H$31,MATCH(A427,Matchs!$A$4:$A$31,0)),""),"OK","⚠ Vérifier vs score adverse"))</f>
        <v/>
      </c>
    </row>
    <row r="428" spans="1:7" ht="15" customHeight="1" x14ac:dyDescent="0.25">
      <c r="A428" s="4"/>
      <c r="B428" s="4"/>
      <c r="C428" s="4"/>
      <c r="D428" s="4" t="str">
        <f t="shared" si="6"/>
        <v/>
      </c>
      <c r="E428" s="4"/>
      <c r="F428" s="4"/>
      <c r="G428" s="17" t="str">
        <f>IF(A428="","",IF(SUMIFS($C$4:$C$500,$A$4:$A$500,A428)=IFERROR(INDEX(Matchs!$H$4:$H$31,MATCH(A428,Matchs!$A$4:$A$31,0)),""),"OK","⚠ Vérifier vs score adverse"))</f>
        <v/>
      </c>
    </row>
    <row r="429" spans="1:7" ht="15" customHeight="1" x14ac:dyDescent="0.25">
      <c r="A429" s="4"/>
      <c r="B429" s="4"/>
      <c r="C429" s="4"/>
      <c r="D429" s="4" t="str">
        <f t="shared" si="6"/>
        <v/>
      </c>
      <c r="E429" s="4"/>
      <c r="F429" s="4"/>
      <c r="G429" s="17" t="str">
        <f>IF(A429="","",IF(SUMIFS($C$4:$C$500,$A$4:$A$500,A429)=IFERROR(INDEX(Matchs!$H$4:$H$31,MATCH(A429,Matchs!$A$4:$A$31,0)),""),"OK","⚠ Vérifier vs score adverse"))</f>
        <v/>
      </c>
    </row>
    <row r="430" spans="1:7" ht="15" customHeight="1" x14ac:dyDescent="0.25">
      <c r="A430" s="4"/>
      <c r="B430" s="4"/>
      <c r="C430" s="4"/>
      <c r="D430" s="4" t="str">
        <f t="shared" si="6"/>
        <v/>
      </c>
      <c r="E430" s="4"/>
      <c r="F430" s="4"/>
      <c r="G430" s="17" t="str">
        <f>IF(A430="","",IF(SUMIFS($C$4:$C$500,$A$4:$A$500,A430)=IFERROR(INDEX(Matchs!$H$4:$H$31,MATCH(A430,Matchs!$A$4:$A$31,0)),""),"OK","⚠ Vérifier vs score adverse"))</f>
        <v/>
      </c>
    </row>
    <row r="431" spans="1:7" ht="15" customHeight="1" x14ac:dyDescent="0.25">
      <c r="A431" s="4"/>
      <c r="B431" s="4"/>
      <c r="C431" s="4"/>
      <c r="D431" s="4" t="str">
        <f t="shared" si="6"/>
        <v/>
      </c>
      <c r="E431" s="4"/>
      <c r="F431" s="4"/>
      <c r="G431" s="17" t="str">
        <f>IF(A431="","",IF(SUMIFS($C$4:$C$500,$A$4:$A$500,A431)=IFERROR(INDEX(Matchs!$H$4:$H$31,MATCH(A431,Matchs!$A$4:$A$31,0)),""),"OK","⚠ Vérifier vs score adverse"))</f>
        <v/>
      </c>
    </row>
    <row r="432" spans="1:7" ht="15" customHeight="1" x14ac:dyDescent="0.25">
      <c r="A432" s="4"/>
      <c r="B432" s="4"/>
      <c r="C432" s="4"/>
      <c r="D432" s="4" t="str">
        <f t="shared" si="6"/>
        <v/>
      </c>
      <c r="E432" s="4"/>
      <c r="F432" s="4"/>
      <c r="G432" s="17" t="str">
        <f>IF(A432="","",IF(SUMIFS($C$4:$C$500,$A$4:$A$500,A432)=IFERROR(INDEX(Matchs!$H$4:$H$31,MATCH(A432,Matchs!$A$4:$A$31,0)),""),"OK","⚠ Vérifier vs score adverse"))</f>
        <v/>
      </c>
    </row>
    <row r="433" spans="1:7" ht="15" customHeight="1" x14ac:dyDescent="0.25">
      <c r="A433" s="4"/>
      <c r="B433" s="4"/>
      <c r="C433" s="4"/>
      <c r="D433" s="4" t="str">
        <f t="shared" si="6"/>
        <v/>
      </c>
      <c r="E433" s="4"/>
      <c r="F433" s="4"/>
      <c r="G433" s="17" t="str">
        <f>IF(A433="","",IF(SUMIFS($C$4:$C$500,$A$4:$A$500,A433)=IFERROR(INDEX(Matchs!$H$4:$H$31,MATCH(A433,Matchs!$A$4:$A$31,0)),""),"OK","⚠ Vérifier vs score adverse"))</f>
        <v/>
      </c>
    </row>
    <row r="434" spans="1:7" ht="15" customHeight="1" x14ac:dyDescent="0.25">
      <c r="A434" s="4"/>
      <c r="B434" s="4"/>
      <c r="C434" s="4"/>
      <c r="D434" s="4" t="str">
        <f t="shared" si="6"/>
        <v/>
      </c>
      <c r="E434" s="4"/>
      <c r="F434" s="4"/>
      <c r="G434" s="17" t="str">
        <f>IF(A434="","",IF(SUMIFS($C$4:$C$500,$A$4:$A$500,A434)=IFERROR(INDEX(Matchs!$H$4:$H$31,MATCH(A434,Matchs!$A$4:$A$31,0)),""),"OK","⚠ Vérifier vs score adverse"))</f>
        <v/>
      </c>
    </row>
    <row r="435" spans="1:7" ht="15" customHeight="1" x14ac:dyDescent="0.25">
      <c r="A435" s="4"/>
      <c r="B435" s="4"/>
      <c r="C435" s="4"/>
      <c r="D435" s="4" t="str">
        <f t="shared" si="6"/>
        <v/>
      </c>
      <c r="E435" s="4"/>
      <c r="F435" s="4"/>
      <c r="G435" s="17" t="str">
        <f>IF(A435="","",IF(SUMIFS($C$4:$C$500,$A$4:$A$500,A435)=IFERROR(INDEX(Matchs!$H$4:$H$31,MATCH(A435,Matchs!$A$4:$A$31,0)),""),"OK","⚠ Vérifier vs score adverse"))</f>
        <v/>
      </c>
    </row>
    <row r="436" spans="1:7" ht="15" customHeight="1" x14ac:dyDescent="0.25">
      <c r="A436" s="4"/>
      <c r="B436" s="4"/>
      <c r="C436" s="4"/>
      <c r="D436" s="4" t="str">
        <f t="shared" si="6"/>
        <v/>
      </c>
      <c r="E436" s="4"/>
      <c r="F436" s="4"/>
      <c r="G436" s="17" t="str">
        <f>IF(A436="","",IF(SUMIFS($C$4:$C$500,$A$4:$A$500,A436)=IFERROR(INDEX(Matchs!$H$4:$H$31,MATCH(A436,Matchs!$A$4:$A$31,0)),""),"OK","⚠ Vérifier vs score adverse"))</f>
        <v/>
      </c>
    </row>
    <row r="437" spans="1:7" ht="15" customHeight="1" x14ac:dyDescent="0.25">
      <c r="A437" s="4"/>
      <c r="B437" s="4"/>
      <c r="C437" s="4"/>
      <c r="D437" s="4" t="str">
        <f t="shared" si="6"/>
        <v/>
      </c>
      <c r="E437" s="4"/>
      <c r="F437" s="4"/>
      <c r="G437" s="17" t="str">
        <f>IF(A437="","",IF(SUMIFS($C$4:$C$500,$A$4:$A$500,A437)=IFERROR(INDEX(Matchs!$H$4:$H$31,MATCH(A437,Matchs!$A$4:$A$31,0)),""),"OK","⚠ Vérifier vs score adverse"))</f>
        <v/>
      </c>
    </row>
    <row r="438" spans="1:7" ht="15" customHeight="1" x14ac:dyDescent="0.25">
      <c r="A438" s="4"/>
      <c r="B438" s="4"/>
      <c r="C438" s="4"/>
      <c r="D438" s="4" t="str">
        <f t="shared" si="6"/>
        <v/>
      </c>
      <c r="E438" s="4"/>
      <c r="F438" s="4"/>
      <c r="G438" s="17" t="str">
        <f>IF(A438="","",IF(SUMIFS($C$4:$C$500,$A$4:$A$500,A438)=IFERROR(INDEX(Matchs!$H$4:$H$31,MATCH(A438,Matchs!$A$4:$A$31,0)),""),"OK","⚠ Vérifier vs score adverse"))</f>
        <v/>
      </c>
    </row>
    <row r="439" spans="1:7" ht="15" customHeight="1" x14ac:dyDescent="0.25">
      <c r="A439" s="4"/>
      <c r="B439" s="4"/>
      <c r="C439" s="4"/>
      <c r="D439" s="4" t="str">
        <f t="shared" si="6"/>
        <v/>
      </c>
      <c r="E439" s="4"/>
      <c r="F439" s="4"/>
      <c r="G439" s="17" t="str">
        <f>IF(A439="","",IF(SUMIFS($C$4:$C$500,$A$4:$A$500,A439)=IFERROR(INDEX(Matchs!$H$4:$H$31,MATCH(A439,Matchs!$A$4:$A$31,0)),""),"OK","⚠ Vérifier vs score adverse"))</f>
        <v/>
      </c>
    </row>
    <row r="440" spans="1:7" ht="15" customHeight="1" x14ac:dyDescent="0.25">
      <c r="A440" s="4"/>
      <c r="B440" s="4"/>
      <c r="C440" s="4"/>
      <c r="D440" s="4" t="str">
        <f t="shared" si="6"/>
        <v/>
      </c>
      <c r="E440" s="4"/>
      <c r="F440" s="4"/>
      <c r="G440" s="17" t="str">
        <f>IF(A440="","",IF(SUMIFS($C$4:$C$500,$A$4:$A$500,A440)=IFERROR(INDEX(Matchs!$H$4:$H$31,MATCH(A440,Matchs!$A$4:$A$31,0)),""),"OK","⚠ Vérifier vs score adverse"))</f>
        <v/>
      </c>
    </row>
    <row r="441" spans="1:7" ht="15" customHeight="1" x14ac:dyDescent="0.25">
      <c r="A441" s="4"/>
      <c r="B441" s="4"/>
      <c r="C441" s="4"/>
      <c r="D441" s="4" t="str">
        <f t="shared" si="6"/>
        <v/>
      </c>
      <c r="E441" s="4"/>
      <c r="F441" s="4"/>
      <c r="G441" s="17" t="str">
        <f>IF(A441="","",IF(SUMIFS($C$4:$C$500,$A$4:$A$500,A441)=IFERROR(INDEX(Matchs!$H$4:$H$31,MATCH(A441,Matchs!$A$4:$A$31,0)),""),"OK","⚠ Vérifier vs score adverse"))</f>
        <v/>
      </c>
    </row>
    <row r="442" spans="1:7" ht="15" customHeight="1" x14ac:dyDescent="0.25">
      <c r="A442" s="4"/>
      <c r="B442" s="4"/>
      <c r="C442" s="4"/>
      <c r="D442" s="4" t="str">
        <f t="shared" si="6"/>
        <v/>
      </c>
      <c r="E442" s="4"/>
      <c r="F442" s="4"/>
      <c r="G442" s="17" t="str">
        <f>IF(A442="","",IF(SUMIFS($C$4:$C$500,$A$4:$A$500,A442)=IFERROR(INDEX(Matchs!$H$4:$H$31,MATCH(A442,Matchs!$A$4:$A$31,0)),""),"OK","⚠ Vérifier vs score adverse"))</f>
        <v/>
      </c>
    </row>
    <row r="443" spans="1:7" ht="15" customHeight="1" x14ac:dyDescent="0.25">
      <c r="A443" s="4"/>
      <c r="B443" s="4"/>
      <c r="C443" s="4"/>
      <c r="D443" s="4" t="str">
        <f t="shared" si="6"/>
        <v/>
      </c>
      <c r="E443" s="4"/>
      <c r="F443" s="4"/>
      <c r="G443" s="17" t="str">
        <f>IF(A443="","",IF(SUMIFS($C$4:$C$500,$A$4:$A$500,A443)=IFERROR(INDEX(Matchs!$H$4:$H$31,MATCH(A443,Matchs!$A$4:$A$31,0)),""),"OK","⚠ Vérifier vs score adverse"))</f>
        <v/>
      </c>
    </row>
    <row r="444" spans="1:7" ht="15" customHeight="1" x14ac:dyDescent="0.25">
      <c r="A444" s="4"/>
      <c r="B444" s="4"/>
      <c r="C444" s="4"/>
      <c r="D444" s="4" t="str">
        <f t="shared" si="6"/>
        <v/>
      </c>
      <c r="E444" s="4"/>
      <c r="F444" s="4"/>
      <c r="G444" s="17" t="str">
        <f>IF(A444="","",IF(SUMIFS($C$4:$C$500,$A$4:$A$500,A444)=IFERROR(INDEX(Matchs!$H$4:$H$31,MATCH(A444,Matchs!$A$4:$A$31,0)),""),"OK","⚠ Vérifier vs score adverse"))</f>
        <v/>
      </c>
    </row>
    <row r="445" spans="1:7" ht="15" customHeight="1" x14ac:dyDescent="0.25">
      <c r="A445" s="4"/>
      <c r="B445" s="4"/>
      <c r="C445" s="4"/>
      <c r="D445" s="4" t="str">
        <f t="shared" si="6"/>
        <v/>
      </c>
      <c r="E445" s="4"/>
      <c r="F445" s="4"/>
      <c r="G445" s="17" t="str">
        <f>IF(A445="","",IF(SUMIFS($C$4:$C$500,$A$4:$A$500,A445)=IFERROR(INDEX(Matchs!$H$4:$H$31,MATCH(A445,Matchs!$A$4:$A$31,0)),""),"OK","⚠ Vérifier vs score adverse"))</f>
        <v/>
      </c>
    </row>
    <row r="446" spans="1:7" ht="15" customHeight="1" x14ac:dyDescent="0.25">
      <c r="A446" s="4"/>
      <c r="B446" s="4"/>
      <c r="C446" s="4"/>
      <c r="D446" s="4" t="str">
        <f t="shared" si="6"/>
        <v/>
      </c>
      <c r="E446" s="4"/>
      <c r="F446" s="4"/>
      <c r="G446" s="17" t="str">
        <f>IF(A446="","",IF(SUMIFS($C$4:$C$500,$A$4:$A$500,A446)=IFERROR(INDEX(Matchs!$H$4:$H$31,MATCH(A446,Matchs!$A$4:$A$31,0)),""),"OK","⚠ Vérifier vs score adverse"))</f>
        <v/>
      </c>
    </row>
    <row r="447" spans="1:7" ht="15" customHeight="1" x14ac:dyDescent="0.25">
      <c r="A447" s="4"/>
      <c r="B447" s="4"/>
      <c r="C447" s="4"/>
      <c r="D447" s="4" t="str">
        <f t="shared" si="6"/>
        <v/>
      </c>
      <c r="E447" s="4"/>
      <c r="F447" s="4"/>
      <c r="G447" s="17" t="str">
        <f>IF(A447="","",IF(SUMIFS($C$4:$C$500,$A$4:$A$500,A447)=IFERROR(INDEX(Matchs!$H$4:$H$31,MATCH(A447,Matchs!$A$4:$A$31,0)),""),"OK","⚠ Vérifier vs score adverse"))</f>
        <v/>
      </c>
    </row>
    <row r="448" spans="1:7" ht="15" customHeight="1" x14ac:dyDescent="0.25">
      <c r="A448" s="4"/>
      <c r="B448" s="4"/>
      <c r="C448" s="4"/>
      <c r="D448" s="4" t="str">
        <f t="shared" si="6"/>
        <v/>
      </c>
      <c r="E448" s="4"/>
      <c r="F448" s="4"/>
      <c r="G448" s="17" t="str">
        <f>IF(A448="","",IF(SUMIFS($C$4:$C$500,$A$4:$A$500,A448)=IFERROR(INDEX(Matchs!$H$4:$H$31,MATCH(A448,Matchs!$A$4:$A$31,0)),""),"OK","⚠ Vérifier vs score adverse"))</f>
        <v/>
      </c>
    </row>
    <row r="449" spans="1:7" ht="15" customHeight="1" x14ac:dyDescent="0.25">
      <c r="A449" s="4"/>
      <c r="B449" s="4"/>
      <c r="C449" s="4"/>
      <c r="D449" s="4" t="str">
        <f t="shared" si="6"/>
        <v/>
      </c>
      <c r="E449" s="4"/>
      <c r="F449" s="4"/>
      <c r="G449" s="17" t="str">
        <f>IF(A449="","",IF(SUMIFS($C$4:$C$500,$A$4:$A$500,A449)=IFERROR(INDEX(Matchs!$H$4:$H$31,MATCH(A449,Matchs!$A$4:$A$31,0)),""),"OK","⚠ Vérifier vs score adverse"))</f>
        <v/>
      </c>
    </row>
    <row r="450" spans="1:7" ht="15" customHeight="1" x14ac:dyDescent="0.25">
      <c r="A450" s="4"/>
      <c r="B450" s="4"/>
      <c r="C450" s="4"/>
      <c r="D450" s="4" t="str">
        <f t="shared" si="6"/>
        <v/>
      </c>
      <c r="E450" s="4"/>
      <c r="F450" s="4"/>
      <c r="G450" s="17" t="str">
        <f>IF(A450="","",IF(SUMIFS($C$4:$C$500,$A$4:$A$500,A450)=IFERROR(INDEX(Matchs!$H$4:$H$31,MATCH(A450,Matchs!$A$4:$A$31,0)),""),"OK","⚠ Vérifier vs score adverse"))</f>
        <v/>
      </c>
    </row>
    <row r="451" spans="1:7" ht="15" customHeight="1" x14ac:dyDescent="0.25">
      <c r="A451" s="4"/>
      <c r="B451" s="4"/>
      <c r="C451" s="4"/>
      <c r="D451" s="4" t="str">
        <f t="shared" si="6"/>
        <v/>
      </c>
      <c r="E451" s="4"/>
      <c r="F451" s="4"/>
      <c r="G451" s="17" t="str">
        <f>IF(A451="","",IF(SUMIFS($C$4:$C$500,$A$4:$A$500,A451)=IFERROR(INDEX(Matchs!$H$4:$H$31,MATCH(A451,Matchs!$A$4:$A$31,0)),""),"OK","⚠ Vérifier vs score adverse"))</f>
        <v/>
      </c>
    </row>
    <row r="452" spans="1:7" ht="15" customHeight="1" x14ac:dyDescent="0.25">
      <c r="A452" s="4"/>
      <c r="B452" s="4"/>
      <c r="C452" s="4"/>
      <c r="D452" s="4" t="str">
        <f t="shared" ref="D452:D500" si="7">IF(C452="","",IF(C452=0,"Oui","Non"))</f>
        <v/>
      </c>
      <c r="E452" s="4"/>
      <c r="F452" s="4"/>
      <c r="G452" s="17" t="str">
        <f>IF(A452="","",IF(SUMIFS($C$4:$C$500,$A$4:$A$500,A452)=IFERROR(INDEX(Matchs!$H$4:$H$31,MATCH(A452,Matchs!$A$4:$A$31,0)),""),"OK","⚠ Vérifier vs score adverse"))</f>
        <v/>
      </c>
    </row>
    <row r="453" spans="1:7" ht="15" customHeight="1" x14ac:dyDescent="0.25">
      <c r="A453" s="4"/>
      <c r="B453" s="4"/>
      <c r="C453" s="4"/>
      <c r="D453" s="4" t="str">
        <f t="shared" si="7"/>
        <v/>
      </c>
      <c r="E453" s="4"/>
      <c r="F453" s="4"/>
      <c r="G453" s="17" t="str">
        <f>IF(A453="","",IF(SUMIFS($C$4:$C$500,$A$4:$A$500,A453)=IFERROR(INDEX(Matchs!$H$4:$H$31,MATCH(A453,Matchs!$A$4:$A$31,0)),""),"OK","⚠ Vérifier vs score adverse"))</f>
        <v/>
      </c>
    </row>
    <row r="454" spans="1:7" ht="15" customHeight="1" x14ac:dyDescent="0.25">
      <c r="A454" s="4"/>
      <c r="B454" s="4"/>
      <c r="C454" s="4"/>
      <c r="D454" s="4" t="str">
        <f t="shared" si="7"/>
        <v/>
      </c>
      <c r="E454" s="4"/>
      <c r="F454" s="4"/>
      <c r="G454" s="17" t="str">
        <f>IF(A454="","",IF(SUMIFS($C$4:$C$500,$A$4:$A$500,A454)=IFERROR(INDEX(Matchs!$H$4:$H$31,MATCH(A454,Matchs!$A$4:$A$31,0)),""),"OK","⚠ Vérifier vs score adverse"))</f>
        <v/>
      </c>
    </row>
    <row r="455" spans="1:7" ht="15" customHeight="1" x14ac:dyDescent="0.25">
      <c r="A455" s="4"/>
      <c r="B455" s="4"/>
      <c r="C455" s="4"/>
      <c r="D455" s="4" t="str">
        <f t="shared" si="7"/>
        <v/>
      </c>
      <c r="E455" s="4"/>
      <c r="F455" s="4"/>
      <c r="G455" s="17" t="str">
        <f>IF(A455="","",IF(SUMIFS($C$4:$C$500,$A$4:$A$500,A455)=IFERROR(INDEX(Matchs!$H$4:$H$31,MATCH(A455,Matchs!$A$4:$A$31,0)),""),"OK","⚠ Vérifier vs score adverse"))</f>
        <v/>
      </c>
    </row>
    <row r="456" spans="1:7" ht="15" customHeight="1" x14ac:dyDescent="0.25">
      <c r="A456" s="4"/>
      <c r="B456" s="4"/>
      <c r="C456" s="4"/>
      <c r="D456" s="4" t="str">
        <f t="shared" si="7"/>
        <v/>
      </c>
      <c r="E456" s="4"/>
      <c r="F456" s="4"/>
      <c r="G456" s="17" t="str">
        <f>IF(A456="","",IF(SUMIFS($C$4:$C$500,$A$4:$A$500,A456)=IFERROR(INDEX(Matchs!$H$4:$H$31,MATCH(A456,Matchs!$A$4:$A$31,0)),""),"OK","⚠ Vérifier vs score adverse"))</f>
        <v/>
      </c>
    </row>
    <row r="457" spans="1:7" ht="15" customHeight="1" x14ac:dyDescent="0.25">
      <c r="A457" s="4"/>
      <c r="B457" s="4"/>
      <c r="C457" s="4"/>
      <c r="D457" s="4" t="str">
        <f t="shared" si="7"/>
        <v/>
      </c>
      <c r="E457" s="4"/>
      <c r="F457" s="4"/>
      <c r="G457" s="17" t="str">
        <f>IF(A457="","",IF(SUMIFS($C$4:$C$500,$A$4:$A$500,A457)=IFERROR(INDEX(Matchs!$H$4:$H$31,MATCH(A457,Matchs!$A$4:$A$31,0)),""),"OK","⚠ Vérifier vs score adverse"))</f>
        <v/>
      </c>
    </row>
    <row r="458" spans="1:7" ht="15" customHeight="1" x14ac:dyDescent="0.25">
      <c r="A458" s="4"/>
      <c r="B458" s="4"/>
      <c r="C458" s="4"/>
      <c r="D458" s="4" t="str">
        <f t="shared" si="7"/>
        <v/>
      </c>
      <c r="E458" s="4"/>
      <c r="F458" s="4"/>
      <c r="G458" s="17" t="str">
        <f>IF(A458="","",IF(SUMIFS($C$4:$C$500,$A$4:$A$500,A458)=IFERROR(INDEX(Matchs!$H$4:$H$31,MATCH(A458,Matchs!$A$4:$A$31,0)),""),"OK","⚠ Vérifier vs score adverse"))</f>
        <v/>
      </c>
    </row>
    <row r="459" spans="1:7" ht="15" customHeight="1" x14ac:dyDescent="0.25">
      <c r="A459" s="4"/>
      <c r="B459" s="4"/>
      <c r="C459" s="4"/>
      <c r="D459" s="4" t="str">
        <f t="shared" si="7"/>
        <v/>
      </c>
      <c r="E459" s="4"/>
      <c r="F459" s="4"/>
      <c r="G459" s="17" t="str">
        <f>IF(A459="","",IF(SUMIFS($C$4:$C$500,$A$4:$A$500,A459)=IFERROR(INDEX(Matchs!$H$4:$H$31,MATCH(A459,Matchs!$A$4:$A$31,0)),""),"OK","⚠ Vérifier vs score adverse"))</f>
        <v/>
      </c>
    </row>
    <row r="460" spans="1:7" ht="15" customHeight="1" x14ac:dyDescent="0.25">
      <c r="A460" s="4"/>
      <c r="B460" s="4"/>
      <c r="C460" s="4"/>
      <c r="D460" s="4" t="str">
        <f t="shared" si="7"/>
        <v/>
      </c>
      <c r="E460" s="4"/>
      <c r="F460" s="4"/>
      <c r="G460" s="17" t="str">
        <f>IF(A460="","",IF(SUMIFS($C$4:$C$500,$A$4:$A$500,A460)=IFERROR(INDEX(Matchs!$H$4:$H$31,MATCH(A460,Matchs!$A$4:$A$31,0)),""),"OK","⚠ Vérifier vs score adverse"))</f>
        <v/>
      </c>
    </row>
    <row r="461" spans="1:7" ht="15" customHeight="1" x14ac:dyDescent="0.25">
      <c r="A461" s="4"/>
      <c r="B461" s="4"/>
      <c r="C461" s="4"/>
      <c r="D461" s="4" t="str">
        <f t="shared" si="7"/>
        <v/>
      </c>
      <c r="E461" s="4"/>
      <c r="F461" s="4"/>
      <c r="G461" s="17" t="str">
        <f>IF(A461="","",IF(SUMIFS($C$4:$C$500,$A$4:$A$500,A461)=IFERROR(INDEX(Matchs!$H$4:$H$31,MATCH(A461,Matchs!$A$4:$A$31,0)),""),"OK","⚠ Vérifier vs score adverse"))</f>
        <v/>
      </c>
    </row>
    <row r="462" spans="1:7" ht="15" customHeight="1" x14ac:dyDescent="0.25">
      <c r="A462" s="4"/>
      <c r="B462" s="4"/>
      <c r="C462" s="4"/>
      <c r="D462" s="4" t="str">
        <f t="shared" si="7"/>
        <v/>
      </c>
      <c r="E462" s="4"/>
      <c r="F462" s="4"/>
      <c r="G462" s="17" t="str">
        <f>IF(A462="","",IF(SUMIFS($C$4:$C$500,$A$4:$A$500,A462)=IFERROR(INDEX(Matchs!$H$4:$H$31,MATCH(A462,Matchs!$A$4:$A$31,0)),""),"OK","⚠ Vérifier vs score adverse"))</f>
        <v/>
      </c>
    </row>
    <row r="463" spans="1:7" ht="15" customHeight="1" x14ac:dyDescent="0.25">
      <c r="A463" s="4"/>
      <c r="B463" s="4"/>
      <c r="C463" s="4"/>
      <c r="D463" s="4" t="str">
        <f t="shared" si="7"/>
        <v/>
      </c>
      <c r="E463" s="4"/>
      <c r="F463" s="4"/>
      <c r="G463" s="17" t="str">
        <f>IF(A463="","",IF(SUMIFS($C$4:$C$500,$A$4:$A$500,A463)=IFERROR(INDEX(Matchs!$H$4:$H$31,MATCH(A463,Matchs!$A$4:$A$31,0)),""),"OK","⚠ Vérifier vs score adverse"))</f>
        <v/>
      </c>
    </row>
    <row r="464" spans="1:7" ht="15" customHeight="1" x14ac:dyDescent="0.25">
      <c r="A464" s="4"/>
      <c r="B464" s="4"/>
      <c r="C464" s="4"/>
      <c r="D464" s="4" t="str">
        <f t="shared" si="7"/>
        <v/>
      </c>
      <c r="E464" s="4"/>
      <c r="F464" s="4"/>
      <c r="G464" s="17" t="str">
        <f>IF(A464="","",IF(SUMIFS($C$4:$C$500,$A$4:$A$500,A464)=IFERROR(INDEX(Matchs!$H$4:$H$31,MATCH(A464,Matchs!$A$4:$A$31,0)),""),"OK","⚠ Vérifier vs score adverse"))</f>
        <v/>
      </c>
    </row>
    <row r="465" spans="1:7" ht="15" customHeight="1" x14ac:dyDescent="0.25">
      <c r="A465" s="4"/>
      <c r="B465" s="4"/>
      <c r="C465" s="4"/>
      <c r="D465" s="4" t="str">
        <f t="shared" si="7"/>
        <v/>
      </c>
      <c r="E465" s="4"/>
      <c r="F465" s="4"/>
      <c r="G465" s="17" t="str">
        <f>IF(A465="","",IF(SUMIFS($C$4:$C$500,$A$4:$A$500,A465)=IFERROR(INDEX(Matchs!$H$4:$H$31,MATCH(A465,Matchs!$A$4:$A$31,0)),""),"OK","⚠ Vérifier vs score adverse"))</f>
        <v/>
      </c>
    </row>
    <row r="466" spans="1:7" ht="15" customHeight="1" x14ac:dyDescent="0.25">
      <c r="A466" s="4"/>
      <c r="B466" s="4"/>
      <c r="C466" s="4"/>
      <c r="D466" s="4" t="str">
        <f t="shared" si="7"/>
        <v/>
      </c>
      <c r="E466" s="4"/>
      <c r="F466" s="4"/>
      <c r="G466" s="17" t="str">
        <f>IF(A466="","",IF(SUMIFS($C$4:$C$500,$A$4:$A$500,A466)=IFERROR(INDEX(Matchs!$H$4:$H$31,MATCH(A466,Matchs!$A$4:$A$31,0)),""),"OK","⚠ Vérifier vs score adverse"))</f>
        <v/>
      </c>
    </row>
    <row r="467" spans="1:7" ht="15" customHeight="1" x14ac:dyDescent="0.25">
      <c r="A467" s="4"/>
      <c r="B467" s="4"/>
      <c r="C467" s="4"/>
      <c r="D467" s="4" t="str">
        <f t="shared" si="7"/>
        <v/>
      </c>
      <c r="E467" s="4"/>
      <c r="F467" s="4"/>
      <c r="G467" s="17" t="str">
        <f>IF(A467="","",IF(SUMIFS($C$4:$C$500,$A$4:$A$500,A467)=IFERROR(INDEX(Matchs!$H$4:$H$31,MATCH(A467,Matchs!$A$4:$A$31,0)),""),"OK","⚠ Vérifier vs score adverse"))</f>
        <v/>
      </c>
    </row>
    <row r="468" spans="1:7" ht="15" customHeight="1" x14ac:dyDescent="0.25">
      <c r="A468" s="4"/>
      <c r="B468" s="4"/>
      <c r="C468" s="4"/>
      <c r="D468" s="4" t="str">
        <f t="shared" si="7"/>
        <v/>
      </c>
      <c r="E468" s="4"/>
      <c r="F468" s="4"/>
      <c r="G468" s="17" t="str">
        <f>IF(A468="","",IF(SUMIFS($C$4:$C$500,$A$4:$A$500,A468)=IFERROR(INDEX(Matchs!$H$4:$H$31,MATCH(A468,Matchs!$A$4:$A$31,0)),""),"OK","⚠ Vérifier vs score adverse"))</f>
        <v/>
      </c>
    </row>
    <row r="469" spans="1:7" ht="15" customHeight="1" x14ac:dyDescent="0.25">
      <c r="A469" s="4"/>
      <c r="B469" s="4"/>
      <c r="C469" s="4"/>
      <c r="D469" s="4" t="str">
        <f t="shared" si="7"/>
        <v/>
      </c>
      <c r="E469" s="4"/>
      <c r="F469" s="4"/>
      <c r="G469" s="17" t="str">
        <f>IF(A469="","",IF(SUMIFS($C$4:$C$500,$A$4:$A$500,A469)=IFERROR(INDEX(Matchs!$H$4:$H$31,MATCH(A469,Matchs!$A$4:$A$31,0)),""),"OK","⚠ Vérifier vs score adverse"))</f>
        <v/>
      </c>
    </row>
    <row r="470" spans="1:7" ht="15" customHeight="1" x14ac:dyDescent="0.25">
      <c r="A470" s="4"/>
      <c r="B470" s="4"/>
      <c r="C470" s="4"/>
      <c r="D470" s="4" t="str">
        <f t="shared" si="7"/>
        <v/>
      </c>
      <c r="E470" s="4"/>
      <c r="F470" s="4"/>
      <c r="G470" s="17" t="str">
        <f>IF(A470="","",IF(SUMIFS($C$4:$C$500,$A$4:$A$500,A470)=IFERROR(INDEX(Matchs!$H$4:$H$31,MATCH(A470,Matchs!$A$4:$A$31,0)),""),"OK","⚠ Vérifier vs score adverse"))</f>
        <v/>
      </c>
    </row>
    <row r="471" spans="1:7" ht="15" customHeight="1" x14ac:dyDescent="0.25">
      <c r="A471" s="4"/>
      <c r="B471" s="4"/>
      <c r="C471" s="4"/>
      <c r="D471" s="4" t="str">
        <f t="shared" si="7"/>
        <v/>
      </c>
      <c r="E471" s="4"/>
      <c r="F471" s="4"/>
      <c r="G471" s="17" t="str">
        <f>IF(A471="","",IF(SUMIFS($C$4:$C$500,$A$4:$A$500,A471)=IFERROR(INDEX(Matchs!$H$4:$H$31,MATCH(A471,Matchs!$A$4:$A$31,0)),""),"OK","⚠ Vérifier vs score adverse"))</f>
        <v/>
      </c>
    </row>
    <row r="472" spans="1:7" ht="15" customHeight="1" x14ac:dyDescent="0.25">
      <c r="A472" s="4"/>
      <c r="B472" s="4"/>
      <c r="C472" s="4"/>
      <c r="D472" s="4" t="str">
        <f t="shared" si="7"/>
        <v/>
      </c>
      <c r="E472" s="4"/>
      <c r="F472" s="4"/>
      <c r="G472" s="17" t="str">
        <f>IF(A472="","",IF(SUMIFS($C$4:$C$500,$A$4:$A$500,A472)=IFERROR(INDEX(Matchs!$H$4:$H$31,MATCH(A472,Matchs!$A$4:$A$31,0)),""),"OK","⚠ Vérifier vs score adverse"))</f>
        <v/>
      </c>
    </row>
    <row r="473" spans="1:7" ht="15" customHeight="1" x14ac:dyDescent="0.25">
      <c r="A473" s="4"/>
      <c r="B473" s="4"/>
      <c r="C473" s="4"/>
      <c r="D473" s="4" t="str">
        <f t="shared" si="7"/>
        <v/>
      </c>
      <c r="E473" s="4"/>
      <c r="F473" s="4"/>
      <c r="G473" s="17" t="str">
        <f>IF(A473="","",IF(SUMIFS($C$4:$C$500,$A$4:$A$500,A473)=IFERROR(INDEX(Matchs!$H$4:$H$31,MATCH(A473,Matchs!$A$4:$A$31,0)),""),"OK","⚠ Vérifier vs score adverse"))</f>
        <v/>
      </c>
    </row>
    <row r="474" spans="1:7" ht="15" customHeight="1" x14ac:dyDescent="0.25">
      <c r="A474" s="4"/>
      <c r="B474" s="4"/>
      <c r="C474" s="4"/>
      <c r="D474" s="4" t="str">
        <f t="shared" si="7"/>
        <v/>
      </c>
      <c r="E474" s="4"/>
      <c r="F474" s="4"/>
      <c r="G474" s="17" t="str">
        <f>IF(A474="","",IF(SUMIFS($C$4:$C$500,$A$4:$A$500,A474)=IFERROR(INDEX(Matchs!$H$4:$H$31,MATCH(A474,Matchs!$A$4:$A$31,0)),""),"OK","⚠ Vérifier vs score adverse"))</f>
        <v/>
      </c>
    </row>
    <row r="475" spans="1:7" ht="15" customHeight="1" x14ac:dyDescent="0.25">
      <c r="A475" s="4"/>
      <c r="B475" s="4"/>
      <c r="C475" s="4"/>
      <c r="D475" s="4" t="str">
        <f t="shared" si="7"/>
        <v/>
      </c>
      <c r="E475" s="4"/>
      <c r="F475" s="4"/>
      <c r="G475" s="17" t="str">
        <f>IF(A475="","",IF(SUMIFS($C$4:$C$500,$A$4:$A$500,A475)=IFERROR(INDEX(Matchs!$H$4:$H$31,MATCH(A475,Matchs!$A$4:$A$31,0)),""),"OK","⚠ Vérifier vs score adverse"))</f>
        <v/>
      </c>
    </row>
    <row r="476" spans="1:7" ht="15" customHeight="1" x14ac:dyDescent="0.25">
      <c r="A476" s="4"/>
      <c r="B476" s="4"/>
      <c r="C476" s="4"/>
      <c r="D476" s="4" t="str">
        <f t="shared" si="7"/>
        <v/>
      </c>
      <c r="E476" s="4"/>
      <c r="F476" s="4"/>
      <c r="G476" s="17" t="str">
        <f>IF(A476="","",IF(SUMIFS($C$4:$C$500,$A$4:$A$500,A476)=IFERROR(INDEX(Matchs!$H$4:$H$31,MATCH(A476,Matchs!$A$4:$A$31,0)),""),"OK","⚠ Vérifier vs score adverse"))</f>
        <v/>
      </c>
    </row>
    <row r="477" spans="1:7" ht="15" customHeight="1" x14ac:dyDescent="0.25">
      <c r="A477" s="4"/>
      <c r="B477" s="4"/>
      <c r="C477" s="4"/>
      <c r="D477" s="4" t="str">
        <f t="shared" si="7"/>
        <v/>
      </c>
      <c r="E477" s="4"/>
      <c r="F477" s="4"/>
      <c r="G477" s="17" t="str">
        <f>IF(A477="","",IF(SUMIFS($C$4:$C$500,$A$4:$A$500,A477)=IFERROR(INDEX(Matchs!$H$4:$H$31,MATCH(A477,Matchs!$A$4:$A$31,0)),""),"OK","⚠ Vérifier vs score adverse"))</f>
        <v/>
      </c>
    </row>
    <row r="478" spans="1:7" ht="15" customHeight="1" x14ac:dyDescent="0.25">
      <c r="A478" s="4"/>
      <c r="B478" s="4"/>
      <c r="C478" s="4"/>
      <c r="D478" s="4" t="str">
        <f t="shared" si="7"/>
        <v/>
      </c>
      <c r="E478" s="4"/>
      <c r="F478" s="4"/>
      <c r="G478" s="17" t="str">
        <f>IF(A478="","",IF(SUMIFS($C$4:$C$500,$A$4:$A$500,A478)=IFERROR(INDEX(Matchs!$H$4:$H$31,MATCH(A478,Matchs!$A$4:$A$31,0)),""),"OK","⚠ Vérifier vs score adverse"))</f>
        <v/>
      </c>
    </row>
    <row r="479" spans="1:7" ht="15" customHeight="1" x14ac:dyDescent="0.25">
      <c r="A479" s="4"/>
      <c r="B479" s="4"/>
      <c r="C479" s="4"/>
      <c r="D479" s="4" t="str">
        <f t="shared" si="7"/>
        <v/>
      </c>
      <c r="E479" s="4"/>
      <c r="F479" s="4"/>
      <c r="G479" s="17" t="str">
        <f>IF(A479="","",IF(SUMIFS($C$4:$C$500,$A$4:$A$500,A479)=IFERROR(INDEX(Matchs!$H$4:$H$31,MATCH(A479,Matchs!$A$4:$A$31,0)),""),"OK","⚠ Vérifier vs score adverse"))</f>
        <v/>
      </c>
    </row>
    <row r="480" spans="1:7" ht="15" customHeight="1" x14ac:dyDescent="0.25">
      <c r="A480" s="4"/>
      <c r="B480" s="4"/>
      <c r="C480" s="4"/>
      <c r="D480" s="4" t="str">
        <f t="shared" si="7"/>
        <v/>
      </c>
      <c r="E480" s="4"/>
      <c r="F480" s="4"/>
      <c r="G480" s="17" t="str">
        <f>IF(A480="","",IF(SUMIFS($C$4:$C$500,$A$4:$A$500,A480)=IFERROR(INDEX(Matchs!$H$4:$H$31,MATCH(A480,Matchs!$A$4:$A$31,0)),""),"OK","⚠ Vérifier vs score adverse"))</f>
        <v/>
      </c>
    </row>
    <row r="481" spans="1:7" ht="15" customHeight="1" x14ac:dyDescent="0.25">
      <c r="A481" s="4"/>
      <c r="B481" s="4"/>
      <c r="C481" s="4"/>
      <c r="D481" s="4" t="str">
        <f t="shared" si="7"/>
        <v/>
      </c>
      <c r="E481" s="4"/>
      <c r="F481" s="4"/>
      <c r="G481" s="17" t="str">
        <f>IF(A481="","",IF(SUMIFS($C$4:$C$500,$A$4:$A$500,A481)=IFERROR(INDEX(Matchs!$H$4:$H$31,MATCH(A481,Matchs!$A$4:$A$31,0)),""),"OK","⚠ Vérifier vs score adverse"))</f>
        <v/>
      </c>
    </row>
    <row r="482" spans="1:7" ht="15" customHeight="1" x14ac:dyDescent="0.25">
      <c r="A482" s="4"/>
      <c r="B482" s="4"/>
      <c r="C482" s="4"/>
      <c r="D482" s="4" t="str">
        <f t="shared" si="7"/>
        <v/>
      </c>
      <c r="E482" s="4"/>
      <c r="F482" s="4"/>
      <c r="G482" s="17" t="str">
        <f>IF(A482="","",IF(SUMIFS($C$4:$C$500,$A$4:$A$500,A482)=IFERROR(INDEX(Matchs!$H$4:$H$31,MATCH(A482,Matchs!$A$4:$A$31,0)),""),"OK","⚠ Vérifier vs score adverse"))</f>
        <v/>
      </c>
    </row>
    <row r="483" spans="1:7" ht="15" customHeight="1" x14ac:dyDescent="0.25">
      <c r="A483" s="4"/>
      <c r="B483" s="4"/>
      <c r="C483" s="4"/>
      <c r="D483" s="4" t="str">
        <f t="shared" si="7"/>
        <v/>
      </c>
      <c r="E483" s="4"/>
      <c r="F483" s="4"/>
      <c r="G483" s="17" t="str">
        <f>IF(A483="","",IF(SUMIFS($C$4:$C$500,$A$4:$A$500,A483)=IFERROR(INDEX(Matchs!$H$4:$H$31,MATCH(A483,Matchs!$A$4:$A$31,0)),""),"OK","⚠ Vérifier vs score adverse"))</f>
        <v/>
      </c>
    </row>
    <row r="484" spans="1:7" ht="15" customHeight="1" x14ac:dyDescent="0.25">
      <c r="A484" s="4"/>
      <c r="B484" s="4"/>
      <c r="C484" s="4"/>
      <c r="D484" s="4" t="str">
        <f t="shared" si="7"/>
        <v/>
      </c>
      <c r="E484" s="4"/>
      <c r="F484" s="4"/>
      <c r="G484" s="17" t="str">
        <f>IF(A484="","",IF(SUMIFS($C$4:$C$500,$A$4:$A$500,A484)=IFERROR(INDEX(Matchs!$H$4:$H$31,MATCH(A484,Matchs!$A$4:$A$31,0)),""),"OK","⚠ Vérifier vs score adverse"))</f>
        <v/>
      </c>
    </row>
    <row r="485" spans="1:7" ht="15" customHeight="1" x14ac:dyDescent="0.25">
      <c r="A485" s="4"/>
      <c r="B485" s="4"/>
      <c r="C485" s="4"/>
      <c r="D485" s="4" t="str">
        <f t="shared" si="7"/>
        <v/>
      </c>
      <c r="E485" s="4"/>
      <c r="F485" s="4"/>
      <c r="G485" s="17" t="str">
        <f>IF(A485="","",IF(SUMIFS($C$4:$C$500,$A$4:$A$500,A485)=IFERROR(INDEX(Matchs!$H$4:$H$31,MATCH(A485,Matchs!$A$4:$A$31,0)),""),"OK","⚠ Vérifier vs score adverse"))</f>
        <v/>
      </c>
    </row>
    <row r="486" spans="1:7" ht="15" customHeight="1" x14ac:dyDescent="0.25">
      <c r="A486" s="4"/>
      <c r="B486" s="4"/>
      <c r="C486" s="4"/>
      <c r="D486" s="4" t="str">
        <f t="shared" si="7"/>
        <v/>
      </c>
      <c r="E486" s="4"/>
      <c r="F486" s="4"/>
      <c r="G486" s="17" t="str">
        <f>IF(A486="","",IF(SUMIFS($C$4:$C$500,$A$4:$A$500,A486)=IFERROR(INDEX(Matchs!$H$4:$H$31,MATCH(A486,Matchs!$A$4:$A$31,0)),""),"OK","⚠ Vérifier vs score adverse"))</f>
        <v/>
      </c>
    </row>
    <row r="487" spans="1:7" ht="15" customHeight="1" x14ac:dyDescent="0.25">
      <c r="A487" s="4"/>
      <c r="B487" s="4"/>
      <c r="C487" s="4"/>
      <c r="D487" s="4" t="str">
        <f t="shared" si="7"/>
        <v/>
      </c>
      <c r="E487" s="4"/>
      <c r="F487" s="4"/>
      <c r="G487" s="17" t="str">
        <f>IF(A487="","",IF(SUMIFS($C$4:$C$500,$A$4:$A$500,A487)=IFERROR(INDEX(Matchs!$H$4:$H$31,MATCH(A487,Matchs!$A$4:$A$31,0)),""),"OK","⚠ Vérifier vs score adverse"))</f>
        <v/>
      </c>
    </row>
    <row r="488" spans="1:7" ht="15" customHeight="1" x14ac:dyDescent="0.25">
      <c r="A488" s="4"/>
      <c r="B488" s="4"/>
      <c r="C488" s="4"/>
      <c r="D488" s="4" t="str">
        <f t="shared" si="7"/>
        <v/>
      </c>
      <c r="E488" s="4"/>
      <c r="F488" s="4"/>
      <c r="G488" s="17" t="str">
        <f>IF(A488="","",IF(SUMIFS($C$4:$C$500,$A$4:$A$500,A488)=IFERROR(INDEX(Matchs!$H$4:$H$31,MATCH(A488,Matchs!$A$4:$A$31,0)),""),"OK","⚠ Vérifier vs score adverse"))</f>
        <v/>
      </c>
    </row>
    <row r="489" spans="1:7" ht="15" customHeight="1" x14ac:dyDescent="0.25">
      <c r="A489" s="4"/>
      <c r="B489" s="4"/>
      <c r="C489" s="4"/>
      <c r="D489" s="4" t="str">
        <f t="shared" si="7"/>
        <v/>
      </c>
      <c r="E489" s="4"/>
      <c r="F489" s="4"/>
      <c r="G489" s="17" t="str">
        <f>IF(A489="","",IF(SUMIFS($C$4:$C$500,$A$4:$A$500,A489)=IFERROR(INDEX(Matchs!$H$4:$H$31,MATCH(A489,Matchs!$A$4:$A$31,0)),""),"OK","⚠ Vérifier vs score adverse"))</f>
        <v/>
      </c>
    </row>
    <row r="490" spans="1:7" ht="15" customHeight="1" x14ac:dyDescent="0.25">
      <c r="A490" s="4"/>
      <c r="B490" s="4"/>
      <c r="C490" s="4"/>
      <c r="D490" s="4" t="str">
        <f t="shared" si="7"/>
        <v/>
      </c>
      <c r="E490" s="4"/>
      <c r="F490" s="4"/>
      <c r="G490" s="17" t="str">
        <f>IF(A490="","",IF(SUMIFS($C$4:$C$500,$A$4:$A$500,A490)=IFERROR(INDEX(Matchs!$H$4:$H$31,MATCH(A490,Matchs!$A$4:$A$31,0)),""),"OK","⚠ Vérifier vs score adverse"))</f>
        <v/>
      </c>
    </row>
    <row r="491" spans="1:7" ht="15" customHeight="1" x14ac:dyDescent="0.25">
      <c r="A491" s="4"/>
      <c r="B491" s="4"/>
      <c r="C491" s="4"/>
      <c r="D491" s="4" t="str">
        <f t="shared" si="7"/>
        <v/>
      </c>
      <c r="E491" s="4"/>
      <c r="F491" s="4"/>
      <c r="G491" s="17" t="str">
        <f>IF(A491="","",IF(SUMIFS($C$4:$C$500,$A$4:$A$500,A491)=IFERROR(INDEX(Matchs!$H$4:$H$31,MATCH(A491,Matchs!$A$4:$A$31,0)),""),"OK","⚠ Vérifier vs score adverse"))</f>
        <v/>
      </c>
    </row>
    <row r="492" spans="1:7" ht="15" customHeight="1" x14ac:dyDescent="0.25">
      <c r="A492" s="4"/>
      <c r="B492" s="4"/>
      <c r="C492" s="4"/>
      <c r="D492" s="4" t="str">
        <f t="shared" si="7"/>
        <v/>
      </c>
      <c r="E492" s="4"/>
      <c r="F492" s="4"/>
      <c r="G492" s="17" t="str">
        <f>IF(A492="","",IF(SUMIFS($C$4:$C$500,$A$4:$A$500,A492)=IFERROR(INDEX(Matchs!$H$4:$H$31,MATCH(A492,Matchs!$A$4:$A$31,0)),""),"OK","⚠ Vérifier vs score adverse"))</f>
        <v/>
      </c>
    </row>
    <row r="493" spans="1:7" ht="15" customHeight="1" x14ac:dyDescent="0.25">
      <c r="A493" s="4"/>
      <c r="B493" s="4"/>
      <c r="C493" s="4"/>
      <c r="D493" s="4" t="str">
        <f t="shared" si="7"/>
        <v/>
      </c>
      <c r="E493" s="4"/>
      <c r="F493" s="4"/>
      <c r="G493" s="17" t="str">
        <f>IF(A493="","",IF(SUMIFS($C$4:$C$500,$A$4:$A$500,A493)=IFERROR(INDEX(Matchs!$H$4:$H$31,MATCH(A493,Matchs!$A$4:$A$31,0)),""),"OK","⚠ Vérifier vs score adverse"))</f>
        <v/>
      </c>
    </row>
    <row r="494" spans="1:7" ht="15" customHeight="1" x14ac:dyDescent="0.25">
      <c r="A494" s="4"/>
      <c r="B494" s="4"/>
      <c r="C494" s="4"/>
      <c r="D494" s="4" t="str">
        <f t="shared" si="7"/>
        <v/>
      </c>
      <c r="E494" s="4"/>
      <c r="F494" s="4"/>
      <c r="G494" s="17" t="str">
        <f>IF(A494="","",IF(SUMIFS($C$4:$C$500,$A$4:$A$500,A494)=IFERROR(INDEX(Matchs!$H$4:$H$31,MATCH(A494,Matchs!$A$4:$A$31,0)),""),"OK","⚠ Vérifier vs score adverse"))</f>
        <v/>
      </c>
    </row>
    <row r="495" spans="1:7" ht="15" customHeight="1" x14ac:dyDescent="0.25">
      <c r="A495" s="4"/>
      <c r="B495" s="4"/>
      <c r="C495" s="4"/>
      <c r="D495" s="4" t="str">
        <f t="shared" si="7"/>
        <v/>
      </c>
      <c r="E495" s="4"/>
      <c r="F495" s="4"/>
      <c r="G495" s="17" t="str">
        <f>IF(A495="","",IF(SUMIFS($C$4:$C$500,$A$4:$A$500,A495)=IFERROR(INDEX(Matchs!$H$4:$H$31,MATCH(A495,Matchs!$A$4:$A$31,0)),""),"OK","⚠ Vérifier vs score adverse"))</f>
        <v/>
      </c>
    </row>
    <row r="496" spans="1:7" ht="15" customHeight="1" x14ac:dyDescent="0.25">
      <c r="A496" s="4"/>
      <c r="B496" s="4"/>
      <c r="C496" s="4"/>
      <c r="D496" s="4" t="str">
        <f t="shared" si="7"/>
        <v/>
      </c>
      <c r="E496" s="4"/>
      <c r="F496" s="4"/>
      <c r="G496" s="17" t="str">
        <f>IF(A496="","",IF(SUMIFS($C$4:$C$500,$A$4:$A$500,A496)=IFERROR(INDEX(Matchs!$H$4:$H$31,MATCH(A496,Matchs!$A$4:$A$31,0)),""),"OK","⚠ Vérifier vs score adverse"))</f>
        <v/>
      </c>
    </row>
    <row r="497" spans="1:7" ht="15" customHeight="1" x14ac:dyDescent="0.25">
      <c r="A497" s="4"/>
      <c r="B497" s="4"/>
      <c r="C497" s="4"/>
      <c r="D497" s="4" t="str">
        <f t="shared" si="7"/>
        <v/>
      </c>
      <c r="E497" s="4"/>
      <c r="F497" s="4"/>
      <c r="G497" s="17" t="str">
        <f>IF(A497="","",IF(SUMIFS($C$4:$C$500,$A$4:$A$500,A497)=IFERROR(INDEX(Matchs!$H$4:$H$31,MATCH(A497,Matchs!$A$4:$A$31,0)),""),"OK","⚠ Vérifier vs score adverse"))</f>
        <v/>
      </c>
    </row>
    <row r="498" spans="1:7" ht="15" customHeight="1" x14ac:dyDescent="0.25">
      <c r="A498" s="4"/>
      <c r="B498" s="4"/>
      <c r="C498" s="4"/>
      <c r="D498" s="4" t="str">
        <f t="shared" si="7"/>
        <v/>
      </c>
      <c r="E498" s="4"/>
      <c r="F498" s="4"/>
      <c r="G498" s="17" t="str">
        <f>IF(A498="","",IF(SUMIFS($C$4:$C$500,$A$4:$A$500,A498)=IFERROR(INDEX(Matchs!$H$4:$H$31,MATCH(A498,Matchs!$A$4:$A$31,0)),""),"OK","⚠ Vérifier vs score adverse"))</f>
        <v/>
      </c>
    </row>
    <row r="499" spans="1:7" ht="15" customHeight="1" x14ac:dyDescent="0.25">
      <c r="A499" s="4"/>
      <c r="B499" s="4"/>
      <c r="C499" s="4"/>
      <c r="D499" s="4" t="str">
        <f t="shared" si="7"/>
        <v/>
      </c>
      <c r="E499" s="4"/>
      <c r="F499" s="4"/>
      <c r="G499" s="17" t="str">
        <f>IF(A499="","",IF(SUMIFS($C$4:$C$500,$A$4:$A$500,A499)=IFERROR(INDEX(Matchs!$H$4:$H$31,MATCH(A499,Matchs!$A$4:$A$31,0)),""),"OK","⚠ Vérifier vs score adverse"))</f>
        <v/>
      </c>
    </row>
    <row r="500" spans="1:7" ht="15" customHeight="1" x14ac:dyDescent="0.25">
      <c r="A500" s="4"/>
      <c r="B500" s="4"/>
      <c r="C500" s="4"/>
      <c r="D500" s="4" t="str">
        <f t="shared" si="7"/>
        <v/>
      </c>
      <c r="E500" s="4"/>
      <c r="F500" s="4"/>
      <c r="G500" s="17" t="str">
        <f>IF(A500="","",IF(SUMIFS($C$4:$C$500,$A$4:$A$500,A500)=IFERROR(INDEX(Matchs!$H$4:$H$31,MATCH(A500,Matchs!$A$4:$A$31,0)),""),"OK","⚠ Vérifier vs score adverse"))</f>
        <v/>
      </c>
    </row>
  </sheetData>
  <mergeCells count="2">
    <mergeCell ref="A1:F1"/>
    <mergeCell ref="A2:F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500-000000000000}">
          <x14:formula1>
            <xm:f>Matchs!$A$4:$A$31</xm:f>
          </x14:formula1>
          <x14:formula2>
            <xm:f>0</xm:f>
          </x14:formula2>
          <xm:sqref>A4:A500</xm:sqref>
        </x14:dataValidation>
        <x14:dataValidation type="list" allowBlank="1" xr:uid="{00000000-0002-0000-0500-000001000000}">
          <x14:formula1>
            <xm:f>'Effectif Saison'!$E$4:$E$51</xm:f>
          </x14:formula1>
          <x14:formula2>
            <xm:f>0</xm:f>
          </x14:formula2>
          <xm:sqref>B4:B500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403"/>
  <sheetViews>
    <sheetView showGridLines="0" zoomScaleNormal="100" workbookViewId="0">
      <pane ySplit="3" topLeftCell="A4" activePane="bottomLeft" state="frozen"/>
      <selection pane="bottomLeft" activeCell="F16" sqref="F16"/>
    </sheetView>
  </sheetViews>
  <sheetFormatPr baseColWidth="10" defaultColWidth="8.7109375" defaultRowHeight="15" x14ac:dyDescent="0.25"/>
  <cols>
    <col min="1" max="2" width="10" customWidth="1"/>
    <col min="3" max="4" width="22" customWidth="1"/>
    <col min="6" max="6" width="22" customWidth="1"/>
    <col min="7" max="7" width="30" customWidth="1"/>
  </cols>
  <sheetData>
    <row r="1" spans="1:7" ht="21.75" customHeight="1" x14ac:dyDescent="0.25">
      <c r="A1" s="21" t="s">
        <v>158</v>
      </c>
      <c r="B1" s="21"/>
      <c r="C1" s="21"/>
      <c r="D1" s="21"/>
    </row>
    <row r="2" spans="1:7" ht="25.5" customHeight="1" x14ac:dyDescent="0.25">
      <c r="A2" s="24" t="s">
        <v>159</v>
      </c>
      <c r="B2" s="24"/>
      <c r="C2" s="24"/>
      <c r="D2" s="24"/>
    </row>
    <row r="3" spans="1:7" ht="15" customHeight="1" x14ac:dyDescent="0.25">
      <c r="A3" s="18" t="s">
        <v>117</v>
      </c>
      <c r="B3" s="18" t="s">
        <v>142</v>
      </c>
      <c r="C3" s="18" t="s">
        <v>160</v>
      </c>
      <c r="D3" s="18" t="s">
        <v>161</v>
      </c>
      <c r="F3" s="17" t="s">
        <v>162</v>
      </c>
      <c r="G3" s="17" t="s">
        <v>163</v>
      </c>
    </row>
    <row r="4" spans="1:7" ht="15" customHeight="1" x14ac:dyDescent="0.25">
      <c r="A4" s="10"/>
      <c r="B4" s="10"/>
      <c r="C4" s="10"/>
      <c r="D4" s="10"/>
      <c r="F4" s="17"/>
      <c r="G4" s="17"/>
    </row>
    <row r="5" spans="1:7" ht="15" customHeight="1" x14ac:dyDescent="0.25">
      <c r="A5" s="10"/>
      <c r="B5" s="10"/>
      <c r="C5" s="10"/>
      <c r="D5" s="10"/>
      <c r="F5" s="17"/>
      <c r="G5" s="17"/>
    </row>
    <row r="6" spans="1:7" ht="15" customHeight="1" x14ac:dyDescent="0.25">
      <c r="A6" s="10"/>
      <c r="B6" s="10"/>
      <c r="C6" s="10"/>
      <c r="D6" s="10"/>
      <c r="F6" s="17"/>
      <c r="G6" s="17"/>
    </row>
    <row r="7" spans="1:7" ht="15" customHeight="1" x14ac:dyDescent="0.25">
      <c r="A7" s="10"/>
      <c r="B7" s="10"/>
      <c r="C7" s="10"/>
      <c r="D7" s="10"/>
      <c r="F7" s="17"/>
      <c r="G7" s="17"/>
    </row>
    <row r="8" spans="1:7" ht="15" customHeight="1" x14ac:dyDescent="0.25">
      <c r="A8" s="10"/>
      <c r="B8" s="10"/>
      <c r="C8" s="10"/>
      <c r="D8" s="10"/>
      <c r="F8" s="17"/>
      <c r="G8" s="17"/>
    </row>
    <row r="9" spans="1:7" ht="15" customHeight="1" x14ac:dyDescent="0.25">
      <c r="A9" s="10"/>
      <c r="B9" s="10"/>
      <c r="C9" s="10"/>
      <c r="D9" s="10"/>
      <c r="F9" s="17"/>
      <c r="G9" s="17"/>
    </row>
    <row r="10" spans="1:7" ht="15" customHeight="1" x14ac:dyDescent="0.25">
      <c r="A10" s="10"/>
      <c r="B10" s="10"/>
      <c r="C10" s="10"/>
      <c r="D10" s="10"/>
      <c r="F10" s="17"/>
      <c r="G10" s="17"/>
    </row>
    <row r="11" spans="1:7" ht="15" customHeight="1" x14ac:dyDescent="0.25">
      <c r="A11" s="10"/>
      <c r="B11" s="10"/>
      <c r="C11" s="10"/>
      <c r="D11" s="10"/>
      <c r="F11" s="17"/>
      <c r="G11" s="17"/>
    </row>
    <row r="12" spans="1:7" ht="15" customHeight="1" x14ac:dyDescent="0.25">
      <c r="A12" s="10"/>
      <c r="B12" s="10"/>
      <c r="C12" s="10"/>
      <c r="D12" s="10"/>
      <c r="F12" s="17"/>
      <c r="G12" s="17"/>
    </row>
    <row r="13" spans="1:7" ht="15" customHeight="1" x14ac:dyDescent="0.25">
      <c r="A13" s="10"/>
      <c r="B13" s="10"/>
      <c r="C13" s="10"/>
      <c r="D13" s="10"/>
      <c r="F13" s="17"/>
      <c r="G13" s="17"/>
    </row>
    <row r="14" spans="1:7" ht="15" customHeight="1" x14ac:dyDescent="0.25">
      <c r="A14" s="10"/>
      <c r="B14" s="10"/>
      <c r="C14" s="10"/>
      <c r="D14" s="10"/>
      <c r="F14" s="17"/>
      <c r="G14" s="17"/>
    </row>
    <row r="15" spans="1:7" ht="15" customHeight="1" x14ac:dyDescent="0.25">
      <c r="A15" s="10"/>
      <c r="B15" s="10"/>
      <c r="C15" s="10"/>
      <c r="D15" s="10"/>
      <c r="F15" s="17"/>
      <c r="G15" s="17"/>
    </row>
    <row r="16" spans="1:7" ht="15" customHeight="1" x14ac:dyDescent="0.25">
      <c r="A16" s="10"/>
      <c r="B16" s="10"/>
      <c r="C16" s="10"/>
      <c r="D16" s="10"/>
      <c r="F16" s="17"/>
      <c r="G16" s="17"/>
    </row>
    <row r="17" spans="1:7" ht="15" customHeight="1" x14ac:dyDescent="0.25">
      <c r="A17" s="10"/>
      <c r="B17" s="10"/>
      <c r="C17" s="10"/>
      <c r="D17" s="10"/>
      <c r="F17" s="17"/>
      <c r="G17" s="17"/>
    </row>
    <row r="18" spans="1:7" ht="15" customHeight="1" x14ac:dyDescent="0.25">
      <c r="A18" s="10"/>
      <c r="B18" s="10"/>
      <c r="C18" s="10"/>
      <c r="D18" s="10"/>
      <c r="F18" s="17"/>
      <c r="G18" s="17"/>
    </row>
    <row r="19" spans="1:7" ht="15" customHeight="1" x14ac:dyDescent="0.25">
      <c r="A19" s="10"/>
      <c r="B19" s="10"/>
      <c r="C19" s="10"/>
      <c r="D19" s="10"/>
      <c r="F19" s="17"/>
      <c r="G19" s="17"/>
    </row>
    <row r="20" spans="1:7" ht="15" customHeight="1" x14ac:dyDescent="0.25">
      <c r="A20" s="10"/>
      <c r="B20" s="10"/>
      <c r="C20" s="10"/>
      <c r="D20" s="10"/>
      <c r="F20" s="17"/>
      <c r="G20" s="17"/>
    </row>
    <row r="21" spans="1:7" ht="15" customHeight="1" x14ac:dyDescent="0.25">
      <c r="A21" s="10"/>
      <c r="B21" s="10"/>
      <c r="C21" s="10"/>
      <c r="D21" s="10"/>
      <c r="F21" s="17"/>
      <c r="G21" s="17"/>
    </row>
    <row r="22" spans="1:7" ht="15" customHeight="1" x14ac:dyDescent="0.25">
      <c r="A22" s="10"/>
      <c r="B22" s="10"/>
      <c r="C22" s="10"/>
      <c r="D22" s="10"/>
      <c r="F22" s="17"/>
      <c r="G22" s="17"/>
    </row>
    <row r="23" spans="1:7" ht="15" customHeight="1" x14ac:dyDescent="0.25">
      <c r="A23" s="10"/>
      <c r="B23" s="10"/>
      <c r="C23" s="10"/>
      <c r="D23" s="10"/>
      <c r="F23" s="17"/>
      <c r="G23" s="17"/>
    </row>
    <row r="24" spans="1:7" ht="15" customHeight="1" x14ac:dyDescent="0.25">
      <c r="A24" s="10"/>
      <c r="B24" s="10"/>
      <c r="C24" s="10"/>
      <c r="D24" s="10"/>
      <c r="F24" s="17"/>
      <c r="G24" s="17"/>
    </row>
    <row r="25" spans="1:7" ht="15" customHeight="1" x14ac:dyDescent="0.25">
      <c r="A25" s="10"/>
      <c r="B25" s="10"/>
      <c r="C25" s="10"/>
      <c r="D25" s="10"/>
      <c r="F25" s="17"/>
      <c r="G25" s="17"/>
    </row>
    <row r="26" spans="1:7" ht="15" customHeight="1" x14ac:dyDescent="0.25">
      <c r="A26" s="10"/>
      <c r="B26" s="10"/>
      <c r="C26" s="10"/>
      <c r="D26" s="10"/>
      <c r="F26" s="17"/>
      <c r="G26" s="17"/>
    </row>
    <row r="27" spans="1:7" ht="15" customHeight="1" x14ac:dyDescent="0.25">
      <c r="A27" s="10"/>
      <c r="B27" s="10"/>
      <c r="C27" s="10"/>
      <c r="D27" s="10"/>
      <c r="F27" s="17"/>
      <c r="G27" s="17"/>
    </row>
    <row r="28" spans="1:7" ht="15" customHeight="1" x14ac:dyDescent="0.25">
      <c r="A28" s="10"/>
      <c r="B28" s="10"/>
      <c r="C28" s="10"/>
      <c r="D28" s="10"/>
      <c r="F28" s="17"/>
      <c r="G28" s="17"/>
    </row>
    <row r="29" spans="1:7" ht="15" customHeight="1" x14ac:dyDescent="0.25">
      <c r="A29" s="10"/>
      <c r="B29" s="10"/>
      <c r="C29" s="10"/>
      <c r="D29" s="10"/>
      <c r="F29" s="17"/>
      <c r="G29" s="17"/>
    </row>
    <row r="30" spans="1:7" ht="15" customHeight="1" x14ac:dyDescent="0.25">
      <c r="A30" s="10"/>
      <c r="B30" s="10"/>
      <c r="C30" s="10"/>
      <c r="D30" s="10"/>
      <c r="F30" s="17"/>
      <c r="G30" s="17"/>
    </row>
    <row r="31" spans="1:7" ht="15" customHeight="1" x14ac:dyDescent="0.25">
      <c r="A31" s="10"/>
      <c r="B31" s="10"/>
      <c r="C31" s="10"/>
      <c r="D31" s="10"/>
      <c r="F31" s="17"/>
      <c r="G31" s="17"/>
    </row>
    <row r="32" spans="1:7" ht="15" customHeight="1" x14ac:dyDescent="0.25">
      <c r="A32" s="10"/>
      <c r="B32" s="10"/>
      <c r="C32" s="10"/>
      <c r="D32" s="10"/>
      <c r="F32" s="17"/>
      <c r="G32" s="17"/>
    </row>
    <row r="33" spans="1:7" ht="15" customHeight="1" x14ac:dyDescent="0.25">
      <c r="A33" s="10"/>
      <c r="B33" s="10"/>
      <c r="C33" s="10"/>
      <c r="D33" s="10"/>
      <c r="F33" s="17"/>
      <c r="G33" s="17"/>
    </row>
    <row r="34" spans="1:7" ht="15" customHeight="1" x14ac:dyDescent="0.25">
      <c r="A34" s="10"/>
      <c r="B34" s="10"/>
      <c r="C34" s="10"/>
      <c r="D34" s="10"/>
      <c r="F34" s="17"/>
      <c r="G34" s="17"/>
    </row>
    <row r="35" spans="1:7" ht="15" customHeight="1" x14ac:dyDescent="0.25">
      <c r="A35" s="10"/>
      <c r="B35" s="10"/>
      <c r="C35" s="10"/>
      <c r="D35" s="10"/>
      <c r="F35" s="17"/>
      <c r="G35" s="17"/>
    </row>
    <row r="36" spans="1:7" ht="15" customHeight="1" x14ac:dyDescent="0.25">
      <c r="A36" s="10"/>
      <c r="B36" s="10"/>
      <c r="C36" s="10"/>
      <c r="D36" s="10"/>
      <c r="F36" s="17"/>
      <c r="G36" s="17"/>
    </row>
    <row r="37" spans="1:7" ht="15" customHeight="1" x14ac:dyDescent="0.25">
      <c r="A37" s="10"/>
      <c r="B37" s="10"/>
      <c r="C37" s="10"/>
      <c r="D37" s="10"/>
      <c r="F37" s="17"/>
      <c r="G37" s="17"/>
    </row>
    <row r="38" spans="1:7" ht="15" customHeight="1" x14ac:dyDescent="0.25">
      <c r="A38" s="10"/>
      <c r="B38" s="10"/>
      <c r="C38" s="10"/>
      <c r="D38" s="10"/>
      <c r="F38" s="17"/>
      <c r="G38" s="17"/>
    </row>
    <row r="39" spans="1:7" ht="15" customHeight="1" x14ac:dyDescent="0.25">
      <c r="A39" s="10"/>
      <c r="B39" s="10"/>
      <c r="C39" s="10"/>
      <c r="D39" s="10"/>
      <c r="F39" s="17"/>
      <c r="G39" s="17"/>
    </row>
    <row r="40" spans="1:7" ht="15" customHeight="1" x14ac:dyDescent="0.25">
      <c r="A40" s="10"/>
      <c r="B40" s="10"/>
      <c r="C40" s="10"/>
      <c r="D40" s="10"/>
      <c r="F40" s="17"/>
      <c r="G40" s="17"/>
    </row>
    <row r="41" spans="1:7" ht="15" customHeight="1" x14ac:dyDescent="0.25">
      <c r="A41" s="10"/>
      <c r="B41" s="10"/>
      <c r="C41" s="10"/>
      <c r="D41" s="10"/>
      <c r="F41" s="17"/>
      <c r="G41" s="17"/>
    </row>
    <row r="42" spans="1:7" ht="15" customHeight="1" x14ac:dyDescent="0.25">
      <c r="A42" s="10"/>
      <c r="B42" s="10"/>
      <c r="C42" s="10"/>
      <c r="D42" s="10"/>
      <c r="F42" s="17"/>
      <c r="G42" s="17"/>
    </row>
    <row r="43" spans="1:7" ht="15" customHeight="1" x14ac:dyDescent="0.25">
      <c r="A43" s="10"/>
      <c r="B43" s="10"/>
      <c r="C43" s="10"/>
      <c r="D43" s="10"/>
      <c r="F43" s="17"/>
      <c r="G43" s="17"/>
    </row>
    <row r="44" spans="1:7" ht="15" customHeight="1" x14ac:dyDescent="0.25">
      <c r="A44" s="10"/>
      <c r="B44" s="10"/>
      <c r="C44" s="10"/>
      <c r="D44" s="10"/>
      <c r="F44" s="17"/>
      <c r="G44" s="17"/>
    </row>
    <row r="45" spans="1:7" ht="15" customHeight="1" x14ac:dyDescent="0.25">
      <c r="A45" s="10"/>
      <c r="B45" s="10"/>
      <c r="C45" s="10"/>
      <c r="D45" s="10"/>
      <c r="F45" s="17"/>
      <c r="G45" s="17"/>
    </row>
    <row r="46" spans="1:7" ht="15" customHeight="1" x14ac:dyDescent="0.25">
      <c r="A46" s="10"/>
      <c r="B46" s="10"/>
      <c r="C46" s="10"/>
      <c r="D46" s="10"/>
      <c r="F46" s="17"/>
      <c r="G46" s="17"/>
    </row>
    <row r="47" spans="1:7" ht="15" customHeight="1" x14ac:dyDescent="0.25">
      <c r="A47" s="10"/>
      <c r="B47" s="10"/>
      <c r="C47" s="10"/>
      <c r="D47" s="10"/>
      <c r="F47" s="17"/>
      <c r="G47" s="17"/>
    </row>
    <row r="48" spans="1:7" ht="15" customHeight="1" x14ac:dyDescent="0.25">
      <c r="A48" s="10"/>
      <c r="B48" s="10"/>
      <c r="C48" s="10"/>
      <c r="D48" s="10"/>
      <c r="F48" s="17"/>
      <c r="G48" s="17"/>
    </row>
    <row r="49" spans="1:7" ht="15" customHeight="1" x14ac:dyDescent="0.25">
      <c r="A49" s="10"/>
      <c r="B49" s="10"/>
      <c r="C49" s="10"/>
      <c r="D49" s="10"/>
      <c r="F49" s="17"/>
      <c r="G49" s="17"/>
    </row>
    <row r="50" spans="1:7" ht="15" customHeight="1" x14ac:dyDescent="0.25">
      <c r="A50" s="10"/>
      <c r="B50" s="10"/>
      <c r="C50" s="10"/>
      <c r="D50" s="10"/>
      <c r="F50" s="17"/>
      <c r="G50" s="17"/>
    </row>
    <row r="51" spans="1:7" ht="15" customHeight="1" x14ac:dyDescent="0.25">
      <c r="A51" s="10"/>
      <c r="B51" s="10"/>
      <c r="C51" s="10"/>
      <c r="D51" s="10"/>
      <c r="F51" s="17"/>
      <c r="G51" s="17"/>
    </row>
    <row r="52" spans="1:7" ht="15" customHeight="1" x14ac:dyDescent="0.25">
      <c r="A52" s="10"/>
      <c r="B52" s="10"/>
      <c r="C52" s="10"/>
      <c r="D52" s="10"/>
      <c r="F52" s="17"/>
      <c r="G52" s="17"/>
    </row>
    <row r="53" spans="1:7" ht="15" customHeight="1" x14ac:dyDescent="0.25">
      <c r="A53" s="10"/>
      <c r="B53" s="10"/>
      <c r="C53" s="10"/>
      <c r="D53" s="10"/>
      <c r="F53" s="17"/>
      <c r="G53" s="17"/>
    </row>
    <row r="54" spans="1:7" ht="15" customHeight="1" x14ac:dyDescent="0.25">
      <c r="A54" s="10"/>
      <c r="B54" s="10"/>
      <c r="C54" s="10"/>
      <c r="D54" s="10"/>
      <c r="F54" s="17"/>
      <c r="G54" s="17"/>
    </row>
    <row r="55" spans="1:7" ht="15" customHeight="1" x14ac:dyDescent="0.25">
      <c r="A55" s="10"/>
      <c r="B55" s="10"/>
      <c r="C55" s="10"/>
      <c r="D55" s="10"/>
      <c r="F55" s="17"/>
      <c r="G55" s="17"/>
    </row>
    <row r="56" spans="1:7" ht="15" customHeight="1" x14ac:dyDescent="0.25">
      <c r="A56" s="10"/>
      <c r="B56" s="10"/>
      <c r="C56" s="10"/>
      <c r="D56" s="10"/>
      <c r="F56" s="17"/>
      <c r="G56" s="17"/>
    </row>
    <row r="57" spans="1:7" ht="15" customHeight="1" x14ac:dyDescent="0.25">
      <c r="A57" s="10"/>
      <c r="B57" s="10"/>
      <c r="C57" s="10"/>
      <c r="D57" s="10"/>
      <c r="F57" s="17"/>
      <c r="G57" s="17"/>
    </row>
    <row r="58" spans="1:7" ht="15" customHeight="1" x14ac:dyDescent="0.25">
      <c r="A58" s="10"/>
      <c r="B58" s="10"/>
      <c r="C58" s="10"/>
      <c r="D58" s="10"/>
      <c r="F58" s="17"/>
      <c r="G58" s="17"/>
    </row>
    <row r="59" spans="1:7" ht="15" customHeight="1" x14ac:dyDescent="0.25">
      <c r="A59" s="10"/>
      <c r="B59" s="10"/>
      <c r="C59" s="10"/>
      <c r="D59" s="10"/>
      <c r="F59" s="17"/>
      <c r="G59" s="17"/>
    </row>
    <row r="60" spans="1:7" ht="15" customHeight="1" x14ac:dyDescent="0.25">
      <c r="A60" s="10"/>
      <c r="B60" s="10"/>
      <c r="C60" s="10"/>
      <c r="D60" s="10"/>
      <c r="F60" s="17"/>
      <c r="G60" s="17"/>
    </row>
    <row r="61" spans="1:7" ht="15" customHeight="1" x14ac:dyDescent="0.25">
      <c r="A61" s="10"/>
      <c r="B61" s="10"/>
      <c r="C61" s="10"/>
      <c r="D61" s="10"/>
      <c r="F61" s="17"/>
      <c r="G61" s="17"/>
    </row>
    <row r="62" spans="1:7" ht="15" customHeight="1" x14ac:dyDescent="0.25">
      <c r="A62" s="10"/>
      <c r="B62" s="10"/>
      <c r="C62" s="10"/>
      <c r="D62" s="10"/>
      <c r="F62" s="17"/>
      <c r="G62" s="17"/>
    </row>
    <row r="63" spans="1:7" ht="15" customHeight="1" x14ac:dyDescent="0.25">
      <c r="A63" s="10"/>
      <c r="B63" s="10"/>
      <c r="C63" s="10"/>
      <c r="D63" s="10"/>
      <c r="F63" s="17"/>
      <c r="G63" s="17"/>
    </row>
    <row r="64" spans="1:7" ht="15" customHeight="1" x14ac:dyDescent="0.25">
      <c r="A64" s="10"/>
      <c r="B64" s="10"/>
      <c r="C64" s="10"/>
      <c r="D64" s="10"/>
      <c r="F64" s="17"/>
      <c r="G64" s="17"/>
    </row>
    <row r="65" spans="1:7" ht="15" customHeight="1" x14ac:dyDescent="0.25">
      <c r="A65" s="10"/>
      <c r="B65" s="10"/>
      <c r="C65" s="10"/>
      <c r="D65" s="10"/>
      <c r="F65" s="17"/>
      <c r="G65" s="17"/>
    </row>
    <row r="66" spans="1:7" ht="15" customHeight="1" x14ac:dyDescent="0.25">
      <c r="A66" s="10"/>
      <c r="B66" s="10"/>
      <c r="C66" s="10"/>
      <c r="D66" s="10"/>
      <c r="F66" s="17"/>
      <c r="G66" s="17"/>
    </row>
    <row r="67" spans="1:7" ht="15" customHeight="1" x14ac:dyDescent="0.25">
      <c r="A67" s="10"/>
      <c r="B67" s="10"/>
      <c r="C67" s="10"/>
      <c r="D67" s="10"/>
      <c r="F67" s="17"/>
      <c r="G67" s="17"/>
    </row>
    <row r="68" spans="1:7" ht="15" customHeight="1" x14ac:dyDescent="0.25">
      <c r="A68" s="10"/>
      <c r="B68" s="10"/>
      <c r="C68" s="10"/>
      <c r="D68" s="10"/>
      <c r="F68" s="17"/>
      <c r="G68" s="17"/>
    </row>
    <row r="69" spans="1:7" ht="15" customHeight="1" x14ac:dyDescent="0.25">
      <c r="A69" s="10"/>
      <c r="B69" s="10"/>
      <c r="C69" s="10"/>
      <c r="D69" s="10"/>
      <c r="F69" s="17"/>
      <c r="G69" s="17"/>
    </row>
    <row r="70" spans="1:7" ht="15" customHeight="1" x14ac:dyDescent="0.25">
      <c r="A70" s="10"/>
      <c r="B70" s="10"/>
      <c r="C70" s="10"/>
      <c r="D70" s="10"/>
      <c r="F70" s="17"/>
      <c r="G70" s="17"/>
    </row>
    <row r="71" spans="1:7" ht="15" customHeight="1" x14ac:dyDescent="0.25">
      <c r="A71" s="10"/>
      <c r="B71" s="10"/>
      <c r="C71" s="10"/>
      <c r="D71" s="10"/>
      <c r="F71" s="17"/>
      <c r="G71" s="17"/>
    </row>
    <row r="72" spans="1:7" ht="15" customHeight="1" x14ac:dyDescent="0.25">
      <c r="A72" s="10"/>
      <c r="B72" s="10"/>
      <c r="C72" s="10"/>
      <c r="D72" s="10"/>
      <c r="F72" s="17"/>
      <c r="G72" s="17"/>
    </row>
    <row r="73" spans="1:7" ht="15" customHeight="1" x14ac:dyDescent="0.25">
      <c r="A73" s="10"/>
      <c r="B73" s="10"/>
      <c r="C73" s="10"/>
      <c r="D73" s="10"/>
      <c r="F73" s="17"/>
      <c r="G73" s="17"/>
    </row>
    <row r="74" spans="1:7" ht="15" customHeight="1" x14ac:dyDescent="0.25">
      <c r="A74" s="10"/>
      <c r="B74" s="10"/>
      <c r="C74" s="10"/>
      <c r="D74" s="10"/>
      <c r="F74" s="17"/>
      <c r="G74" s="17"/>
    </row>
    <row r="75" spans="1:7" ht="15" customHeight="1" x14ac:dyDescent="0.25">
      <c r="A75" s="10"/>
      <c r="B75" s="10"/>
      <c r="C75" s="10"/>
      <c r="D75" s="10"/>
      <c r="F75" s="17"/>
      <c r="G75" s="17"/>
    </row>
    <row r="76" spans="1:7" ht="15" customHeight="1" x14ac:dyDescent="0.25">
      <c r="A76" s="10"/>
      <c r="B76" s="10"/>
      <c r="C76" s="10"/>
      <c r="D76" s="10"/>
      <c r="F76" s="17"/>
      <c r="G76" s="17"/>
    </row>
    <row r="77" spans="1:7" ht="15" customHeight="1" x14ac:dyDescent="0.25">
      <c r="A77" s="10"/>
      <c r="B77" s="10"/>
      <c r="C77" s="10"/>
      <c r="D77" s="10"/>
      <c r="F77" s="17"/>
      <c r="G77" s="17"/>
    </row>
    <row r="78" spans="1:7" ht="15" customHeight="1" x14ac:dyDescent="0.25">
      <c r="A78" s="10"/>
      <c r="B78" s="10"/>
      <c r="C78" s="10"/>
      <c r="D78" s="10"/>
      <c r="F78" s="17"/>
      <c r="G78" s="17"/>
    </row>
    <row r="79" spans="1:7" ht="15" customHeight="1" x14ac:dyDescent="0.25">
      <c r="A79" s="10"/>
      <c r="B79" s="10"/>
      <c r="C79" s="10"/>
      <c r="D79" s="10"/>
      <c r="F79" s="17"/>
      <c r="G79" s="17"/>
    </row>
    <row r="80" spans="1:7" ht="15" customHeight="1" x14ac:dyDescent="0.25">
      <c r="A80" s="10"/>
      <c r="B80" s="10"/>
      <c r="C80" s="10"/>
      <c r="D80" s="10"/>
      <c r="F80" s="17"/>
      <c r="G80" s="17"/>
    </row>
    <row r="81" spans="1:7" ht="15" customHeight="1" x14ac:dyDescent="0.25">
      <c r="A81" s="10"/>
      <c r="B81" s="10"/>
      <c r="C81" s="10"/>
      <c r="D81" s="10"/>
      <c r="F81" s="17"/>
      <c r="G81" s="17"/>
    </row>
    <row r="82" spans="1:7" ht="15" customHeight="1" x14ac:dyDescent="0.25">
      <c r="A82" s="10"/>
      <c r="B82" s="10"/>
      <c r="C82" s="10"/>
      <c r="D82" s="10"/>
      <c r="F82" s="17"/>
      <c r="G82" s="17"/>
    </row>
    <row r="83" spans="1:7" ht="15" customHeight="1" x14ac:dyDescent="0.25">
      <c r="A83" s="10"/>
      <c r="B83" s="10"/>
      <c r="C83" s="10"/>
      <c r="D83" s="10"/>
      <c r="F83" s="17"/>
      <c r="G83" s="17"/>
    </row>
    <row r="84" spans="1:7" ht="15" customHeight="1" x14ac:dyDescent="0.25">
      <c r="A84" s="10"/>
      <c r="B84" s="10"/>
      <c r="C84" s="10"/>
      <c r="D84" s="10"/>
      <c r="F84" s="17"/>
      <c r="G84" s="17"/>
    </row>
    <row r="85" spans="1:7" ht="15" customHeight="1" x14ac:dyDescent="0.25">
      <c r="A85" s="10"/>
      <c r="B85" s="10"/>
      <c r="C85" s="10"/>
      <c r="D85" s="10"/>
      <c r="F85" s="17"/>
      <c r="G85" s="17"/>
    </row>
    <row r="86" spans="1:7" ht="15" customHeight="1" x14ac:dyDescent="0.25">
      <c r="A86" s="10"/>
      <c r="B86" s="10"/>
      <c r="C86" s="10"/>
      <c r="D86" s="10"/>
      <c r="F86" s="17"/>
      <c r="G86" s="17"/>
    </row>
    <row r="87" spans="1:7" ht="15" customHeight="1" x14ac:dyDescent="0.25">
      <c r="A87" s="10"/>
      <c r="B87" s="10"/>
      <c r="C87" s="10"/>
      <c r="D87" s="10"/>
      <c r="F87" s="17"/>
      <c r="G87" s="17"/>
    </row>
    <row r="88" spans="1:7" ht="15" customHeight="1" x14ac:dyDescent="0.25">
      <c r="A88" s="10"/>
      <c r="B88" s="10"/>
      <c r="C88" s="10"/>
      <c r="D88" s="10"/>
      <c r="F88" s="17"/>
      <c r="G88" s="17"/>
    </row>
    <row r="89" spans="1:7" ht="15" customHeight="1" x14ac:dyDescent="0.25">
      <c r="A89" s="10"/>
      <c r="B89" s="10"/>
      <c r="C89" s="10"/>
      <c r="D89" s="10"/>
      <c r="F89" s="17"/>
      <c r="G89" s="17"/>
    </row>
    <row r="90" spans="1:7" ht="15" customHeight="1" x14ac:dyDescent="0.25">
      <c r="A90" s="10"/>
      <c r="B90" s="10"/>
      <c r="C90" s="10"/>
      <c r="D90" s="10"/>
      <c r="F90" s="17"/>
      <c r="G90" s="17"/>
    </row>
    <row r="91" spans="1:7" ht="15" customHeight="1" x14ac:dyDescent="0.25">
      <c r="A91" s="10"/>
      <c r="B91" s="10"/>
      <c r="C91" s="10"/>
      <c r="D91" s="10"/>
      <c r="F91" s="17"/>
      <c r="G91" s="17"/>
    </row>
    <row r="92" spans="1:7" ht="15" customHeight="1" x14ac:dyDescent="0.25">
      <c r="A92" s="10"/>
      <c r="B92" s="10"/>
      <c r="C92" s="10"/>
      <c r="D92" s="10"/>
      <c r="F92" s="17"/>
      <c r="G92" s="17"/>
    </row>
    <row r="93" spans="1:7" ht="15" customHeight="1" x14ac:dyDescent="0.25">
      <c r="A93" s="10"/>
      <c r="B93" s="10"/>
      <c r="C93" s="10"/>
      <c r="D93" s="10"/>
      <c r="F93" s="17"/>
      <c r="G93" s="17"/>
    </row>
    <row r="94" spans="1:7" ht="15" customHeight="1" x14ac:dyDescent="0.25">
      <c r="A94" s="10"/>
      <c r="B94" s="10"/>
      <c r="C94" s="10"/>
      <c r="D94" s="10"/>
      <c r="F94" s="17"/>
      <c r="G94" s="17"/>
    </row>
    <row r="95" spans="1:7" ht="15" customHeight="1" x14ac:dyDescent="0.25">
      <c r="A95" s="10"/>
      <c r="B95" s="10"/>
      <c r="C95" s="10"/>
      <c r="D95" s="10"/>
      <c r="F95" s="17"/>
      <c r="G95" s="17"/>
    </row>
    <row r="96" spans="1:7" ht="15" customHeight="1" x14ac:dyDescent="0.25">
      <c r="A96" s="10"/>
      <c r="B96" s="10"/>
      <c r="C96" s="10"/>
      <c r="D96" s="10"/>
      <c r="F96" s="17"/>
      <c r="G96" s="17"/>
    </row>
    <row r="97" spans="1:7" ht="15" customHeight="1" x14ac:dyDescent="0.25">
      <c r="A97" s="10"/>
      <c r="B97" s="10"/>
      <c r="C97" s="10"/>
      <c r="D97" s="10"/>
      <c r="F97" s="17"/>
      <c r="G97" s="17"/>
    </row>
    <row r="98" spans="1:7" ht="15" customHeight="1" x14ac:dyDescent="0.25">
      <c r="A98" s="10"/>
      <c r="B98" s="10"/>
      <c r="C98" s="10"/>
      <c r="D98" s="10"/>
      <c r="F98" s="17"/>
      <c r="G98" s="17"/>
    </row>
    <row r="99" spans="1:7" ht="15" customHeight="1" x14ac:dyDescent="0.25">
      <c r="A99" s="10"/>
      <c r="B99" s="10"/>
      <c r="C99" s="10"/>
      <c r="D99" s="10"/>
      <c r="F99" s="17"/>
      <c r="G99" s="17"/>
    </row>
    <row r="100" spans="1:7" ht="15" customHeight="1" x14ac:dyDescent="0.25">
      <c r="A100" s="10"/>
      <c r="B100" s="10"/>
      <c r="C100" s="10"/>
      <c r="D100" s="10"/>
      <c r="F100" s="17"/>
      <c r="G100" s="17"/>
    </row>
    <row r="101" spans="1:7" ht="15" customHeight="1" x14ac:dyDescent="0.25">
      <c r="A101" s="10"/>
      <c r="B101" s="10"/>
      <c r="C101" s="10"/>
      <c r="D101" s="10"/>
      <c r="F101" s="17"/>
      <c r="G101" s="17"/>
    </row>
    <row r="102" spans="1:7" ht="15" customHeight="1" x14ac:dyDescent="0.25">
      <c r="A102" s="10"/>
      <c r="B102" s="10"/>
      <c r="C102" s="10"/>
      <c r="D102" s="10"/>
      <c r="F102" s="17"/>
      <c r="G102" s="17"/>
    </row>
    <row r="103" spans="1:7" ht="15" customHeight="1" x14ac:dyDescent="0.25">
      <c r="A103" s="10"/>
      <c r="B103" s="10"/>
      <c r="C103" s="10"/>
      <c r="D103" s="10"/>
      <c r="F103" s="17"/>
      <c r="G103" s="17"/>
    </row>
    <row r="104" spans="1:7" ht="15" customHeight="1" x14ac:dyDescent="0.25">
      <c r="A104" s="10"/>
      <c r="B104" s="10"/>
      <c r="C104" s="10"/>
      <c r="D104" s="10"/>
      <c r="F104" s="17"/>
      <c r="G104" s="17"/>
    </row>
    <row r="105" spans="1:7" ht="15" customHeight="1" x14ac:dyDescent="0.25">
      <c r="A105" s="10"/>
      <c r="B105" s="10"/>
      <c r="C105" s="10"/>
      <c r="D105" s="10"/>
      <c r="F105" s="17"/>
      <c r="G105" s="17"/>
    </row>
    <row r="106" spans="1:7" ht="15" customHeight="1" x14ac:dyDescent="0.25">
      <c r="A106" s="10"/>
      <c r="B106" s="10"/>
      <c r="C106" s="10"/>
      <c r="D106" s="10"/>
      <c r="F106" s="17"/>
      <c r="G106" s="17"/>
    </row>
    <row r="107" spans="1:7" ht="15" customHeight="1" x14ac:dyDescent="0.25">
      <c r="A107" s="10"/>
      <c r="B107" s="10"/>
      <c r="C107" s="10"/>
      <c r="D107" s="10"/>
      <c r="F107" s="17"/>
      <c r="G107" s="17"/>
    </row>
    <row r="108" spans="1:7" ht="15" customHeight="1" x14ac:dyDescent="0.25">
      <c r="A108" s="10"/>
      <c r="B108" s="10"/>
      <c r="C108" s="10"/>
      <c r="D108" s="10"/>
      <c r="F108" s="17"/>
      <c r="G108" s="17"/>
    </row>
    <row r="109" spans="1:7" ht="15" customHeight="1" x14ac:dyDescent="0.25">
      <c r="A109" s="10"/>
      <c r="B109" s="10"/>
      <c r="C109" s="10"/>
      <c r="D109" s="10"/>
      <c r="F109" s="17"/>
      <c r="G109" s="17"/>
    </row>
    <row r="110" spans="1:7" ht="15" customHeight="1" x14ac:dyDescent="0.25">
      <c r="A110" s="10"/>
      <c r="B110" s="10"/>
      <c r="C110" s="10"/>
      <c r="D110" s="10"/>
      <c r="F110" s="17"/>
      <c r="G110" s="17"/>
    </row>
    <row r="111" spans="1:7" ht="15" customHeight="1" x14ac:dyDescent="0.25">
      <c r="A111" s="10"/>
      <c r="B111" s="10"/>
      <c r="C111" s="10"/>
      <c r="D111" s="10"/>
      <c r="F111" s="17"/>
      <c r="G111" s="17"/>
    </row>
    <row r="112" spans="1:7" ht="15" customHeight="1" x14ac:dyDescent="0.25">
      <c r="A112" s="10"/>
      <c r="B112" s="10"/>
      <c r="C112" s="10"/>
      <c r="D112" s="10"/>
      <c r="F112" s="17"/>
      <c r="G112" s="17"/>
    </row>
    <row r="113" spans="1:7" ht="15" customHeight="1" x14ac:dyDescent="0.25">
      <c r="A113" s="10"/>
      <c r="B113" s="10"/>
      <c r="C113" s="10"/>
      <c r="D113" s="10"/>
      <c r="F113" s="17"/>
      <c r="G113" s="17"/>
    </row>
    <row r="114" spans="1:7" ht="15" customHeight="1" x14ac:dyDescent="0.25">
      <c r="A114" s="10"/>
      <c r="B114" s="10"/>
      <c r="C114" s="10"/>
      <c r="D114" s="10"/>
      <c r="F114" s="17"/>
      <c r="G114" s="17"/>
    </row>
    <row r="115" spans="1:7" ht="15" customHeight="1" x14ac:dyDescent="0.25">
      <c r="A115" s="10"/>
      <c r="B115" s="10"/>
      <c r="C115" s="10"/>
      <c r="D115" s="10"/>
      <c r="F115" s="17"/>
      <c r="G115" s="17"/>
    </row>
    <row r="116" spans="1:7" ht="15" customHeight="1" x14ac:dyDescent="0.25">
      <c r="A116" s="10"/>
      <c r="B116" s="10"/>
      <c r="C116" s="10"/>
      <c r="D116" s="10"/>
      <c r="F116" s="17"/>
      <c r="G116" s="17"/>
    </row>
    <row r="117" spans="1:7" ht="15" customHeight="1" x14ac:dyDescent="0.25">
      <c r="A117" s="10"/>
      <c r="B117" s="10"/>
      <c r="C117" s="10"/>
      <c r="D117" s="10"/>
      <c r="F117" s="17"/>
      <c r="G117" s="17"/>
    </row>
    <row r="118" spans="1:7" ht="15" customHeight="1" x14ac:dyDescent="0.25">
      <c r="A118" s="10"/>
      <c r="B118" s="10"/>
      <c r="C118" s="10"/>
      <c r="D118" s="10"/>
      <c r="F118" s="17"/>
      <c r="G118" s="17"/>
    </row>
    <row r="119" spans="1:7" ht="15" customHeight="1" x14ac:dyDescent="0.25">
      <c r="A119" s="10"/>
      <c r="B119" s="10"/>
      <c r="C119" s="10"/>
      <c r="D119" s="10"/>
      <c r="F119" s="17"/>
      <c r="G119" s="17"/>
    </row>
    <row r="120" spans="1:7" ht="15" customHeight="1" x14ac:dyDescent="0.25">
      <c r="A120" s="10"/>
      <c r="B120" s="10"/>
      <c r="C120" s="10"/>
      <c r="D120" s="10"/>
      <c r="F120" s="17"/>
      <c r="G120" s="17"/>
    </row>
    <row r="121" spans="1:7" ht="15" customHeight="1" x14ac:dyDescent="0.25">
      <c r="A121" s="10"/>
      <c r="B121" s="10"/>
      <c r="C121" s="10"/>
      <c r="D121" s="10"/>
      <c r="F121" s="17"/>
      <c r="G121" s="17"/>
    </row>
    <row r="122" spans="1:7" ht="15" customHeight="1" x14ac:dyDescent="0.25">
      <c r="A122" s="10"/>
      <c r="B122" s="10"/>
      <c r="C122" s="10"/>
      <c r="D122" s="10"/>
      <c r="F122" s="17"/>
      <c r="G122" s="17"/>
    </row>
    <row r="123" spans="1:7" ht="15" customHeight="1" x14ac:dyDescent="0.25">
      <c r="A123" s="10"/>
      <c r="B123" s="10"/>
      <c r="C123" s="10"/>
      <c r="D123" s="10"/>
      <c r="F123" s="17"/>
      <c r="G123" s="17"/>
    </row>
    <row r="124" spans="1:7" ht="15" customHeight="1" x14ac:dyDescent="0.25">
      <c r="A124" s="10"/>
      <c r="B124" s="10"/>
      <c r="C124" s="10"/>
      <c r="D124" s="10"/>
      <c r="F124" s="17"/>
      <c r="G124" s="17"/>
    </row>
    <row r="125" spans="1:7" ht="15" customHeight="1" x14ac:dyDescent="0.25">
      <c r="A125" s="10"/>
      <c r="B125" s="10"/>
      <c r="C125" s="10"/>
      <c r="D125" s="10"/>
      <c r="F125" s="17"/>
      <c r="G125" s="17"/>
    </row>
    <row r="126" spans="1:7" ht="15" customHeight="1" x14ac:dyDescent="0.25">
      <c r="A126" s="10"/>
      <c r="B126" s="10"/>
      <c r="C126" s="10"/>
      <c r="D126" s="10"/>
      <c r="F126" s="17"/>
      <c r="G126" s="17"/>
    </row>
    <row r="127" spans="1:7" ht="15" customHeight="1" x14ac:dyDescent="0.25">
      <c r="A127" s="10"/>
      <c r="B127" s="10"/>
      <c r="C127" s="10"/>
      <c r="D127" s="10"/>
      <c r="F127" s="17"/>
      <c r="G127" s="17"/>
    </row>
    <row r="128" spans="1:7" ht="15" customHeight="1" x14ac:dyDescent="0.25">
      <c r="A128" s="10"/>
      <c r="B128" s="10"/>
      <c r="C128" s="10"/>
      <c r="D128" s="10"/>
      <c r="F128" s="17"/>
      <c r="G128" s="17"/>
    </row>
    <row r="129" spans="1:7" ht="15" customHeight="1" x14ac:dyDescent="0.25">
      <c r="A129" s="10"/>
      <c r="B129" s="10"/>
      <c r="C129" s="10"/>
      <c r="D129" s="10"/>
      <c r="F129" s="17"/>
      <c r="G129" s="17"/>
    </row>
    <row r="130" spans="1:7" ht="15" customHeight="1" x14ac:dyDescent="0.25">
      <c r="A130" s="10"/>
      <c r="B130" s="10"/>
      <c r="C130" s="10"/>
      <c r="D130" s="10"/>
      <c r="F130" s="17"/>
      <c r="G130" s="17"/>
    </row>
    <row r="131" spans="1:7" ht="15" customHeight="1" x14ac:dyDescent="0.25">
      <c r="A131" s="10"/>
      <c r="B131" s="10"/>
      <c r="C131" s="10"/>
      <c r="D131" s="10"/>
      <c r="F131" s="17"/>
      <c r="G131" s="17"/>
    </row>
    <row r="132" spans="1:7" ht="15" customHeight="1" x14ac:dyDescent="0.25">
      <c r="A132" s="10"/>
      <c r="B132" s="10"/>
      <c r="C132" s="10"/>
      <c r="D132" s="10"/>
      <c r="F132" s="17"/>
      <c r="G132" s="17"/>
    </row>
    <row r="133" spans="1:7" ht="15" customHeight="1" x14ac:dyDescent="0.25">
      <c r="A133" s="10"/>
      <c r="B133" s="10"/>
      <c r="C133" s="10"/>
      <c r="D133" s="10"/>
      <c r="F133" s="17"/>
      <c r="G133" s="17"/>
    </row>
    <row r="134" spans="1:7" ht="15" customHeight="1" x14ac:dyDescent="0.25">
      <c r="A134" s="10"/>
      <c r="B134" s="10"/>
      <c r="C134" s="10"/>
      <c r="D134" s="10"/>
      <c r="F134" s="17"/>
      <c r="G134" s="17"/>
    </row>
    <row r="135" spans="1:7" ht="15" customHeight="1" x14ac:dyDescent="0.25">
      <c r="A135" s="10"/>
      <c r="B135" s="10"/>
      <c r="C135" s="10"/>
      <c r="D135" s="10"/>
      <c r="F135" s="17"/>
      <c r="G135" s="17"/>
    </row>
    <row r="136" spans="1:7" ht="15" customHeight="1" x14ac:dyDescent="0.25">
      <c r="A136" s="10"/>
      <c r="B136" s="10"/>
      <c r="C136" s="10"/>
      <c r="D136" s="10"/>
      <c r="F136" s="17"/>
      <c r="G136" s="17"/>
    </row>
    <row r="137" spans="1:7" ht="15" customHeight="1" x14ac:dyDescent="0.25">
      <c r="A137" s="10"/>
      <c r="B137" s="10"/>
      <c r="C137" s="10"/>
      <c r="D137" s="10"/>
      <c r="F137" s="17"/>
      <c r="G137" s="17"/>
    </row>
    <row r="138" spans="1:7" ht="15" customHeight="1" x14ac:dyDescent="0.25">
      <c r="A138" s="10"/>
      <c r="B138" s="10"/>
      <c r="C138" s="10"/>
      <c r="D138" s="10"/>
      <c r="F138" s="17"/>
      <c r="G138" s="17"/>
    </row>
    <row r="139" spans="1:7" ht="15" customHeight="1" x14ac:dyDescent="0.25">
      <c r="A139" s="10"/>
      <c r="B139" s="10"/>
      <c r="C139" s="10"/>
      <c r="D139" s="10"/>
      <c r="F139" s="17"/>
      <c r="G139" s="17"/>
    </row>
    <row r="140" spans="1:7" ht="15" customHeight="1" x14ac:dyDescent="0.25">
      <c r="A140" s="10"/>
      <c r="B140" s="10"/>
      <c r="C140" s="10"/>
      <c r="D140" s="10"/>
      <c r="F140" s="17"/>
      <c r="G140" s="17"/>
    </row>
    <row r="141" spans="1:7" ht="15" customHeight="1" x14ac:dyDescent="0.25">
      <c r="A141" s="10"/>
      <c r="B141" s="10"/>
      <c r="C141" s="10"/>
      <c r="D141" s="10"/>
      <c r="F141" s="17"/>
      <c r="G141" s="17"/>
    </row>
    <row r="142" spans="1:7" ht="15" customHeight="1" x14ac:dyDescent="0.25">
      <c r="A142" s="10"/>
      <c r="B142" s="10"/>
      <c r="C142" s="10"/>
      <c r="D142" s="10"/>
      <c r="F142" s="17"/>
      <c r="G142" s="17"/>
    </row>
    <row r="143" spans="1:7" ht="15" customHeight="1" x14ac:dyDescent="0.25">
      <c r="A143" s="10"/>
      <c r="B143" s="10"/>
      <c r="C143" s="10"/>
      <c r="D143" s="10"/>
      <c r="F143" s="17"/>
      <c r="G143" s="17"/>
    </row>
    <row r="144" spans="1:7" ht="15" customHeight="1" x14ac:dyDescent="0.25">
      <c r="A144" s="10"/>
      <c r="B144" s="10"/>
      <c r="C144" s="10"/>
      <c r="D144" s="10"/>
      <c r="F144" s="17"/>
      <c r="G144" s="17"/>
    </row>
    <row r="145" spans="1:7" ht="15" customHeight="1" x14ac:dyDescent="0.25">
      <c r="A145" s="10"/>
      <c r="B145" s="10"/>
      <c r="C145" s="10"/>
      <c r="D145" s="10"/>
      <c r="F145" s="17"/>
      <c r="G145" s="17"/>
    </row>
    <row r="146" spans="1:7" ht="15" customHeight="1" x14ac:dyDescent="0.25">
      <c r="A146" s="10"/>
      <c r="B146" s="10"/>
      <c r="C146" s="10"/>
      <c r="D146" s="10"/>
      <c r="F146" s="17"/>
      <c r="G146" s="17"/>
    </row>
    <row r="147" spans="1:7" ht="15" customHeight="1" x14ac:dyDescent="0.25">
      <c r="A147" s="10"/>
      <c r="B147" s="10"/>
      <c r="C147" s="10"/>
      <c r="D147" s="10"/>
      <c r="F147" s="17"/>
      <c r="G147" s="17"/>
    </row>
    <row r="148" spans="1:7" ht="15" customHeight="1" x14ac:dyDescent="0.25">
      <c r="A148" s="10"/>
      <c r="B148" s="10"/>
      <c r="C148" s="10"/>
      <c r="D148" s="10"/>
      <c r="F148" s="17"/>
      <c r="G148" s="17"/>
    </row>
    <row r="149" spans="1:7" ht="15" customHeight="1" x14ac:dyDescent="0.25">
      <c r="A149" s="10"/>
      <c r="B149" s="10"/>
      <c r="C149" s="10"/>
      <c r="D149" s="10"/>
      <c r="F149" s="17"/>
      <c r="G149" s="17"/>
    </row>
    <row r="150" spans="1:7" ht="15" customHeight="1" x14ac:dyDescent="0.25">
      <c r="A150" s="10"/>
      <c r="B150" s="10"/>
      <c r="C150" s="10"/>
      <c r="D150" s="10"/>
      <c r="F150" s="17"/>
      <c r="G150" s="17"/>
    </row>
    <row r="151" spans="1:7" ht="15" customHeight="1" x14ac:dyDescent="0.25">
      <c r="A151" s="10"/>
      <c r="B151" s="10"/>
      <c r="C151" s="10"/>
      <c r="D151" s="10"/>
      <c r="F151" s="17"/>
      <c r="G151" s="17"/>
    </row>
    <row r="152" spans="1:7" ht="15" customHeight="1" x14ac:dyDescent="0.25">
      <c r="A152" s="10"/>
      <c r="B152" s="10"/>
      <c r="C152" s="10"/>
      <c r="D152" s="10"/>
      <c r="F152" s="17"/>
      <c r="G152" s="17"/>
    </row>
    <row r="153" spans="1:7" ht="15" customHeight="1" x14ac:dyDescent="0.25">
      <c r="A153" s="10"/>
      <c r="B153" s="10"/>
      <c r="C153" s="10"/>
      <c r="D153" s="10"/>
      <c r="F153" s="17"/>
      <c r="G153" s="17"/>
    </row>
    <row r="154" spans="1:7" ht="15" customHeight="1" x14ac:dyDescent="0.25">
      <c r="A154" s="10"/>
      <c r="B154" s="10"/>
      <c r="C154" s="10"/>
      <c r="D154" s="10"/>
      <c r="F154" s="17"/>
      <c r="G154" s="17"/>
    </row>
    <row r="155" spans="1:7" ht="15" customHeight="1" x14ac:dyDescent="0.25">
      <c r="A155" s="10"/>
      <c r="B155" s="10"/>
      <c r="C155" s="10"/>
      <c r="D155" s="10"/>
      <c r="F155" s="17"/>
      <c r="G155" s="17"/>
    </row>
    <row r="156" spans="1:7" ht="15" customHeight="1" x14ac:dyDescent="0.25">
      <c r="A156" s="10"/>
      <c r="B156" s="10"/>
      <c r="C156" s="10"/>
      <c r="D156" s="10"/>
      <c r="F156" s="17"/>
      <c r="G156" s="17"/>
    </row>
    <row r="157" spans="1:7" ht="15" customHeight="1" x14ac:dyDescent="0.25">
      <c r="A157" s="10"/>
      <c r="B157" s="10"/>
      <c r="C157" s="10"/>
      <c r="D157" s="10"/>
      <c r="F157" s="17"/>
      <c r="G157" s="17"/>
    </row>
    <row r="158" spans="1:7" ht="15" customHeight="1" x14ac:dyDescent="0.25">
      <c r="A158" s="10"/>
      <c r="B158" s="10"/>
      <c r="C158" s="10"/>
      <c r="D158" s="10"/>
      <c r="F158" s="17"/>
      <c r="G158" s="17"/>
    </row>
    <row r="159" spans="1:7" ht="15" customHeight="1" x14ac:dyDescent="0.25">
      <c r="A159" s="10"/>
      <c r="B159" s="10"/>
      <c r="C159" s="10"/>
      <c r="D159" s="10"/>
      <c r="F159" s="17"/>
      <c r="G159" s="17"/>
    </row>
    <row r="160" spans="1:7" ht="15" customHeight="1" x14ac:dyDescent="0.25">
      <c r="A160" s="10"/>
      <c r="B160" s="10"/>
      <c r="C160" s="10"/>
      <c r="D160" s="10"/>
      <c r="F160" s="17"/>
      <c r="G160" s="17"/>
    </row>
    <row r="161" spans="1:7" ht="15" customHeight="1" x14ac:dyDescent="0.25">
      <c r="A161" s="10"/>
      <c r="B161" s="10"/>
      <c r="C161" s="10"/>
      <c r="D161" s="10"/>
      <c r="F161" s="17"/>
      <c r="G161" s="17"/>
    </row>
    <row r="162" spans="1:7" ht="15" customHeight="1" x14ac:dyDescent="0.25">
      <c r="A162" s="10"/>
      <c r="B162" s="10"/>
      <c r="C162" s="10"/>
      <c r="D162" s="10"/>
      <c r="F162" s="17"/>
      <c r="G162" s="17"/>
    </row>
    <row r="163" spans="1:7" ht="15" customHeight="1" x14ac:dyDescent="0.25">
      <c r="A163" s="10"/>
      <c r="B163" s="10"/>
      <c r="C163" s="10"/>
      <c r="D163" s="10"/>
      <c r="F163" s="17"/>
      <c r="G163" s="17"/>
    </row>
    <row r="164" spans="1:7" ht="15" customHeight="1" x14ac:dyDescent="0.25">
      <c r="A164" s="10"/>
      <c r="B164" s="10"/>
      <c r="C164" s="10"/>
      <c r="D164" s="10"/>
      <c r="F164" s="17"/>
      <c r="G164" s="17"/>
    </row>
    <row r="165" spans="1:7" ht="15" customHeight="1" x14ac:dyDescent="0.25">
      <c r="A165" s="10"/>
      <c r="B165" s="10"/>
      <c r="C165" s="10"/>
      <c r="D165" s="10"/>
      <c r="F165" s="17"/>
      <c r="G165" s="17"/>
    </row>
    <row r="166" spans="1:7" ht="15" customHeight="1" x14ac:dyDescent="0.25">
      <c r="A166" s="10"/>
      <c r="B166" s="10"/>
      <c r="C166" s="10"/>
      <c r="D166" s="10"/>
      <c r="F166" s="17"/>
      <c r="G166" s="17"/>
    </row>
    <row r="167" spans="1:7" ht="15" customHeight="1" x14ac:dyDescent="0.25">
      <c r="A167" s="10"/>
      <c r="B167" s="10"/>
      <c r="C167" s="10"/>
      <c r="D167" s="10"/>
      <c r="F167" s="17"/>
      <c r="G167" s="17"/>
    </row>
    <row r="168" spans="1:7" ht="15" customHeight="1" x14ac:dyDescent="0.25">
      <c r="A168" s="10"/>
      <c r="B168" s="10"/>
      <c r="C168" s="10"/>
      <c r="D168" s="10"/>
      <c r="F168" s="17"/>
      <c r="G168" s="17"/>
    </row>
    <row r="169" spans="1:7" ht="15" customHeight="1" x14ac:dyDescent="0.25">
      <c r="A169" s="10"/>
      <c r="B169" s="10"/>
      <c r="C169" s="10"/>
      <c r="D169" s="10"/>
      <c r="F169" s="17"/>
      <c r="G169" s="17"/>
    </row>
    <row r="170" spans="1:7" ht="15" customHeight="1" x14ac:dyDescent="0.25">
      <c r="A170" s="10"/>
      <c r="B170" s="10"/>
      <c r="C170" s="10"/>
      <c r="D170" s="10"/>
      <c r="F170" s="17"/>
      <c r="G170" s="17"/>
    </row>
    <row r="171" spans="1:7" ht="15" customHeight="1" x14ac:dyDescent="0.25">
      <c r="A171" s="10"/>
      <c r="B171" s="10"/>
      <c r="C171" s="10"/>
      <c r="D171" s="10"/>
      <c r="F171" s="17"/>
      <c r="G171" s="17"/>
    </row>
    <row r="172" spans="1:7" ht="15" customHeight="1" x14ac:dyDescent="0.25">
      <c r="A172" s="10"/>
      <c r="B172" s="10"/>
      <c r="C172" s="10"/>
      <c r="D172" s="10"/>
      <c r="F172" s="17"/>
      <c r="G172" s="17"/>
    </row>
    <row r="173" spans="1:7" ht="15" customHeight="1" x14ac:dyDescent="0.25">
      <c r="A173" s="10"/>
      <c r="B173" s="10"/>
      <c r="C173" s="10"/>
      <c r="D173" s="10"/>
      <c r="F173" s="17"/>
      <c r="G173" s="17"/>
    </row>
    <row r="174" spans="1:7" ht="15" customHeight="1" x14ac:dyDescent="0.25">
      <c r="A174" s="10"/>
      <c r="B174" s="10"/>
      <c r="C174" s="10"/>
      <c r="D174" s="10"/>
      <c r="F174" s="17"/>
      <c r="G174" s="17"/>
    </row>
    <row r="175" spans="1:7" ht="15" customHeight="1" x14ac:dyDescent="0.25">
      <c r="A175" s="10"/>
      <c r="B175" s="10"/>
      <c r="C175" s="10"/>
      <c r="D175" s="10"/>
      <c r="F175" s="17"/>
      <c r="G175" s="17"/>
    </row>
    <row r="176" spans="1:7" ht="15" customHeight="1" x14ac:dyDescent="0.25">
      <c r="A176" s="10"/>
      <c r="B176" s="10"/>
      <c r="C176" s="10"/>
      <c r="D176" s="10"/>
      <c r="F176" s="17"/>
      <c r="G176" s="17"/>
    </row>
    <row r="177" spans="1:7" ht="15" customHeight="1" x14ac:dyDescent="0.25">
      <c r="A177" s="10"/>
      <c r="B177" s="10"/>
      <c r="C177" s="10"/>
      <c r="D177" s="10"/>
      <c r="F177" s="17"/>
      <c r="G177" s="17"/>
    </row>
    <row r="178" spans="1:7" ht="15" customHeight="1" x14ac:dyDescent="0.25">
      <c r="A178" s="10"/>
      <c r="B178" s="10"/>
      <c r="C178" s="10"/>
      <c r="D178" s="10"/>
      <c r="F178" s="17"/>
      <c r="G178" s="17"/>
    </row>
    <row r="179" spans="1:7" ht="15" customHeight="1" x14ac:dyDescent="0.25">
      <c r="A179" s="10"/>
      <c r="B179" s="10"/>
      <c r="C179" s="10"/>
      <c r="D179" s="10"/>
      <c r="F179" s="17"/>
      <c r="G179" s="17"/>
    </row>
    <row r="180" spans="1:7" ht="15" customHeight="1" x14ac:dyDescent="0.25">
      <c r="A180" s="10"/>
      <c r="B180" s="10"/>
      <c r="C180" s="10"/>
      <c r="D180" s="10"/>
      <c r="F180" s="17"/>
      <c r="G180" s="17"/>
    </row>
    <row r="181" spans="1:7" ht="15" customHeight="1" x14ac:dyDescent="0.25">
      <c r="A181" s="10"/>
      <c r="B181" s="10"/>
      <c r="C181" s="10"/>
      <c r="D181" s="10"/>
      <c r="F181" s="17"/>
      <c r="G181" s="17"/>
    </row>
    <row r="182" spans="1:7" ht="15" customHeight="1" x14ac:dyDescent="0.25">
      <c r="A182" s="10"/>
      <c r="B182" s="10"/>
      <c r="C182" s="10"/>
      <c r="D182" s="10"/>
      <c r="F182" s="17"/>
      <c r="G182" s="17"/>
    </row>
    <row r="183" spans="1:7" ht="15" customHeight="1" x14ac:dyDescent="0.25">
      <c r="A183" s="10"/>
      <c r="B183" s="10"/>
      <c r="C183" s="10"/>
      <c r="D183" s="10"/>
      <c r="F183" s="17"/>
      <c r="G183" s="17"/>
    </row>
    <row r="184" spans="1:7" ht="15" customHeight="1" x14ac:dyDescent="0.25">
      <c r="A184" s="10"/>
      <c r="B184" s="10"/>
      <c r="C184" s="10"/>
      <c r="D184" s="10"/>
      <c r="F184" s="17"/>
      <c r="G184" s="17"/>
    </row>
    <row r="185" spans="1:7" ht="15" customHeight="1" x14ac:dyDescent="0.25">
      <c r="A185" s="10"/>
      <c r="B185" s="10"/>
      <c r="C185" s="10"/>
      <c r="D185" s="10"/>
      <c r="F185" s="17"/>
      <c r="G185" s="17"/>
    </row>
    <row r="186" spans="1:7" ht="15" customHeight="1" x14ac:dyDescent="0.25">
      <c r="A186" s="10"/>
      <c r="B186" s="10"/>
      <c r="C186" s="10"/>
      <c r="D186" s="10"/>
      <c r="F186" s="17"/>
      <c r="G186" s="17"/>
    </row>
    <row r="187" spans="1:7" ht="15" customHeight="1" x14ac:dyDescent="0.25">
      <c r="A187" s="10"/>
      <c r="B187" s="10"/>
      <c r="C187" s="10"/>
      <c r="D187" s="10"/>
      <c r="F187" s="17"/>
      <c r="G187" s="17"/>
    </row>
    <row r="188" spans="1:7" ht="15" customHeight="1" x14ac:dyDescent="0.25">
      <c r="A188" s="10"/>
      <c r="B188" s="10"/>
      <c r="C188" s="10"/>
      <c r="D188" s="10"/>
      <c r="F188" s="17"/>
      <c r="G188" s="17"/>
    </row>
    <row r="189" spans="1:7" ht="15" customHeight="1" x14ac:dyDescent="0.25">
      <c r="A189" s="10"/>
      <c r="B189" s="10"/>
      <c r="C189" s="10"/>
      <c r="D189" s="10"/>
      <c r="F189" s="17"/>
      <c r="G189" s="17"/>
    </row>
    <row r="190" spans="1:7" ht="15" customHeight="1" x14ac:dyDescent="0.25">
      <c r="A190" s="10"/>
      <c r="B190" s="10"/>
      <c r="C190" s="10"/>
      <c r="D190" s="10"/>
      <c r="F190" s="17"/>
      <c r="G190" s="17"/>
    </row>
    <row r="191" spans="1:7" ht="15" customHeight="1" x14ac:dyDescent="0.25">
      <c r="A191" s="10"/>
      <c r="B191" s="10"/>
      <c r="C191" s="10"/>
      <c r="D191" s="10"/>
      <c r="F191" s="17"/>
      <c r="G191" s="17"/>
    </row>
    <row r="192" spans="1:7" ht="15" customHeight="1" x14ac:dyDescent="0.25">
      <c r="A192" s="10"/>
      <c r="B192" s="10"/>
      <c r="C192" s="10"/>
      <c r="D192" s="10"/>
      <c r="F192" s="17"/>
      <c r="G192" s="17"/>
    </row>
    <row r="193" spans="1:7" ht="15" customHeight="1" x14ac:dyDescent="0.25">
      <c r="A193" s="10"/>
      <c r="B193" s="10"/>
      <c r="C193" s="10"/>
      <c r="D193" s="10"/>
      <c r="F193" s="17"/>
      <c r="G193" s="17"/>
    </row>
    <row r="194" spans="1:7" ht="15" customHeight="1" x14ac:dyDescent="0.25">
      <c r="A194" s="10"/>
      <c r="B194" s="10"/>
      <c r="C194" s="10"/>
      <c r="D194" s="10"/>
      <c r="F194" s="17"/>
      <c r="G194" s="17"/>
    </row>
    <row r="195" spans="1:7" ht="15" customHeight="1" x14ac:dyDescent="0.25">
      <c r="A195" s="10"/>
      <c r="B195" s="10"/>
      <c r="C195" s="10"/>
      <c r="D195" s="10"/>
      <c r="F195" s="17"/>
      <c r="G195" s="17"/>
    </row>
    <row r="196" spans="1:7" ht="15" customHeight="1" x14ac:dyDescent="0.25">
      <c r="A196" s="10"/>
      <c r="B196" s="10"/>
      <c r="C196" s="10"/>
      <c r="D196" s="10"/>
      <c r="F196" s="17"/>
      <c r="G196" s="17"/>
    </row>
    <row r="197" spans="1:7" ht="15" customHeight="1" x14ac:dyDescent="0.25">
      <c r="A197" s="10"/>
      <c r="B197" s="10"/>
      <c r="C197" s="10"/>
      <c r="D197" s="10"/>
      <c r="F197" s="17"/>
      <c r="G197" s="17"/>
    </row>
    <row r="198" spans="1:7" ht="15" customHeight="1" x14ac:dyDescent="0.25">
      <c r="A198" s="10"/>
      <c r="B198" s="10"/>
      <c r="C198" s="10"/>
      <c r="D198" s="10"/>
      <c r="F198" s="17"/>
      <c r="G198" s="17"/>
    </row>
    <row r="199" spans="1:7" ht="15" customHeight="1" x14ac:dyDescent="0.25">
      <c r="A199" s="10"/>
      <c r="B199" s="10"/>
      <c r="C199" s="10"/>
      <c r="D199" s="10"/>
      <c r="F199" s="17"/>
      <c r="G199" s="17"/>
    </row>
    <row r="200" spans="1:7" ht="15" customHeight="1" x14ac:dyDescent="0.25">
      <c r="A200" s="10"/>
      <c r="B200" s="10"/>
      <c r="C200" s="10"/>
      <c r="D200" s="10"/>
      <c r="F200" s="17"/>
      <c r="G200" s="17"/>
    </row>
    <row r="201" spans="1:7" ht="15" customHeight="1" x14ac:dyDescent="0.25">
      <c r="A201" s="10"/>
      <c r="B201" s="10"/>
      <c r="C201" s="10"/>
      <c r="D201" s="10"/>
      <c r="F201" s="17"/>
      <c r="G201" s="17"/>
    </row>
    <row r="202" spans="1:7" ht="15" customHeight="1" x14ac:dyDescent="0.25">
      <c r="A202" s="4"/>
      <c r="B202" s="4"/>
      <c r="C202" s="4"/>
      <c r="D202" s="4"/>
    </row>
    <row r="203" spans="1:7" ht="15" customHeight="1" x14ac:dyDescent="0.25">
      <c r="A203" s="4"/>
      <c r="B203" s="4"/>
      <c r="C203" s="4"/>
      <c r="D203" s="4"/>
    </row>
    <row r="204" spans="1:7" ht="15" customHeight="1" x14ac:dyDescent="0.25">
      <c r="A204" s="4"/>
      <c r="B204" s="4"/>
      <c r="C204" s="4"/>
      <c r="D204" s="4"/>
    </row>
    <row r="205" spans="1:7" ht="15" customHeight="1" x14ac:dyDescent="0.25">
      <c r="A205" s="4"/>
      <c r="B205" s="4"/>
      <c r="C205" s="4"/>
      <c r="D205" s="4"/>
    </row>
    <row r="206" spans="1:7" ht="15" customHeight="1" x14ac:dyDescent="0.25">
      <c r="A206" s="4"/>
      <c r="B206" s="4"/>
      <c r="C206" s="4"/>
      <c r="D206" s="4"/>
    </row>
    <row r="207" spans="1:7" ht="15" customHeight="1" x14ac:dyDescent="0.25">
      <c r="A207" s="4"/>
      <c r="B207" s="4"/>
      <c r="C207" s="4"/>
      <c r="D207" s="4"/>
    </row>
    <row r="208" spans="1:7" ht="15" customHeight="1" x14ac:dyDescent="0.25">
      <c r="A208" s="4"/>
      <c r="B208" s="4"/>
      <c r="C208" s="4"/>
      <c r="D208" s="4"/>
    </row>
    <row r="209" spans="1:4" ht="15" customHeight="1" x14ac:dyDescent="0.25">
      <c r="A209" s="4"/>
      <c r="B209" s="4"/>
      <c r="C209" s="4"/>
      <c r="D209" s="4"/>
    </row>
    <row r="210" spans="1:4" ht="15" customHeight="1" x14ac:dyDescent="0.25">
      <c r="A210" s="4"/>
      <c r="B210" s="4"/>
      <c r="C210" s="4"/>
      <c r="D210" s="4"/>
    </row>
    <row r="211" spans="1:4" ht="15" customHeight="1" x14ac:dyDescent="0.25">
      <c r="A211" s="4"/>
      <c r="B211" s="4"/>
      <c r="C211" s="4"/>
      <c r="D211" s="4"/>
    </row>
    <row r="212" spans="1:4" ht="15" customHeight="1" x14ac:dyDescent="0.25">
      <c r="A212" s="4"/>
      <c r="B212" s="4"/>
      <c r="C212" s="4"/>
      <c r="D212" s="4"/>
    </row>
    <row r="213" spans="1:4" ht="15" customHeight="1" x14ac:dyDescent="0.25">
      <c r="A213" s="4"/>
      <c r="B213" s="4"/>
      <c r="C213" s="4"/>
      <c r="D213" s="4"/>
    </row>
    <row r="214" spans="1:4" ht="15" customHeight="1" x14ac:dyDescent="0.25">
      <c r="A214" s="4"/>
      <c r="B214" s="4"/>
      <c r="C214" s="4"/>
      <c r="D214" s="4"/>
    </row>
    <row r="215" spans="1:4" ht="15" customHeight="1" x14ac:dyDescent="0.25">
      <c r="A215" s="4"/>
      <c r="B215" s="4"/>
      <c r="C215" s="4"/>
      <c r="D215" s="4"/>
    </row>
    <row r="216" spans="1:4" ht="15" customHeight="1" x14ac:dyDescent="0.25">
      <c r="A216" s="4"/>
      <c r="B216" s="4"/>
      <c r="C216" s="4"/>
      <c r="D216" s="4"/>
    </row>
    <row r="217" spans="1:4" ht="15" customHeight="1" x14ac:dyDescent="0.25">
      <c r="A217" s="4"/>
      <c r="B217" s="4"/>
      <c r="C217" s="4"/>
      <c r="D217" s="4"/>
    </row>
    <row r="218" spans="1:4" ht="15" customHeight="1" x14ac:dyDescent="0.25">
      <c r="A218" s="4"/>
      <c r="B218" s="4"/>
      <c r="C218" s="4"/>
      <c r="D218" s="4"/>
    </row>
    <row r="219" spans="1:4" ht="15" customHeight="1" x14ac:dyDescent="0.25">
      <c r="A219" s="4"/>
      <c r="B219" s="4"/>
      <c r="C219" s="4"/>
      <c r="D219" s="4"/>
    </row>
    <row r="220" spans="1:4" ht="15" customHeight="1" x14ac:dyDescent="0.25">
      <c r="A220" s="4"/>
      <c r="B220" s="4"/>
      <c r="C220" s="4"/>
      <c r="D220" s="4"/>
    </row>
    <row r="221" spans="1:4" ht="15" customHeight="1" x14ac:dyDescent="0.25">
      <c r="A221" s="4"/>
      <c r="B221" s="4"/>
      <c r="C221" s="4"/>
      <c r="D221" s="4"/>
    </row>
    <row r="222" spans="1:4" ht="15" customHeight="1" x14ac:dyDescent="0.25">
      <c r="A222" s="4"/>
      <c r="B222" s="4"/>
      <c r="C222" s="4"/>
      <c r="D222" s="4"/>
    </row>
    <row r="223" spans="1:4" ht="15" customHeight="1" x14ac:dyDescent="0.25">
      <c r="A223" s="4"/>
      <c r="B223" s="4"/>
      <c r="C223" s="4"/>
      <c r="D223" s="4"/>
    </row>
    <row r="224" spans="1:4" ht="15" customHeight="1" x14ac:dyDescent="0.25">
      <c r="A224" s="4"/>
      <c r="B224" s="4"/>
      <c r="C224" s="4"/>
      <c r="D224" s="4"/>
    </row>
    <row r="225" spans="1:4" ht="15" customHeight="1" x14ac:dyDescent="0.25">
      <c r="A225" s="4"/>
      <c r="B225" s="4"/>
      <c r="C225" s="4"/>
      <c r="D225" s="4"/>
    </row>
    <row r="226" spans="1:4" ht="15" customHeight="1" x14ac:dyDescent="0.25">
      <c r="A226" s="4"/>
      <c r="B226" s="4"/>
      <c r="C226" s="4"/>
      <c r="D226" s="4"/>
    </row>
    <row r="227" spans="1:4" ht="15" customHeight="1" x14ac:dyDescent="0.25">
      <c r="A227" s="4"/>
      <c r="B227" s="4"/>
      <c r="C227" s="4"/>
      <c r="D227" s="4"/>
    </row>
    <row r="228" spans="1:4" ht="15" customHeight="1" x14ac:dyDescent="0.25">
      <c r="A228" s="4"/>
      <c r="B228" s="4"/>
      <c r="C228" s="4"/>
      <c r="D228" s="4"/>
    </row>
    <row r="229" spans="1:4" ht="15" customHeight="1" x14ac:dyDescent="0.25">
      <c r="A229" s="4"/>
      <c r="B229" s="4"/>
      <c r="C229" s="4"/>
      <c r="D229" s="4"/>
    </row>
    <row r="230" spans="1:4" ht="15" customHeight="1" x14ac:dyDescent="0.25">
      <c r="A230" s="4"/>
      <c r="B230" s="4"/>
      <c r="C230" s="4"/>
      <c r="D230" s="4"/>
    </row>
    <row r="231" spans="1:4" ht="15" customHeight="1" x14ac:dyDescent="0.25">
      <c r="A231" s="4"/>
      <c r="B231" s="4"/>
      <c r="C231" s="4"/>
      <c r="D231" s="4"/>
    </row>
    <row r="232" spans="1:4" ht="15" customHeight="1" x14ac:dyDescent="0.25">
      <c r="A232" s="4"/>
      <c r="B232" s="4"/>
      <c r="C232" s="4"/>
      <c r="D232" s="4"/>
    </row>
    <row r="233" spans="1:4" ht="15" customHeight="1" x14ac:dyDescent="0.25">
      <c r="A233" s="4"/>
      <c r="B233" s="4"/>
      <c r="C233" s="4"/>
      <c r="D233" s="4"/>
    </row>
    <row r="234" spans="1:4" ht="15" customHeight="1" x14ac:dyDescent="0.25">
      <c r="A234" s="4"/>
      <c r="B234" s="4"/>
      <c r="C234" s="4"/>
      <c r="D234" s="4"/>
    </row>
    <row r="235" spans="1:4" ht="15" customHeight="1" x14ac:dyDescent="0.25">
      <c r="A235" s="4"/>
      <c r="B235" s="4"/>
      <c r="C235" s="4"/>
      <c r="D235" s="4"/>
    </row>
    <row r="236" spans="1:4" ht="15" customHeight="1" x14ac:dyDescent="0.25">
      <c r="A236" s="4"/>
      <c r="B236" s="4"/>
      <c r="C236" s="4"/>
      <c r="D236" s="4"/>
    </row>
    <row r="237" spans="1:4" ht="15" customHeight="1" x14ac:dyDescent="0.25">
      <c r="A237" s="4"/>
      <c r="B237" s="4"/>
      <c r="C237" s="4"/>
      <c r="D237" s="4"/>
    </row>
    <row r="238" spans="1:4" ht="15" customHeight="1" x14ac:dyDescent="0.25">
      <c r="A238" s="4"/>
      <c r="B238" s="4"/>
      <c r="C238" s="4"/>
      <c r="D238" s="4"/>
    </row>
    <row r="239" spans="1:4" ht="15" customHeight="1" x14ac:dyDescent="0.25">
      <c r="A239" s="4"/>
      <c r="B239" s="4"/>
      <c r="C239" s="4"/>
      <c r="D239" s="4"/>
    </row>
    <row r="240" spans="1:4" ht="15" customHeight="1" x14ac:dyDescent="0.25">
      <c r="A240" s="4"/>
      <c r="B240" s="4"/>
      <c r="C240" s="4"/>
      <c r="D240" s="4"/>
    </row>
    <row r="241" spans="1:4" ht="15" customHeight="1" x14ac:dyDescent="0.25">
      <c r="A241" s="4"/>
      <c r="B241" s="4"/>
      <c r="C241" s="4"/>
      <c r="D241" s="4"/>
    </row>
    <row r="242" spans="1:4" ht="15" customHeight="1" x14ac:dyDescent="0.25">
      <c r="A242" s="4"/>
      <c r="B242" s="4"/>
      <c r="C242" s="4"/>
      <c r="D242" s="4"/>
    </row>
    <row r="243" spans="1:4" ht="15" customHeight="1" x14ac:dyDescent="0.25">
      <c r="A243" s="4"/>
      <c r="B243" s="4"/>
      <c r="C243" s="4"/>
      <c r="D243" s="4"/>
    </row>
    <row r="244" spans="1:4" ht="15" customHeight="1" x14ac:dyDescent="0.25">
      <c r="A244" s="4"/>
      <c r="B244" s="4"/>
      <c r="C244" s="4"/>
      <c r="D244" s="4"/>
    </row>
    <row r="245" spans="1:4" ht="15" customHeight="1" x14ac:dyDescent="0.25">
      <c r="A245" s="4"/>
      <c r="B245" s="4"/>
      <c r="C245" s="4"/>
      <c r="D245" s="4"/>
    </row>
    <row r="246" spans="1:4" ht="15" customHeight="1" x14ac:dyDescent="0.25">
      <c r="A246" s="4"/>
      <c r="B246" s="4"/>
      <c r="C246" s="4"/>
      <c r="D246" s="4"/>
    </row>
    <row r="247" spans="1:4" ht="15" customHeight="1" x14ac:dyDescent="0.25">
      <c r="A247" s="4"/>
      <c r="B247" s="4"/>
      <c r="C247" s="4"/>
      <c r="D247" s="4"/>
    </row>
    <row r="248" spans="1:4" ht="15" customHeight="1" x14ac:dyDescent="0.25">
      <c r="A248" s="4"/>
      <c r="B248" s="4"/>
      <c r="C248" s="4"/>
      <c r="D248" s="4"/>
    </row>
    <row r="249" spans="1:4" ht="15" customHeight="1" x14ac:dyDescent="0.25">
      <c r="A249" s="4"/>
      <c r="B249" s="4"/>
      <c r="C249" s="4"/>
      <c r="D249" s="4"/>
    </row>
    <row r="250" spans="1:4" ht="15" customHeight="1" x14ac:dyDescent="0.25">
      <c r="A250" s="4"/>
      <c r="B250" s="4"/>
      <c r="C250" s="4"/>
      <c r="D250" s="4"/>
    </row>
    <row r="251" spans="1:4" ht="15" customHeight="1" x14ac:dyDescent="0.25">
      <c r="A251" s="4"/>
      <c r="B251" s="4"/>
      <c r="C251" s="4"/>
      <c r="D251" s="4"/>
    </row>
    <row r="252" spans="1:4" ht="15" customHeight="1" x14ac:dyDescent="0.25">
      <c r="A252" s="4"/>
      <c r="B252" s="4"/>
      <c r="C252" s="4"/>
      <c r="D252" s="4"/>
    </row>
    <row r="253" spans="1:4" ht="15" customHeight="1" x14ac:dyDescent="0.25">
      <c r="A253" s="4"/>
      <c r="B253" s="4"/>
      <c r="C253" s="4"/>
      <c r="D253" s="4"/>
    </row>
    <row r="254" spans="1:4" ht="15" customHeight="1" x14ac:dyDescent="0.25">
      <c r="A254" s="4"/>
      <c r="B254" s="4"/>
      <c r="C254" s="4"/>
      <c r="D254" s="4"/>
    </row>
    <row r="255" spans="1:4" ht="15" customHeight="1" x14ac:dyDescent="0.25">
      <c r="A255" s="4"/>
      <c r="B255" s="4"/>
      <c r="C255" s="4"/>
      <c r="D255" s="4"/>
    </row>
    <row r="256" spans="1:4" ht="15" customHeight="1" x14ac:dyDescent="0.25">
      <c r="A256" s="4"/>
      <c r="B256" s="4"/>
      <c r="C256" s="4"/>
      <c r="D256" s="4"/>
    </row>
    <row r="257" spans="1:4" ht="15" customHeight="1" x14ac:dyDescent="0.25">
      <c r="A257" s="4"/>
      <c r="B257" s="4"/>
      <c r="C257" s="4"/>
      <c r="D257" s="4"/>
    </row>
    <row r="258" spans="1:4" ht="15" customHeight="1" x14ac:dyDescent="0.25">
      <c r="A258" s="4"/>
      <c r="B258" s="4"/>
      <c r="C258" s="4"/>
      <c r="D258" s="4"/>
    </row>
    <row r="259" spans="1:4" ht="15" customHeight="1" x14ac:dyDescent="0.25">
      <c r="A259" s="4"/>
      <c r="B259" s="4"/>
      <c r="C259" s="4"/>
      <c r="D259" s="4"/>
    </row>
    <row r="260" spans="1:4" ht="15" customHeight="1" x14ac:dyDescent="0.25">
      <c r="A260" s="4"/>
      <c r="B260" s="4"/>
      <c r="C260" s="4"/>
      <c r="D260" s="4"/>
    </row>
    <row r="261" spans="1:4" ht="15" customHeight="1" x14ac:dyDescent="0.25">
      <c r="A261" s="4"/>
      <c r="B261" s="4"/>
      <c r="C261" s="4"/>
      <c r="D261" s="4"/>
    </row>
    <row r="262" spans="1:4" ht="15" customHeight="1" x14ac:dyDescent="0.25">
      <c r="A262" s="4"/>
      <c r="B262" s="4"/>
      <c r="C262" s="4"/>
      <c r="D262" s="4"/>
    </row>
    <row r="263" spans="1:4" ht="15" customHeight="1" x14ac:dyDescent="0.25">
      <c r="A263" s="4"/>
      <c r="B263" s="4"/>
      <c r="C263" s="4"/>
      <c r="D263" s="4"/>
    </row>
    <row r="264" spans="1:4" ht="15" customHeight="1" x14ac:dyDescent="0.25">
      <c r="A264" s="4"/>
      <c r="B264" s="4"/>
      <c r="C264" s="4"/>
      <c r="D264" s="4"/>
    </row>
    <row r="265" spans="1:4" ht="15" customHeight="1" x14ac:dyDescent="0.25">
      <c r="A265" s="4"/>
      <c r="B265" s="4"/>
      <c r="C265" s="4"/>
      <c r="D265" s="4"/>
    </row>
    <row r="266" spans="1:4" ht="15" customHeight="1" x14ac:dyDescent="0.25">
      <c r="A266" s="4"/>
      <c r="B266" s="4"/>
      <c r="C266" s="4"/>
      <c r="D266" s="4"/>
    </row>
    <row r="267" spans="1:4" ht="15" customHeight="1" x14ac:dyDescent="0.25">
      <c r="A267" s="4"/>
      <c r="B267" s="4"/>
      <c r="C267" s="4"/>
      <c r="D267" s="4"/>
    </row>
    <row r="268" spans="1:4" ht="15" customHeight="1" x14ac:dyDescent="0.25">
      <c r="A268" s="4"/>
      <c r="B268" s="4"/>
      <c r="C268" s="4"/>
      <c r="D268" s="4"/>
    </row>
    <row r="269" spans="1:4" ht="15" customHeight="1" x14ac:dyDescent="0.25">
      <c r="A269" s="4"/>
      <c r="B269" s="4"/>
      <c r="C269" s="4"/>
      <c r="D269" s="4"/>
    </row>
    <row r="270" spans="1:4" ht="15" customHeight="1" x14ac:dyDescent="0.25">
      <c r="A270" s="4"/>
      <c r="B270" s="4"/>
      <c r="C270" s="4"/>
      <c r="D270" s="4"/>
    </row>
    <row r="271" spans="1:4" ht="15" customHeight="1" x14ac:dyDescent="0.25">
      <c r="A271" s="4"/>
      <c r="B271" s="4"/>
      <c r="C271" s="4"/>
      <c r="D271" s="4"/>
    </row>
    <row r="272" spans="1:4" ht="15" customHeight="1" x14ac:dyDescent="0.25">
      <c r="A272" s="4"/>
      <c r="B272" s="4"/>
      <c r="C272" s="4"/>
      <c r="D272" s="4"/>
    </row>
    <row r="273" spans="1:4" ht="15" customHeight="1" x14ac:dyDescent="0.25">
      <c r="A273" s="4"/>
      <c r="B273" s="4"/>
      <c r="C273" s="4"/>
      <c r="D273" s="4"/>
    </row>
    <row r="274" spans="1:4" ht="15" customHeight="1" x14ac:dyDescent="0.25">
      <c r="A274" s="4"/>
      <c r="B274" s="4"/>
      <c r="C274" s="4"/>
      <c r="D274" s="4"/>
    </row>
    <row r="275" spans="1:4" ht="15" customHeight="1" x14ac:dyDescent="0.25">
      <c r="A275" s="4"/>
      <c r="B275" s="4"/>
      <c r="C275" s="4"/>
      <c r="D275" s="4"/>
    </row>
    <row r="276" spans="1:4" ht="15" customHeight="1" x14ac:dyDescent="0.25">
      <c r="A276" s="4"/>
      <c r="B276" s="4"/>
      <c r="C276" s="4"/>
      <c r="D276" s="4"/>
    </row>
    <row r="277" spans="1:4" ht="15" customHeight="1" x14ac:dyDescent="0.25">
      <c r="A277" s="4"/>
      <c r="B277" s="4"/>
      <c r="C277" s="4"/>
      <c r="D277" s="4"/>
    </row>
    <row r="278" spans="1:4" ht="15" customHeight="1" x14ac:dyDescent="0.25">
      <c r="A278" s="4"/>
      <c r="B278" s="4"/>
      <c r="C278" s="4"/>
      <c r="D278" s="4"/>
    </row>
    <row r="279" spans="1:4" ht="15" customHeight="1" x14ac:dyDescent="0.25">
      <c r="A279" s="4"/>
      <c r="B279" s="4"/>
      <c r="C279" s="4"/>
      <c r="D279" s="4"/>
    </row>
    <row r="280" spans="1:4" ht="15" customHeight="1" x14ac:dyDescent="0.25">
      <c r="A280" s="4"/>
      <c r="B280" s="4"/>
      <c r="C280" s="4"/>
      <c r="D280" s="4"/>
    </row>
    <row r="281" spans="1:4" ht="15" customHeight="1" x14ac:dyDescent="0.25">
      <c r="A281" s="4"/>
      <c r="B281" s="4"/>
      <c r="C281" s="4"/>
      <c r="D281" s="4"/>
    </row>
    <row r="282" spans="1:4" ht="15" customHeight="1" x14ac:dyDescent="0.25">
      <c r="A282" s="4"/>
      <c r="B282" s="4"/>
      <c r="C282" s="4"/>
      <c r="D282" s="4"/>
    </row>
    <row r="283" spans="1:4" ht="15" customHeight="1" x14ac:dyDescent="0.25">
      <c r="A283" s="4"/>
      <c r="B283" s="4"/>
      <c r="C283" s="4"/>
      <c r="D283" s="4"/>
    </row>
    <row r="284" spans="1:4" ht="15" customHeight="1" x14ac:dyDescent="0.25">
      <c r="A284" s="4"/>
      <c r="B284" s="4"/>
      <c r="C284" s="4"/>
      <c r="D284" s="4"/>
    </row>
    <row r="285" spans="1:4" ht="15" customHeight="1" x14ac:dyDescent="0.25">
      <c r="A285" s="4"/>
      <c r="B285" s="4"/>
      <c r="C285" s="4"/>
      <c r="D285" s="4"/>
    </row>
    <row r="286" spans="1:4" ht="15" customHeight="1" x14ac:dyDescent="0.25">
      <c r="A286" s="4"/>
      <c r="B286" s="4"/>
      <c r="C286" s="4"/>
      <c r="D286" s="4"/>
    </row>
    <row r="287" spans="1:4" ht="15" customHeight="1" x14ac:dyDescent="0.25">
      <c r="A287" s="4"/>
      <c r="B287" s="4"/>
      <c r="C287" s="4"/>
      <c r="D287" s="4"/>
    </row>
    <row r="288" spans="1:4" ht="15" customHeight="1" x14ac:dyDescent="0.25">
      <c r="A288" s="4"/>
      <c r="B288" s="4"/>
      <c r="C288" s="4"/>
      <c r="D288" s="4"/>
    </row>
    <row r="289" spans="1:4" ht="15" customHeight="1" x14ac:dyDescent="0.25">
      <c r="A289" s="4"/>
      <c r="B289" s="4"/>
      <c r="C289" s="4"/>
      <c r="D289" s="4"/>
    </row>
    <row r="290" spans="1:4" ht="15" customHeight="1" x14ac:dyDescent="0.25">
      <c r="A290" s="4"/>
      <c r="B290" s="4"/>
      <c r="C290" s="4"/>
      <c r="D290" s="4"/>
    </row>
    <row r="291" spans="1:4" ht="15" customHeight="1" x14ac:dyDescent="0.25">
      <c r="A291" s="4"/>
      <c r="B291" s="4"/>
      <c r="C291" s="4"/>
      <c r="D291" s="4"/>
    </row>
    <row r="292" spans="1:4" ht="15" customHeight="1" x14ac:dyDescent="0.25">
      <c r="A292" s="4"/>
      <c r="B292" s="4"/>
      <c r="C292" s="4"/>
      <c r="D292" s="4"/>
    </row>
    <row r="293" spans="1:4" ht="15" customHeight="1" x14ac:dyDescent="0.25">
      <c r="A293" s="4"/>
      <c r="B293" s="4"/>
      <c r="C293" s="4"/>
      <c r="D293" s="4"/>
    </row>
    <row r="294" spans="1:4" ht="15" customHeight="1" x14ac:dyDescent="0.25">
      <c r="A294" s="4"/>
      <c r="B294" s="4"/>
      <c r="C294" s="4"/>
      <c r="D294" s="4"/>
    </row>
    <row r="295" spans="1:4" ht="15" customHeight="1" x14ac:dyDescent="0.25">
      <c r="A295" s="4"/>
      <c r="B295" s="4"/>
      <c r="C295" s="4"/>
      <c r="D295" s="4"/>
    </row>
    <row r="296" spans="1:4" ht="15" customHeight="1" x14ac:dyDescent="0.25">
      <c r="A296" s="4"/>
      <c r="B296" s="4"/>
      <c r="C296" s="4"/>
      <c r="D296" s="4"/>
    </row>
    <row r="297" spans="1:4" ht="15" customHeight="1" x14ac:dyDescent="0.25">
      <c r="A297" s="4"/>
      <c r="B297" s="4"/>
      <c r="C297" s="4"/>
      <c r="D297" s="4"/>
    </row>
    <row r="298" spans="1:4" ht="15" customHeight="1" x14ac:dyDescent="0.25">
      <c r="A298" s="4"/>
      <c r="B298" s="4"/>
      <c r="C298" s="4"/>
      <c r="D298" s="4"/>
    </row>
    <row r="299" spans="1:4" ht="15" customHeight="1" x14ac:dyDescent="0.25">
      <c r="A299" s="4"/>
      <c r="B299" s="4"/>
      <c r="C299" s="4"/>
      <c r="D299" s="4"/>
    </row>
    <row r="300" spans="1:4" ht="15" customHeight="1" x14ac:dyDescent="0.25">
      <c r="A300" s="4"/>
      <c r="B300" s="4"/>
      <c r="C300" s="4"/>
      <c r="D300" s="4"/>
    </row>
    <row r="301" spans="1:4" ht="15" customHeight="1" x14ac:dyDescent="0.25">
      <c r="A301" s="4"/>
      <c r="B301" s="4"/>
      <c r="C301" s="4"/>
      <c r="D301" s="4"/>
    </row>
    <row r="302" spans="1:4" ht="15" customHeight="1" x14ac:dyDescent="0.25">
      <c r="A302" s="4"/>
      <c r="B302" s="4"/>
      <c r="C302" s="4"/>
      <c r="D302" s="4"/>
    </row>
    <row r="303" spans="1:4" ht="15" customHeight="1" x14ac:dyDescent="0.25">
      <c r="A303" s="4"/>
      <c r="B303" s="4"/>
      <c r="C303" s="4"/>
      <c r="D303" s="4"/>
    </row>
    <row r="304" spans="1:4" ht="15" customHeight="1" x14ac:dyDescent="0.25">
      <c r="A304" s="4"/>
      <c r="B304" s="4"/>
      <c r="C304" s="4"/>
      <c r="D304" s="4"/>
    </row>
    <row r="305" spans="1:4" ht="15" customHeight="1" x14ac:dyDescent="0.25">
      <c r="A305" s="4"/>
      <c r="B305" s="4"/>
      <c r="C305" s="4"/>
      <c r="D305" s="4"/>
    </row>
    <row r="306" spans="1:4" ht="15" customHeight="1" x14ac:dyDescent="0.25">
      <c r="A306" s="4"/>
      <c r="B306" s="4"/>
      <c r="C306" s="4"/>
      <c r="D306" s="4"/>
    </row>
    <row r="307" spans="1:4" ht="15" customHeight="1" x14ac:dyDescent="0.25">
      <c r="A307" s="4"/>
      <c r="B307" s="4"/>
      <c r="C307" s="4"/>
      <c r="D307" s="4"/>
    </row>
    <row r="308" spans="1:4" ht="15" customHeight="1" x14ac:dyDescent="0.25">
      <c r="A308" s="4"/>
      <c r="B308" s="4"/>
      <c r="C308" s="4"/>
      <c r="D308" s="4"/>
    </row>
    <row r="309" spans="1:4" ht="15" customHeight="1" x14ac:dyDescent="0.25">
      <c r="A309" s="4"/>
      <c r="B309" s="4"/>
      <c r="C309" s="4"/>
      <c r="D309" s="4"/>
    </row>
    <row r="310" spans="1:4" ht="15" customHeight="1" x14ac:dyDescent="0.25">
      <c r="A310" s="4"/>
      <c r="B310" s="4"/>
      <c r="C310" s="4"/>
      <c r="D310" s="4"/>
    </row>
    <row r="311" spans="1:4" ht="15" customHeight="1" x14ac:dyDescent="0.25">
      <c r="A311" s="4"/>
      <c r="B311" s="4"/>
      <c r="C311" s="4"/>
      <c r="D311" s="4"/>
    </row>
    <row r="312" spans="1:4" ht="15" customHeight="1" x14ac:dyDescent="0.25">
      <c r="A312" s="4"/>
      <c r="B312" s="4"/>
      <c r="C312" s="4"/>
      <c r="D312" s="4"/>
    </row>
    <row r="313" spans="1:4" ht="15" customHeight="1" x14ac:dyDescent="0.25">
      <c r="A313" s="4"/>
      <c r="B313" s="4"/>
      <c r="C313" s="4"/>
      <c r="D313" s="4"/>
    </row>
    <row r="314" spans="1:4" ht="15" customHeight="1" x14ac:dyDescent="0.25">
      <c r="A314" s="4"/>
      <c r="B314" s="4"/>
      <c r="C314" s="4"/>
      <c r="D314" s="4"/>
    </row>
    <row r="315" spans="1:4" ht="15" customHeight="1" x14ac:dyDescent="0.25">
      <c r="A315" s="4"/>
      <c r="B315" s="4"/>
      <c r="C315" s="4"/>
      <c r="D315" s="4"/>
    </row>
    <row r="316" spans="1:4" ht="15" customHeight="1" x14ac:dyDescent="0.25">
      <c r="A316" s="4"/>
      <c r="B316" s="4"/>
      <c r="C316" s="4"/>
      <c r="D316" s="4"/>
    </row>
    <row r="317" spans="1:4" ht="15" customHeight="1" x14ac:dyDescent="0.25">
      <c r="A317" s="4"/>
      <c r="B317" s="4"/>
      <c r="C317" s="4"/>
      <c r="D317" s="4"/>
    </row>
    <row r="318" spans="1:4" ht="15" customHeight="1" x14ac:dyDescent="0.25">
      <c r="A318" s="4"/>
      <c r="B318" s="4"/>
      <c r="C318" s="4"/>
      <c r="D318" s="4"/>
    </row>
    <row r="319" spans="1:4" ht="15" customHeight="1" x14ac:dyDescent="0.25">
      <c r="A319" s="4"/>
      <c r="B319" s="4"/>
      <c r="C319" s="4"/>
      <c r="D319" s="4"/>
    </row>
    <row r="320" spans="1:4" ht="15" customHeight="1" x14ac:dyDescent="0.25">
      <c r="A320" s="4"/>
      <c r="B320" s="4"/>
      <c r="C320" s="4"/>
      <c r="D320" s="4"/>
    </row>
    <row r="321" spans="1:4" ht="15" customHeight="1" x14ac:dyDescent="0.25">
      <c r="A321" s="4"/>
      <c r="B321" s="4"/>
      <c r="C321" s="4"/>
      <c r="D321" s="4"/>
    </row>
    <row r="322" spans="1:4" ht="15" customHeight="1" x14ac:dyDescent="0.25">
      <c r="A322" s="4"/>
      <c r="B322" s="4"/>
      <c r="C322" s="4"/>
      <c r="D322" s="4"/>
    </row>
    <row r="323" spans="1:4" ht="15" customHeight="1" x14ac:dyDescent="0.25">
      <c r="A323" s="4"/>
      <c r="B323" s="4"/>
      <c r="C323" s="4"/>
      <c r="D323" s="4"/>
    </row>
    <row r="324" spans="1:4" ht="15" customHeight="1" x14ac:dyDescent="0.25">
      <c r="A324" s="4"/>
      <c r="B324" s="4"/>
      <c r="C324" s="4"/>
      <c r="D324" s="4"/>
    </row>
    <row r="325" spans="1:4" ht="15" customHeight="1" x14ac:dyDescent="0.25">
      <c r="A325" s="4"/>
      <c r="B325" s="4"/>
      <c r="C325" s="4"/>
      <c r="D325" s="4"/>
    </row>
    <row r="326" spans="1:4" ht="15" customHeight="1" x14ac:dyDescent="0.25">
      <c r="A326" s="4"/>
      <c r="B326" s="4"/>
      <c r="C326" s="4"/>
      <c r="D326" s="4"/>
    </row>
    <row r="327" spans="1:4" ht="15" customHeight="1" x14ac:dyDescent="0.25">
      <c r="A327" s="4"/>
      <c r="B327" s="4"/>
      <c r="C327" s="4"/>
      <c r="D327" s="4"/>
    </row>
    <row r="328" spans="1:4" ht="15" customHeight="1" x14ac:dyDescent="0.25">
      <c r="A328" s="4"/>
      <c r="B328" s="4"/>
      <c r="C328" s="4"/>
      <c r="D328" s="4"/>
    </row>
    <row r="329" spans="1:4" ht="15" customHeight="1" x14ac:dyDescent="0.25">
      <c r="A329" s="4"/>
      <c r="B329" s="4"/>
      <c r="C329" s="4"/>
      <c r="D329" s="4"/>
    </row>
    <row r="330" spans="1:4" ht="15" customHeight="1" x14ac:dyDescent="0.25">
      <c r="A330" s="4"/>
      <c r="B330" s="4"/>
      <c r="C330" s="4"/>
      <c r="D330" s="4"/>
    </row>
    <row r="331" spans="1:4" ht="15" customHeight="1" x14ac:dyDescent="0.25">
      <c r="A331" s="4"/>
      <c r="B331" s="4"/>
      <c r="C331" s="4"/>
      <c r="D331" s="4"/>
    </row>
    <row r="332" spans="1:4" ht="15" customHeight="1" x14ac:dyDescent="0.25">
      <c r="A332" s="4"/>
      <c r="B332" s="4"/>
      <c r="C332" s="4"/>
      <c r="D332" s="4"/>
    </row>
    <row r="333" spans="1:4" ht="15" customHeight="1" x14ac:dyDescent="0.25">
      <c r="A333" s="4"/>
      <c r="B333" s="4"/>
      <c r="C333" s="4"/>
      <c r="D333" s="4"/>
    </row>
    <row r="334" spans="1:4" ht="15" customHeight="1" x14ac:dyDescent="0.25">
      <c r="A334" s="4"/>
      <c r="B334" s="4"/>
      <c r="C334" s="4"/>
      <c r="D334" s="4"/>
    </row>
    <row r="335" spans="1:4" ht="15" customHeight="1" x14ac:dyDescent="0.25">
      <c r="A335" s="4"/>
      <c r="B335" s="4"/>
      <c r="C335" s="4"/>
      <c r="D335" s="4"/>
    </row>
    <row r="336" spans="1:4" ht="15" customHeight="1" x14ac:dyDescent="0.25">
      <c r="A336" s="4"/>
      <c r="B336" s="4"/>
      <c r="C336" s="4"/>
      <c r="D336" s="4"/>
    </row>
    <row r="337" spans="1:4" ht="15" customHeight="1" x14ac:dyDescent="0.25">
      <c r="A337" s="4"/>
      <c r="B337" s="4"/>
      <c r="C337" s="4"/>
      <c r="D337" s="4"/>
    </row>
    <row r="338" spans="1:4" ht="15" customHeight="1" x14ac:dyDescent="0.25">
      <c r="A338" s="4"/>
      <c r="B338" s="4"/>
      <c r="C338" s="4"/>
      <c r="D338" s="4"/>
    </row>
    <row r="339" spans="1:4" ht="15" customHeight="1" x14ac:dyDescent="0.25">
      <c r="A339" s="4"/>
      <c r="B339" s="4"/>
      <c r="C339" s="4"/>
      <c r="D339" s="4"/>
    </row>
    <row r="340" spans="1:4" ht="15" customHeight="1" x14ac:dyDescent="0.25">
      <c r="A340" s="4"/>
      <c r="B340" s="4"/>
      <c r="C340" s="4"/>
      <c r="D340" s="4"/>
    </row>
    <row r="341" spans="1:4" ht="15" customHeight="1" x14ac:dyDescent="0.25">
      <c r="A341" s="4"/>
      <c r="B341" s="4"/>
      <c r="C341" s="4"/>
      <c r="D341" s="4"/>
    </row>
    <row r="342" spans="1:4" ht="15" customHeight="1" x14ac:dyDescent="0.25">
      <c r="A342" s="4"/>
      <c r="B342" s="4"/>
      <c r="C342" s="4"/>
      <c r="D342" s="4"/>
    </row>
    <row r="343" spans="1:4" ht="15" customHeight="1" x14ac:dyDescent="0.25">
      <c r="A343" s="4"/>
      <c r="B343" s="4"/>
      <c r="C343" s="4"/>
      <c r="D343" s="4"/>
    </row>
    <row r="344" spans="1:4" ht="15" customHeight="1" x14ac:dyDescent="0.25">
      <c r="A344" s="4"/>
      <c r="B344" s="4"/>
      <c r="C344" s="4"/>
      <c r="D344" s="4"/>
    </row>
    <row r="345" spans="1:4" ht="15" customHeight="1" x14ac:dyDescent="0.25">
      <c r="A345" s="4"/>
      <c r="B345" s="4"/>
      <c r="C345" s="4"/>
      <c r="D345" s="4"/>
    </row>
    <row r="346" spans="1:4" ht="15" customHeight="1" x14ac:dyDescent="0.25">
      <c r="A346" s="4"/>
      <c r="B346" s="4"/>
      <c r="C346" s="4"/>
      <c r="D346" s="4"/>
    </row>
    <row r="347" spans="1:4" ht="15" customHeight="1" x14ac:dyDescent="0.25">
      <c r="A347" s="4"/>
      <c r="B347" s="4"/>
      <c r="C347" s="4"/>
      <c r="D347" s="4"/>
    </row>
    <row r="348" spans="1:4" ht="15" customHeight="1" x14ac:dyDescent="0.25">
      <c r="A348" s="4"/>
      <c r="B348" s="4"/>
      <c r="C348" s="4"/>
      <c r="D348" s="4"/>
    </row>
    <row r="349" spans="1:4" ht="15" customHeight="1" x14ac:dyDescent="0.25">
      <c r="A349" s="4"/>
      <c r="B349" s="4"/>
      <c r="C349" s="4"/>
      <c r="D349" s="4"/>
    </row>
    <row r="350" spans="1:4" ht="15" customHeight="1" x14ac:dyDescent="0.25">
      <c r="A350" s="4"/>
      <c r="B350" s="4"/>
      <c r="C350" s="4"/>
      <c r="D350" s="4"/>
    </row>
    <row r="351" spans="1:4" ht="15" customHeight="1" x14ac:dyDescent="0.25">
      <c r="A351" s="4"/>
      <c r="B351" s="4"/>
      <c r="C351" s="4"/>
      <c r="D351" s="4"/>
    </row>
    <row r="352" spans="1:4" ht="15" customHeight="1" x14ac:dyDescent="0.25">
      <c r="A352" s="4"/>
      <c r="B352" s="4"/>
      <c r="C352" s="4"/>
      <c r="D352" s="4"/>
    </row>
    <row r="353" spans="1:4" ht="15" customHeight="1" x14ac:dyDescent="0.25">
      <c r="A353" s="4"/>
      <c r="B353" s="4"/>
      <c r="C353" s="4"/>
      <c r="D353" s="4"/>
    </row>
    <row r="354" spans="1:4" ht="15" customHeight="1" x14ac:dyDescent="0.25">
      <c r="A354" s="4"/>
      <c r="B354" s="4"/>
      <c r="C354" s="4"/>
      <c r="D354" s="4"/>
    </row>
    <row r="355" spans="1:4" ht="15" customHeight="1" x14ac:dyDescent="0.25">
      <c r="A355" s="4"/>
      <c r="B355" s="4"/>
      <c r="C355" s="4"/>
      <c r="D355" s="4"/>
    </row>
    <row r="356" spans="1:4" ht="15" customHeight="1" x14ac:dyDescent="0.25">
      <c r="A356" s="4"/>
      <c r="B356" s="4"/>
      <c r="C356" s="4"/>
      <c r="D356" s="4"/>
    </row>
    <row r="357" spans="1:4" ht="15" customHeight="1" x14ac:dyDescent="0.25">
      <c r="A357" s="4"/>
      <c r="B357" s="4"/>
      <c r="C357" s="4"/>
      <c r="D357" s="4"/>
    </row>
    <row r="358" spans="1:4" ht="15" customHeight="1" x14ac:dyDescent="0.25">
      <c r="A358" s="4"/>
      <c r="B358" s="4"/>
      <c r="C358" s="4"/>
      <c r="D358" s="4"/>
    </row>
    <row r="359" spans="1:4" ht="15" customHeight="1" x14ac:dyDescent="0.25">
      <c r="A359" s="4"/>
      <c r="B359" s="4"/>
      <c r="C359" s="4"/>
      <c r="D359" s="4"/>
    </row>
    <row r="360" spans="1:4" ht="15" customHeight="1" x14ac:dyDescent="0.25">
      <c r="A360" s="4"/>
      <c r="B360" s="4"/>
      <c r="C360" s="4"/>
      <c r="D360" s="4"/>
    </row>
    <row r="361" spans="1:4" ht="15" customHeight="1" x14ac:dyDescent="0.25">
      <c r="A361" s="4"/>
      <c r="B361" s="4"/>
      <c r="C361" s="4"/>
      <c r="D361" s="4"/>
    </row>
    <row r="362" spans="1:4" ht="15" customHeight="1" x14ac:dyDescent="0.25">
      <c r="A362" s="4"/>
      <c r="B362" s="4"/>
      <c r="C362" s="4"/>
      <c r="D362" s="4"/>
    </row>
    <row r="363" spans="1:4" ht="15" customHeight="1" x14ac:dyDescent="0.25">
      <c r="A363" s="4"/>
      <c r="B363" s="4"/>
      <c r="C363" s="4"/>
      <c r="D363" s="4"/>
    </row>
    <row r="364" spans="1:4" ht="15" customHeight="1" x14ac:dyDescent="0.25">
      <c r="A364" s="4"/>
      <c r="B364" s="4"/>
      <c r="C364" s="4"/>
      <c r="D364" s="4"/>
    </row>
    <row r="365" spans="1:4" ht="15" customHeight="1" x14ac:dyDescent="0.25">
      <c r="A365" s="4"/>
      <c r="B365" s="4"/>
      <c r="C365" s="4"/>
      <c r="D365" s="4"/>
    </row>
    <row r="366" spans="1:4" ht="15" customHeight="1" x14ac:dyDescent="0.25">
      <c r="A366" s="4"/>
      <c r="B366" s="4"/>
      <c r="C366" s="4"/>
      <c r="D366" s="4"/>
    </row>
    <row r="367" spans="1:4" ht="15" customHeight="1" x14ac:dyDescent="0.25">
      <c r="A367" s="4"/>
      <c r="B367" s="4"/>
      <c r="C367" s="4"/>
      <c r="D367" s="4"/>
    </row>
    <row r="368" spans="1:4" ht="15" customHeight="1" x14ac:dyDescent="0.25">
      <c r="A368" s="4"/>
      <c r="B368" s="4"/>
      <c r="C368" s="4"/>
      <c r="D368" s="4"/>
    </row>
    <row r="369" spans="1:4" ht="15" customHeight="1" x14ac:dyDescent="0.25">
      <c r="A369" s="4"/>
      <c r="B369" s="4"/>
      <c r="C369" s="4"/>
      <c r="D369" s="4"/>
    </row>
    <row r="370" spans="1:4" ht="15" customHeight="1" x14ac:dyDescent="0.25">
      <c r="A370" s="4"/>
      <c r="B370" s="4"/>
      <c r="C370" s="4"/>
      <c r="D370" s="4"/>
    </row>
    <row r="371" spans="1:4" ht="15" customHeight="1" x14ac:dyDescent="0.25">
      <c r="A371" s="4"/>
      <c r="B371" s="4"/>
      <c r="C371" s="4"/>
      <c r="D371" s="4"/>
    </row>
    <row r="372" spans="1:4" ht="15" customHeight="1" x14ac:dyDescent="0.25">
      <c r="A372" s="4"/>
      <c r="B372" s="4"/>
      <c r="C372" s="4"/>
      <c r="D372" s="4"/>
    </row>
    <row r="373" spans="1:4" ht="15" customHeight="1" x14ac:dyDescent="0.25">
      <c r="A373" s="4"/>
      <c r="B373" s="4"/>
      <c r="C373" s="4"/>
      <c r="D373" s="4"/>
    </row>
    <row r="374" spans="1:4" ht="15" customHeight="1" x14ac:dyDescent="0.25">
      <c r="A374" s="4"/>
      <c r="B374" s="4"/>
      <c r="C374" s="4"/>
      <c r="D374" s="4"/>
    </row>
    <row r="375" spans="1:4" ht="15" customHeight="1" x14ac:dyDescent="0.25">
      <c r="A375" s="4"/>
      <c r="B375" s="4"/>
      <c r="C375" s="4"/>
      <c r="D375" s="4"/>
    </row>
    <row r="376" spans="1:4" ht="15" customHeight="1" x14ac:dyDescent="0.25">
      <c r="A376" s="4"/>
      <c r="B376" s="4"/>
      <c r="C376" s="4"/>
      <c r="D376" s="4"/>
    </row>
    <row r="377" spans="1:4" ht="15" customHeight="1" x14ac:dyDescent="0.25">
      <c r="A377" s="4"/>
      <c r="B377" s="4"/>
      <c r="C377" s="4"/>
      <c r="D377" s="4"/>
    </row>
    <row r="378" spans="1:4" ht="15" customHeight="1" x14ac:dyDescent="0.25">
      <c r="A378" s="4"/>
      <c r="B378" s="4"/>
      <c r="C378" s="4"/>
      <c r="D378" s="4"/>
    </row>
    <row r="379" spans="1:4" ht="15" customHeight="1" x14ac:dyDescent="0.25">
      <c r="A379" s="4"/>
      <c r="B379" s="4"/>
      <c r="C379" s="4"/>
      <c r="D379" s="4"/>
    </row>
    <row r="380" spans="1:4" ht="15" customHeight="1" x14ac:dyDescent="0.25">
      <c r="A380" s="4"/>
      <c r="B380" s="4"/>
      <c r="C380" s="4"/>
      <c r="D380" s="4"/>
    </row>
    <row r="381" spans="1:4" ht="15" customHeight="1" x14ac:dyDescent="0.25">
      <c r="A381" s="4"/>
      <c r="B381" s="4"/>
      <c r="C381" s="4"/>
      <c r="D381" s="4"/>
    </row>
    <row r="382" spans="1:4" ht="15" customHeight="1" x14ac:dyDescent="0.25">
      <c r="A382" s="4"/>
      <c r="B382" s="4"/>
      <c r="C382" s="4"/>
      <c r="D382" s="4"/>
    </row>
    <row r="383" spans="1:4" ht="15" customHeight="1" x14ac:dyDescent="0.25">
      <c r="A383" s="4"/>
      <c r="B383" s="4"/>
      <c r="C383" s="4"/>
      <c r="D383" s="4"/>
    </row>
    <row r="384" spans="1:4" ht="15" customHeight="1" x14ac:dyDescent="0.25">
      <c r="A384" s="4"/>
      <c r="B384" s="4"/>
      <c r="C384" s="4"/>
      <c r="D384" s="4"/>
    </row>
    <row r="385" spans="1:4" ht="15" customHeight="1" x14ac:dyDescent="0.25">
      <c r="A385" s="4"/>
      <c r="B385" s="4"/>
      <c r="C385" s="4"/>
      <c r="D385" s="4"/>
    </row>
    <row r="386" spans="1:4" ht="15" customHeight="1" x14ac:dyDescent="0.25">
      <c r="A386" s="4"/>
      <c r="B386" s="4"/>
      <c r="C386" s="4"/>
      <c r="D386" s="4"/>
    </row>
    <row r="387" spans="1:4" ht="15" customHeight="1" x14ac:dyDescent="0.25">
      <c r="A387" s="4"/>
      <c r="B387" s="4"/>
      <c r="C387" s="4"/>
      <c r="D387" s="4"/>
    </row>
    <row r="388" spans="1:4" ht="15" customHeight="1" x14ac:dyDescent="0.25">
      <c r="A388" s="4"/>
      <c r="B388" s="4"/>
      <c r="C388" s="4"/>
      <c r="D388" s="4"/>
    </row>
    <row r="389" spans="1:4" ht="15" customHeight="1" x14ac:dyDescent="0.25">
      <c r="A389" s="4"/>
      <c r="B389" s="4"/>
      <c r="C389" s="4"/>
      <c r="D389" s="4"/>
    </row>
    <row r="390" spans="1:4" ht="15" customHeight="1" x14ac:dyDescent="0.25">
      <c r="A390" s="4"/>
      <c r="B390" s="4"/>
      <c r="C390" s="4"/>
      <c r="D390" s="4"/>
    </row>
    <row r="391" spans="1:4" ht="15" customHeight="1" x14ac:dyDescent="0.25">
      <c r="A391" s="4"/>
      <c r="B391" s="4"/>
      <c r="C391" s="4"/>
      <c r="D391" s="4"/>
    </row>
    <row r="392" spans="1:4" ht="15" customHeight="1" x14ac:dyDescent="0.25">
      <c r="A392" s="4"/>
      <c r="B392" s="4"/>
      <c r="C392" s="4"/>
      <c r="D392" s="4"/>
    </row>
    <row r="393" spans="1:4" ht="15" customHeight="1" x14ac:dyDescent="0.25">
      <c r="A393" s="4"/>
      <c r="B393" s="4"/>
      <c r="C393" s="4"/>
      <c r="D393" s="4"/>
    </row>
    <row r="394" spans="1:4" ht="15" customHeight="1" x14ac:dyDescent="0.25">
      <c r="A394" s="4"/>
      <c r="B394" s="4"/>
      <c r="C394" s="4"/>
      <c r="D394" s="4"/>
    </row>
    <row r="395" spans="1:4" ht="15" customHeight="1" x14ac:dyDescent="0.25">
      <c r="A395" s="4"/>
      <c r="B395" s="4"/>
      <c r="C395" s="4"/>
      <c r="D395" s="4"/>
    </row>
    <row r="396" spans="1:4" ht="15" customHeight="1" x14ac:dyDescent="0.25">
      <c r="A396" s="4"/>
      <c r="B396" s="4"/>
      <c r="C396" s="4"/>
      <c r="D396" s="4"/>
    </row>
    <row r="397" spans="1:4" ht="15" customHeight="1" x14ac:dyDescent="0.25">
      <c r="A397" s="4"/>
      <c r="B397" s="4"/>
      <c r="C397" s="4"/>
      <c r="D397" s="4"/>
    </row>
    <row r="398" spans="1:4" ht="15" customHeight="1" x14ac:dyDescent="0.25">
      <c r="A398" s="4"/>
      <c r="B398" s="4"/>
      <c r="C398" s="4"/>
      <c r="D398" s="4"/>
    </row>
    <row r="399" spans="1:4" ht="15" customHeight="1" x14ac:dyDescent="0.25">
      <c r="A399" s="4"/>
      <c r="B399" s="4"/>
      <c r="C399" s="4"/>
      <c r="D399" s="4"/>
    </row>
    <row r="400" spans="1:4" ht="15" customHeight="1" x14ac:dyDescent="0.25">
      <c r="A400" s="4"/>
      <c r="B400" s="4"/>
      <c r="C400" s="4"/>
      <c r="D400" s="4"/>
    </row>
    <row r="401" spans="1:4" ht="15" customHeight="1" x14ac:dyDescent="0.25">
      <c r="A401" s="4"/>
      <c r="B401" s="4"/>
      <c r="C401" s="4"/>
      <c r="D401" s="4"/>
    </row>
    <row r="402" spans="1:4" ht="15" customHeight="1" x14ac:dyDescent="0.25">
      <c r="A402" s="4"/>
      <c r="B402" s="4"/>
      <c r="C402" s="4"/>
      <c r="D402" s="4"/>
    </row>
    <row r="403" spans="1:4" ht="15" customHeight="1" x14ac:dyDescent="0.25">
      <c r="A403" s="4"/>
      <c r="B403" s="4"/>
      <c r="C403" s="4"/>
      <c r="D403" s="4"/>
    </row>
  </sheetData>
  <mergeCells count="2">
    <mergeCell ref="A1:D1"/>
    <mergeCell ref="A2:D2"/>
  </mergeCell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allowBlank="1" xr:uid="{00000000-0002-0000-0600-000000000000}">
          <x14:formula1>
            <xm:f>Matchs!$A$4:$A$31</xm:f>
          </x14:formula1>
          <x14:formula2>
            <xm:f>0</xm:f>
          </x14:formula2>
          <xm:sqref>A4:A403</xm:sqref>
        </x14:dataValidation>
        <x14:dataValidation type="list" allowBlank="1" xr:uid="{00000000-0002-0000-0600-000001000000}">
          <x14:formula1>
            <xm:f>'Effectif Saison'!$E$4:$E$51</xm:f>
          </x14:formula1>
          <x14:formula2>
            <xm:f>0</xm:f>
          </x14:formula2>
          <xm:sqref>C4:D403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675"/>
  <sheetViews>
    <sheetView showGridLines="0" tabSelected="1" zoomScaleNormal="100" workbookViewId="0">
      <pane ySplit="3" topLeftCell="A4" activePane="bottomLeft" state="frozen"/>
      <selection pane="bottomLeft" activeCell="D20" sqref="D20"/>
    </sheetView>
  </sheetViews>
  <sheetFormatPr baseColWidth="10" defaultColWidth="8.7109375" defaultRowHeight="15" x14ac:dyDescent="0.25"/>
  <cols>
    <col min="1" max="1" width="10" customWidth="1"/>
    <col min="2" max="2" width="20" customWidth="1"/>
    <col min="3" max="3" width="14" customWidth="1"/>
    <col min="4" max="4" width="24" customWidth="1"/>
    <col min="5" max="5" width="14" customWidth="1"/>
    <col min="6" max="6" width="17.85546875" customWidth="1"/>
    <col min="7" max="7" width="16" customWidth="1"/>
    <col min="8" max="9" width="14" customWidth="1"/>
    <col min="10" max="10" width="16" customWidth="1"/>
    <col min="11" max="11" width="26" customWidth="1"/>
    <col min="12" max="16" width="24" customWidth="1"/>
    <col min="17" max="17" width="26" customWidth="1"/>
  </cols>
  <sheetData>
    <row r="1" spans="1:17" ht="21.75" customHeight="1" x14ac:dyDescent="0.25">
      <c r="A1" s="21" t="s">
        <v>164</v>
      </c>
      <c r="B1" s="21"/>
      <c r="C1" s="21"/>
      <c r="D1" s="21"/>
      <c r="E1" s="21"/>
      <c r="F1" s="21"/>
      <c r="G1" s="21"/>
      <c r="H1" s="21"/>
      <c r="I1" s="21"/>
      <c r="J1" s="21"/>
    </row>
    <row r="2" spans="1:17" ht="25.5" customHeight="1" x14ac:dyDescent="0.25">
      <c r="A2" s="24" t="s">
        <v>165</v>
      </c>
      <c r="B2" s="24"/>
      <c r="C2" s="24"/>
      <c r="D2" s="24"/>
      <c r="E2" s="24"/>
      <c r="F2" s="24"/>
      <c r="G2" s="24"/>
      <c r="H2" s="24"/>
      <c r="I2" s="24"/>
      <c r="J2" s="24"/>
    </row>
    <row r="3" spans="1:17" ht="23.25" customHeight="1" x14ac:dyDescent="0.25">
      <c r="A3" s="9" t="s">
        <v>117</v>
      </c>
      <c r="B3" s="9" t="s">
        <v>149</v>
      </c>
      <c r="C3" s="9" t="s">
        <v>166</v>
      </c>
      <c r="D3" s="9" t="s">
        <v>167</v>
      </c>
      <c r="E3" s="9" t="s">
        <v>168</v>
      </c>
      <c r="F3" s="9" t="s">
        <v>169</v>
      </c>
      <c r="G3" s="9" t="s">
        <v>170</v>
      </c>
      <c r="H3" s="9" t="s">
        <v>171</v>
      </c>
      <c r="I3" s="9" t="s">
        <v>172</v>
      </c>
      <c r="J3" s="9" t="s">
        <v>173</v>
      </c>
      <c r="K3" s="17" t="s">
        <v>174</v>
      </c>
      <c r="L3" s="17" t="s">
        <v>175</v>
      </c>
      <c r="M3" s="17" t="s">
        <v>176</v>
      </c>
      <c r="N3" s="17" t="s">
        <v>177</v>
      </c>
      <c r="O3" s="17" t="s">
        <v>178</v>
      </c>
      <c r="P3" s="17" t="s">
        <v>179</v>
      </c>
      <c r="Q3" s="17" t="s">
        <v>180</v>
      </c>
    </row>
    <row r="4" spans="1:17" ht="15" customHeight="1" x14ac:dyDescent="0.25">
      <c r="A4" s="11">
        <f t="shared" ref="A4:A67" si="0">INT((ROW()-4)/24)+1</f>
        <v>1</v>
      </c>
      <c r="B4" s="11" t="str">
        <f>INDEX('Effectif Saison'!$E$4:$E$22,1)</f>
        <v>Alan MICHON</v>
      </c>
      <c r="C4" s="10"/>
      <c r="D4" s="10"/>
      <c r="E4" s="10"/>
      <c r="F4" s="19" t="str">
        <f>IF(B4="","",IF(AND(E4="Oui",COUNTIFS(Changements!$A:$A,A4,Changements!$D:$D,B4)&gt;0),"⚠ Titulaire+entrée ?",IF(ABS(L4-M4)&gt;1,"⚠ vérifier","")))</f>
        <v/>
      </c>
      <c r="G4" s="11" t="str">
        <f>IF(B4="","",IFERROR(INDEX('Effectif Saison'!$D$4:$D$51,MATCH(B4,'Effectif Saison'!$E$4:$E$51,0)),""))</f>
        <v>Équipe 1</v>
      </c>
      <c r="H4" s="19" t="str">
        <f>IF(L4=0,"",IF(E4="Oui",0,IFERROR(_xlfn.MINIFS(Changements!$B:$B,Changements!$A:$A,A4,Changements!$D:$D,B4),"")))</f>
        <v/>
      </c>
      <c r="I4" s="19" t="str">
        <f>IF(M4=0,"",IFERROR(_xlfn.MAXIFS(Changements!$B:$B,Changements!$A:$A,A4,Changements!$C:$C,B4),""))</f>
        <v/>
      </c>
      <c r="J4" s="11" t="str">
        <f t="shared" ref="J4:J67" si="1">IF(OR(B4="",C4&lt;&gt;"Oui"),"",O4-N4)</f>
        <v/>
      </c>
      <c r="K4" s="17">
        <f t="shared" ref="K4:K67" si="2">IF(AND(B4&lt;&gt;"",ISNUMBER(J4)),1,0)</f>
        <v>0</v>
      </c>
      <c r="L4" s="17">
        <f>IF(B4="",0,COUNTIFS(Changements!$A:$A,A4,Changements!$D:$D,B4)+IF(E4="Oui",1,0))</f>
        <v>0</v>
      </c>
      <c r="M4" s="17">
        <f>IF(B4="",0,COUNTIFS(Changements!$A:$A,A4,Changements!$C:$C,B4))</f>
        <v>0</v>
      </c>
      <c r="N4" s="17">
        <f>IF(B4="",0,SUMIFS(Changements!$B:$B,Changements!$A:$A,A4,Changements!$D:$D,B4))</f>
        <v>0</v>
      </c>
      <c r="O4" s="17">
        <f>IF(B4="",0,SUMIFS(Changements!$B:$B,Changements!$A:$A,A4,Changements!$C:$C,B4)+IF(L4&gt;M4,IFERROR(INDEX(Matchs!$F$4:$F$31,MATCH(A4,Matchs!$A$4:$A$31,0)),0),0))</f>
        <v>0</v>
      </c>
      <c r="P4" s="17">
        <f t="shared" ref="P4:P67" si="3">IF(AND(B4&lt;&gt;"",C4="Oui"),1,0)</f>
        <v>0</v>
      </c>
      <c r="Q4" s="17">
        <f t="shared" ref="Q4:Q67" si="4">IF(AND(B4&lt;&gt;"",E4="Oui"),1,0)</f>
        <v>0</v>
      </c>
    </row>
    <row r="5" spans="1:17" ht="15" customHeight="1" x14ac:dyDescent="0.25">
      <c r="A5" s="11">
        <f t="shared" si="0"/>
        <v>1</v>
      </c>
      <c r="B5" s="11" t="str">
        <f>INDEX('Effectif Saison'!$E$4:$E$22,2)</f>
        <v>Jean BRUNTZ</v>
      </c>
      <c r="C5" s="10"/>
      <c r="D5" s="10"/>
      <c r="E5" s="10"/>
      <c r="F5" s="19" t="str">
        <f>IF(B5="","",IF(AND(E5="Oui",COUNTIFS(Changements!$A:$A,A5,Changements!$D:$D,B5)&gt;0),"⚠ Titulaire+entrée ?",IF(ABS(L5-M5)&gt;1,"⚠ vérifier","")))</f>
        <v/>
      </c>
      <c r="G5" s="11" t="str">
        <f>IF(B5="","",IFERROR(INDEX('Effectif Saison'!$D$4:$D$51,MATCH(B5,'Effectif Saison'!$E$4:$E$51,0)),""))</f>
        <v>Équipe 1</v>
      </c>
      <c r="H5" s="19" t="str">
        <f>IF(L5=0,"",IF(E5="Oui",0,IFERROR(_xlfn.MINIFS(Changements!$B:$B,Changements!$A:$A,A5,Changements!$D:$D,B5),"")))</f>
        <v/>
      </c>
      <c r="I5" s="19" t="str">
        <f>IF(M5=0,"",IFERROR(_xlfn.MAXIFS(Changements!$B:$B,Changements!$A:$A,A5,Changements!$C:$C,B5),""))</f>
        <v/>
      </c>
      <c r="J5" s="11" t="str">
        <f t="shared" si="1"/>
        <v/>
      </c>
      <c r="K5" s="17">
        <f t="shared" si="2"/>
        <v>0</v>
      </c>
      <c r="L5" s="17">
        <f>IF(B5="",0,COUNTIFS(Changements!$A:$A,A5,Changements!$D:$D,B5)+IF(E5="Oui",1,0))</f>
        <v>0</v>
      </c>
      <c r="M5" s="17">
        <f>IF(B5="",0,COUNTIFS(Changements!$A:$A,A5,Changements!$C:$C,B5))</f>
        <v>0</v>
      </c>
      <c r="N5" s="17">
        <f>IF(B5="",0,SUMIFS(Changements!$B:$B,Changements!$A:$A,A5,Changements!$D:$D,B5))</f>
        <v>0</v>
      </c>
      <c r="O5" s="17">
        <f>IF(B5="",0,SUMIFS(Changements!$B:$B,Changements!$A:$A,A5,Changements!$C:$C,B5)+IF(L5&gt;M5,IFERROR(INDEX(Matchs!$F$4:$F$31,MATCH(A5,Matchs!$A$4:$A$31,0)),0),0))</f>
        <v>0</v>
      </c>
      <c r="P5" s="17">
        <f t="shared" si="3"/>
        <v>0</v>
      </c>
      <c r="Q5" s="17">
        <f t="shared" si="4"/>
        <v>0</v>
      </c>
    </row>
    <row r="6" spans="1:17" ht="15" customHeight="1" x14ac:dyDescent="0.25">
      <c r="A6" s="11">
        <f t="shared" si="0"/>
        <v>1</v>
      </c>
      <c r="B6" s="11" t="str">
        <f>INDEX('Effectif Saison'!$E$4:$E$22,3)</f>
        <v>Marouane SBK</v>
      </c>
      <c r="C6" s="10"/>
      <c r="D6" s="10"/>
      <c r="E6" s="10"/>
      <c r="F6" s="19" t="str">
        <f>IF(B6="","",IF(AND(E6="Oui",COUNTIFS(Changements!$A:$A,A6,Changements!$D:$D,B6)&gt;0),"⚠ Titulaire+entrée ?",IF(ABS(L6-M6)&gt;1,"⚠ vérifier","")))</f>
        <v/>
      </c>
      <c r="G6" s="11" t="str">
        <f>IF(B6="","",IFERROR(INDEX('Effectif Saison'!$D$4:$D$51,MATCH(B6,'Effectif Saison'!$E$4:$E$51,0)),""))</f>
        <v>Équipe 1</v>
      </c>
      <c r="H6" s="19" t="str">
        <f>IF(L6=0,"",IF(E6="Oui",0,IFERROR(_xlfn.MINIFS(Changements!$B:$B,Changements!$A:$A,A6,Changements!$D:$D,B6),"")))</f>
        <v/>
      </c>
      <c r="I6" s="19" t="str">
        <f>IF(M6=0,"",IFERROR(_xlfn.MAXIFS(Changements!$B:$B,Changements!$A:$A,A6,Changements!$C:$C,B6),""))</f>
        <v/>
      </c>
      <c r="J6" s="11" t="str">
        <f t="shared" si="1"/>
        <v/>
      </c>
      <c r="K6" s="17">
        <f t="shared" si="2"/>
        <v>0</v>
      </c>
      <c r="L6" s="17">
        <f>IF(B6="",0,COUNTIFS(Changements!$A:$A,A6,Changements!$D:$D,B6)+IF(E6="Oui",1,0))</f>
        <v>0</v>
      </c>
      <c r="M6" s="17">
        <f>IF(B6="",0,COUNTIFS(Changements!$A:$A,A6,Changements!$C:$C,B6))</f>
        <v>0</v>
      </c>
      <c r="N6" s="17">
        <f>IF(B6="",0,SUMIFS(Changements!$B:$B,Changements!$A:$A,A6,Changements!$D:$D,B6))</f>
        <v>0</v>
      </c>
      <c r="O6" s="17">
        <f>IF(B6="",0,SUMIFS(Changements!$B:$B,Changements!$A:$A,A6,Changements!$C:$C,B6)+IF(L6&gt;M6,IFERROR(INDEX(Matchs!$F$4:$F$31,MATCH(A6,Matchs!$A$4:$A$31,0)),0),0))</f>
        <v>0</v>
      </c>
      <c r="P6" s="17">
        <f t="shared" si="3"/>
        <v>0</v>
      </c>
      <c r="Q6" s="17">
        <f t="shared" si="4"/>
        <v>0</v>
      </c>
    </row>
    <row r="7" spans="1:17" ht="15" customHeight="1" x14ac:dyDescent="0.25">
      <c r="A7" s="11">
        <f t="shared" si="0"/>
        <v>1</v>
      </c>
      <c r="B7" s="11" t="str">
        <f>INDEX('Effectif Saison'!$E$4:$E$22,4)</f>
        <v>Noé BIHL</v>
      </c>
      <c r="C7" s="10"/>
      <c r="D7" s="10"/>
      <c r="E7" s="10"/>
      <c r="F7" s="19" t="str">
        <f>IF(B7="","",IF(AND(E7="Oui",COUNTIFS(Changements!$A:$A,A7,Changements!$D:$D,B7)&gt;0),"⚠ Titulaire+entrée ?",IF(ABS(L7-M7)&gt;1,"⚠ vérifier","")))</f>
        <v/>
      </c>
      <c r="G7" s="11" t="str">
        <f>IF(B7="","",IFERROR(INDEX('Effectif Saison'!$D$4:$D$51,MATCH(B7,'Effectif Saison'!$E$4:$E$51,0)),""))</f>
        <v>Équipe 1</v>
      </c>
      <c r="H7" s="19" t="str">
        <f>IF(L7=0,"",IF(E7="Oui",0,IFERROR(_xlfn.MINIFS(Changements!$B:$B,Changements!$A:$A,A7,Changements!$D:$D,B7),"")))</f>
        <v/>
      </c>
      <c r="I7" s="19" t="str">
        <f>IF(M7=0,"",IFERROR(_xlfn.MAXIFS(Changements!$B:$B,Changements!$A:$A,A7,Changements!$C:$C,B7),""))</f>
        <v/>
      </c>
      <c r="J7" s="11" t="str">
        <f t="shared" si="1"/>
        <v/>
      </c>
      <c r="K7" s="17">
        <f t="shared" si="2"/>
        <v>0</v>
      </c>
      <c r="L7" s="17">
        <f>IF(B7="",0,COUNTIFS(Changements!$A:$A,A7,Changements!$D:$D,B7)+IF(E7="Oui",1,0))</f>
        <v>0</v>
      </c>
      <c r="M7" s="17">
        <f>IF(B7="",0,COUNTIFS(Changements!$A:$A,A7,Changements!$C:$C,B7))</f>
        <v>0</v>
      </c>
      <c r="N7" s="17">
        <f>IF(B7="",0,SUMIFS(Changements!$B:$B,Changements!$A:$A,A7,Changements!$D:$D,B7))</f>
        <v>0</v>
      </c>
      <c r="O7" s="17">
        <f>IF(B7="",0,SUMIFS(Changements!$B:$B,Changements!$A:$A,A7,Changements!$C:$C,B7)+IF(L7&gt;M7,IFERROR(INDEX(Matchs!$F$4:$F$31,MATCH(A7,Matchs!$A$4:$A$31,0)),0),0))</f>
        <v>0</v>
      </c>
      <c r="P7" s="17">
        <f t="shared" si="3"/>
        <v>0</v>
      </c>
      <c r="Q7" s="17">
        <f t="shared" si="4"/>
        <v>0</v>
      </c>
    </row>
    <row r="8" spans="1:17" ht="15" customHeight="1" x14ac:dyDescent="0.25">
      <c r="A8" s="11">
        <f t="shared" si="0"/>
        <v>1</v>
      </c>
      <c r="B8" s="11" t="str">
        <f>INDEX('Effectif Saison'!$E$4:$E$22,5)</f>
        <v>Luca COLAIANNI</v>
      </c>
      <c r="C8" s="10"/>
      <c r="D8" s="10"/>
      <c r="E8" s="10"/>
      <c r="F8" s="19" t="str">
        <f>IF(B8="","",IF(AND(E8="Oui",COUNTIFS(Changements!$A:$A,A8,Changements!$D:$D,B8)&gt;0),"⚠ Titulaire+entrée ?",IF(ABS(L8-M8)&gt;1,"⚠ vérifier","")))</f>
        <v/>
      </c>
      <c r="G8" s="11" t="str">
        <f>IF(B8="","",IFERROR(INDEX('Effectif Saison'!$D$4:$D$51,MATCH(B8,'Effectif Saison'!$E$4:$E$51,0)),""))</f>
        <v>Équipe 1</v>
      </c>
      <c r="H8" s="19" t="str">
        <f>IF(L8=0,"",IF(E8="Oui",0,IFERROR(_xlfn.MINIFS(Changements!$B:$B,Changements!$A:$A,A8,Changements!$D:$D,B8),"")))</f>
        <v/>
      </c>
      <c r="I8" s="19" t="str">
        <f>IF(M8=0,"",IFERROR(_xlfn.MAXIFS(Changements!$B:$B,Changements!$A:$A,A8,Changements!$C:$C,B8),""))</f>
        <v/>
      </c>
      <c r="J8" s="11" t="str">
        <f t="shared" si="1"/>
        <v/>
      </c>
      <c r="K8" s="17">
        <f t="shared" si="2"/>
        <v>0</v>
      </c>
      <c r="L8" s="17">
        <f>IF(B8="",0,COUNTIFS(Changements!$A:$A,A8,Changements!$D:$D,B8)+IF(E8="Oui",1,0))</f>
        <v>0</v>
      </c>
      <c r="M8" s="17">
        <f>IF(B8="",0,COUNTIFS(Changements!$A:$A,A8,Changements!$C:$C,B8))</f>
        <v>0</v>
      </c>
      <c r="N8" s="17">
        <f>IF(B8="",0,SUMIFS(Changements!$B:$B,Changements!$A:$A,A8,Changements!$D:$D,B8))</f>
        <v>0</v>
      </c>
      <c r="O8" s="17">
        <f>IF(B8="",0,SUMIFS(Changements!$B:$B,Changements!$A:$A,A8,Changements!$C:$C,B8)+IF(L8&gt;M8,IFERROR(INDEX(Matchs!$F$4:$F$31,MATCH(A8,Matchs!$A$4:$A$31,0)),0),0))</f>
        <v>0</v>
      </c>
      <c r="P8" s="17">
        <f t="shared" si="3"/>
        <v>0</v>
      </c>
      <c r="Q8" s="17">
        <f t="shared" si="4"/>
        <v>0</v>
      </c>
    </row>
    <row r="9" spans="1:17" ht="15" customHeight="1" x14ac:dyDescent="0.25">
      <c r="A9" s="11">
        <f t="shared" si="0"/>
        <v>1</v>
      </c>
      <c r="B9" s="11" t="str">
        <f>INDEX('Effectif Saison'!$E$4:$E$22,6)</f>
        <v>Atilla ER</v>
      </c>
      <c r="C9" s="10"/>
      <c r="D9" s="10"/>
      <c r="E9" s="10"/>
      <c r="F9" s="19" t="str">
        <f>IF(B9="","",IF(AND(E9="Oui",COUNTIFS(Changements!$A:$A,A9,Changements!$D:$D,B9)&gt;0),"⚠ Titulaire+entrée ?",IF(ABS(L9-M9)&gt;1,"⚠ vérifier","")))</f>
        <v/>
      </c>
      <c r="G9" s="11" t="str">
        <f>IF(B9="","",IFERROR(INDEX('Effectif Saison'!$D$4:$D$51,MATCH(B9,'Effectif Saison'!$E$4:$E$51,0)),""))</f>
        <v>Équipe 1</v>
      </c>
      <c r="H9" s="19" t="str">
        <f>IF(L9=0,"",IF(E9="Oui",0,IFERROR(_xlfn.MINIFS(Changements!$B:$B,Changements!$A:$A,A9,Changements!$D:$D,B9),"")))</f>
        <v/>
      </c>
      <c r="I9" s="19" t="str">
        <f>IF(M9=0,"",IFERROR(_xlfn.MAXIFS(Changements!$B:$B,Changements!$A:$A,A9,Changements!$C:$C,B9),""))</f>
        <v/>
      </c>
      <c r="J9" s="11" t="str">
        <f t="shared" si="1"/>
        <v/>
      </c>
      <c r="K9" s="17">
        <f t="shared" si="2"/>
        <v>0</v>
      </c>
      <c r="L9" s="17">
        <f>IF(B9="",0,COUNTIFS(Changements!$A:$A,A9,Changements!$D:$D,B9)+IF(E9="Oui",1,0))</f>
        <v>0</v>
      </c>
      <c r="M9" s="17">
        <f>IF(B9="",0,COUNTIFS(Changements!$A:$A,A9,Changements!$C:$C,B9))</f>
        <v>0</v>
      </c>
      <c r="N9" s="17">
        <f>IF(B9="",0,SUMIFS(Changements!$B:$B,Changements!$A:$A,A9,Changements!$D:$D,B9))</f>
        <v>0</v>
      </c>
      <c r="O9" s="17">
        <f>IF(B9="",0,SUMIFS(Changements!$B:$B,Changements!$A:$A,A9,Changements!$C:$C,B9)+IF(L9&gt;M9,IFERROR(INDEX(Matchs!$F$4:$F$31,MATCH(A9,Matchs!$A$4:$A$31,0)),0),0))</f>
        <v>0</v>
      </c>
      <c r="P9" s="17">
        <f t="shared" si="3"/>
        <v>0</v>
      </c>
      <c r="Q9" s="17">
        <f t="shared" si="4"/>
        <v>0</v>
      </c>
    </row>
    <row r="10" spans="1:17" ht="15" customHeight="1" x14ac:dyDescent="0.25">
      <c r="A10" s="11">
        <f t="shared" si="0"/>
        <v>1</v>
      </c>
      <c r="B10" s="11" t="str">
        <f>INDEX('Effectif Saison'!$E$4:$E$22,7)</f>
        <v>Lucas BUHR</v>
      </c>
      <c r="C10" s="10"/>
      <c r="D10" s="10"/>
      <c r="E10" s="10"/>
      <c r="F10" s="19" t="str">
        <f>IF(B10="","",IF(AND(E10="Oui",COUNTIFS(Changements!$A:$A,A10,Changements!$D:$D,B10)&gt;0),"⚠ Titulaire+entrée ?",IF(ABS(L10-M10)&gt;1,"⚠ vérifier","")))</f>
        <v/>
      </c>
      <c r="G10" s="11" t="str">
        <f>IF(B10="","",IFERROR(INDEX('Effectif Saison'!$D$4:$D$51,MATCH(B10,'Effectif Saison'!$E$4:$E$51,0)),""))</f>
        <v>Équipe 1</v>
      </c>
      <c r="H10" s="19" t="str">
        <f>IF(L10=0,"",IF(E10="Oui",0,IFERROR(_xlfn.MINIFS(Changements!$B:$B,Changements!$A:$A,A10,Changements!$D:$D,B10),"")))</f>
        <v/>
      </c>
      <c r="I10" s="19" t="str">
        <f>IF(M10=0,"",IFERROR(_xlfn.MAXIFS(Changements!$B:$B,Changements!$A:$A,A10,Changements!$C:$C,B10),""))</f>
        <v/>
      </c>
      <c r="J10" s="11" t="str">
        <f t="shared" si="1"/>
        <v/>
      </c>
      <c r="K10" s="17">
        <f t="shared" si="2"/>
        <v>0</v>
      </c>
      <c r="L10" s="17">
        <f>IF(B10="",0,COUNTIFS(Changements!$A:$A,A10,Changements!$D:$D,B10)+IF(E10="Oui",1,0))</f>
        <v>0</v>
      </c>
      <c r="M10" s="17">
        <f>IF(B10="",0,COUNTIFS(Changements!$A:$A,A10,Changements!$C:$C,B10))</f>
        <v>0</v>
      </c>
      <c r="N10" s="17">
        <f>IF(B10="",0,SUMIFS(Changements!$B:$B,Changements!$A:$A,A10,Changements!$D:$D,B10))</f>
        <v>0</v>
      </c>
      <c r="O10" s="17">
        <f>IF(B10="",0,SUMIFS(Changements!$B:$B,Changements!$A:$A,A10,Changements!$C:$C,B10)+IF(L10&gt;M10,IFERROR(INDEX(Matchs!$F$4:$F$31,MATCH(A10,Matchs!$A$4:$A$31,0)),0),0))</f>
        <v>0</v>
      </c>
      <c r="P10" s="17">
        <f t="shared" si="3"/>
        <v>0</v>
      </c>
      <c r="Q10" s="17">
        <f t="shared" si="4"/>
        <v>0</v>
      </c>
    </row>
    <row r="11" spans="1:17" ht="15" customHeight="1" x14ac:dyDescent="0.25">
      <c r="A11" s="11">
        <f t="shared" si="0"/>
        <v>1</v>
      </c>
      <c r="B11" s="11" t="str">
        <f>INDEX('Effectif Saison'!$E$4:$E$22,8)</f>
        <v>Yanis HOUX</v>
      </c>
      <c r="C11" s="10"/>
      <c r="D11" s="10"/>
      <c r="E11" s="10"/>
      <c r="F11" s="19" t="str">
        <f>IF(B11="","",IF(AND(E11="Oui",COUNTIFS(Changements!$A:$A,A11,Changements!$D:$D,B11)&gt;0),"⚠ Titulaire+entrée ?",IF(ABS(L11-M11)&gt;1,"⚠ vérifier","")))</f>
        <v/>
      </c>
      <c r="G11" s="11" t="str">
        <f>IF(B11="","",IFERROR(INDEX('Effectif Saison'!$D$4:$D$51,MATCH(B11,'Effectif Saison'!$E$4:$E$51,0)),""))</f>
        <v>Équipe 1</v>
      </c>
      <c r="H11" s="19" t="str">
        <f>IF(L11=0,"",IF(E11="Oui",0,IFERROR(_xlfn.MINIFS(Changements!$B:$B,Changements!$A:$A,A11,Changements!$D:$D,B11),"")))</f>
        <v/>
      </c>
      <c r="I11" s="19" t="str">
        <f>IF(M11=0,"",IFERROR(_xlfn.MAXIFS(Changements!$B:$B,Changements!$A:$A,A11,Changements!$C:$C,B11),""))</f>
        <v/>
      </c>
      <c r="J11" s="11" t="str">
        <f t="shared" si="1"/>
        <v/>
      </c>
      <c r="K11" s="17">
        <f t="shared" si="2"/>
        <v>0</v>
      </c>
      <c r="L11" s="17">
        <f>IF(B11="",0,COUNTIFS(Changements!$A:$A,A11,Changements!$D:$D,B11)+IF(E11="Oui",1,0))</f>
        <v>0</v>
      </c>
      <c r="M11" s="17">
        <f>IF(B11="",0,COUNTIFS(Changements!$A:$A,A11,Changements!$C:$C,B11))</f>
        <v>0</v>
      </c>
      <c r="N11" s="17">
        <f>IF(B11="",0,SUMIFS(Changements!$B:$B,Changements!$A:$A,A11,Changements!$D:$D,B11))</f>
        <v>0</v>
      </c>
      <c r="O11" s="17">
        <f>IF(B11="",0,SUMIFS(Changements!$B:$B,Changements!$A:$A,A11,Changements!$C:$C,B11)+IF(L11&gt;M11,IFERROR(INDEX(Matchs!$F$4:$F$31,MATCH(A11,Matchs!$A$4:$A$31,0)),0),0))</f>
        <v>0</v>
      </c>
      <c r="P11" s="17">
        <f t="shared" si="3"/>
        <v>0</v>
      </c>
      <c r="Q11" s="17">
        <f t="shared" si="4"/>
        <v>0</v>
      </c>
    </row>
    <row r="12" spans="1:17" ht="15" customHeight="1" x14ac:dyDescent="0.25">
      <c r="A12" s="11">
        <f t="shared" si="0"/>
        <v>1</v>
      </c>
      <c r="B12" s="11" t="str">
        <f>INDEX('Effectif Saison'!$E$4:$E$22,9)</f>
        <v>Tino COLAIANNI</v>
      </c>
      <c r="C12" s="10"/>
      <c r="D12" s="10"/>
      <c r="E12" s="10"/>
      <c r="F12" s="19" t="str">
        <f>IF(B12="","",IF(AND(E12="Oui",COUNTIFS(Changements!$A:$A,A12,Changements!$D:$D,B12)&gt;0),"⚠ Titulaire+entrée ?",IF(ABS(L12-M12)&gt;1,"⚠ vérifier","")))</f>
        <v/>
      </c>
      <c r="G12" s="11" t="str">
        <f>IF(B12="","",IFERROR(INDEX('Effectif Saison'!$D$4:$D$51,MATCH(B12,'Effectif Saison'!$E$4:$E$51,0)),""))</f>
        <v>Équipe 1</v>
      </c>
      <c r="H12" s="19" t="str">
        <f>IF(L12=0,"",IF(E12="Oui",0,IFERROR(_xlfn.MINIFS(Changements!$B:$B,Changements!$A:$A,A12,Changements!$D:$D,B12),"")))</f>
        <v/>
      </c>
      <c r="I12" s="19" t="str">
        <f>IF(M12=0,"",IFERROR(_xlfn.MAXIFS(Changements!$B:$B,Changements!$A:$A,A12,Changements!$C:$C,B12),""))</f>
        <v/>
      </c>
      <c r="J12" s="11" t="str">
        <f t="shared" si="1"/>
        <v/>
      </c>
      <c r="K12" s="17">
        <f t="shared" si="2"/>
        <v>0</v>
      </c>
      <c r="L12" s="17">
        <f>IF(B12="",0,COUNTIFS(Changements!$A:$A,A12,Changements!$D:$D,B12)+IF(E12="Oui",1,0))</f>
        <v>0</v>
      </c>
      <c r="M12" s="17">
        <f>IF(B12="",0,COUNTIFS(Changements!$A:$A,A12,Changements!$C:$C,B12))</f>
        <v>0</v>
      </c>
      <c r="N12" s="17">
        <f>IF(B12="",0,SUMIFS(Changements!$B:$B,Changements!$A:$A,A12,Changements!$D:$D,B12))</f>
        <v>0</v>
      </c>
      <c r="O12" s="17">
        <f>IF(B12="",0,SUMIFS(Changements!$B:$B,Changements!$A:$A,A12,Changements!$C:$C,B12)+IF(L12&gt;M12,IFERROR(INDEX(Matchs!$F$4:$F$31,MATCH(A12,Matchs!$A$4:$A$31,0)),0),0))</f>
        <v>0</v>
      </c>
      <c r="P12" s="17">
        <f t="shared" si="3"/>
        <v>0</v>
      </c>
      <c r="Q12" s="17">
        <f t="shared" si="4"/>
        <v>0</v>
      </c>
    </row>
    <row r="13" spans="1:17" ht="15" customHeight="1" x14ac:dyDescent="0.25">
      <c r="A13" s="11">
        <f t="shared" si="0"/>
        <v>1</v>
      </c>
      <c r="B13" s="11" t="str">
        <f>INDEX('Effectif Saison'!$E$4:$E$22,10)</f>
        <v>Achille KELLERKNECHT</v>
      </c>
      <c r="C13" s="10"/>
      <c r="D13" s="10"/>
      <c r="E13" s="10"/>
      <c r="F13" s="19" t="str">
        <f>IF(B13="","",IF(AND(E13="Oui",COUNTIFS(Changements!$A:$A,A13,Changements!$D:$D,B13)&gt;0),"⚠ Titulaire+entrée ?",IF(ABS(L13-M13)&gt;1,"⚠ vérifier","")))</f>
        <v/>
      </c>
      <c r="G13" s="11" t="str">
        <f>IF(B13="","",IFERROR(INDEX('Effectif Saison'!$D$4:$D$51,MATCH(B13,'Effectif Saison'!$E$4:$E$51,0)),""))</f>
        <v>Équipe 1</v>
      </c>
      <c r="H13" s="19" t="str">
        <f>IF(L13=0,"",IF(E13="Oui",0,IFERROR(_xlfn.MINIFS(Changements!$B:$B,Changements!$A:$A,A13,Changements!$D:$D,B13),"")))</f>
        <v/>
      </c>
      <c r="I13" s="19" t="str">
        <f>IF(M13=0,"",IFERROR(_xlfn.MAXIFS(Changements!$B:$B,Changements!$A:$A,A13,Changements!$C:$C,B13),""))</f>
        <v/>
      </c>
      <c r="J13" s="11" t="str">
        <f t="shared" si="1"/>
        <v/>
      </c>
      <c r="K13" s="17">
        <f t="shared" si="2"/>
        <v>0</v>
      </c>
      <c r="L13" s="17">
        <f>IF(B13="",0,COUNTIFS(Changements!$A:$A,A13,Changements!$D:$D,B13)+IF(E13="Oui",1,0))</f>
        <v>0</v>
      </c>
      <c r="M13" s="17">
        <f>IF(B13="",0,COUNTIFS(Changements!$A:$A,A13,Changements!$C:$C,B13))</f>
        <v>0</v>
      </c>
      <c r="N13" s="17">
        <f>IF(B13="",0,SUMIFS(Changements!$B:$B,Changements!$A:$A,A13,Changements!$D:$D,B13))</f>
        <v>0</v>
      </c>
      <c r="O13" s="17">
        <f>IF(B13="",0,SUMIFS(Changements!$B:$B,Changements!$A:$A,A13,Changements!$C:$C,B13)+IF(L13&gt;M13,IFERROR(INDEX(Matchs!$F$4:$F$31,MATCH(A13,Matchs!$A$4:$A$31,0)),0),0))</f>
        <v>0</v>
      </c>
      <c r="P13" s="17">
        <f t="shared" si="3"/>
        <v>0</v>
      </c>
      <c r="Q13" s="17">
        <f t="shared" si="4"/>
        <v>0</v>
      </c>
    </row>
    <row r="14" spans="1:17" ht="15" customHeight="1" x14ac:dyDescent="0.25">
      <c r="A14" s="11">
        <f t="shared" si="0"/>
        <v>1</v>
      </c>
      <c r="B14" s="11" t="str">
        <f>INDEX('Effectif Saison'!$E$4:$E$22,11)</f>
        <v>Charly LEPERT</v>
      </c>
      <c r="C14" s="10"/>
      <c r="D14" s="10"/>
      <c r="E14" s="10"/>
      <c r="F14" s="19" t="str">
        <f>IF(B14="","",IF(AND(E14="Oui",COUNTIFS(Changements!$A:$A,A14,Changements!$D:$D,B14)&gt;0),"⚠ Titulaire+entrée ?",IF(ABS(L14-M14)&gt;1,"⚠ vérifier","")))</f>
        <v/>
      </c>
      <c r="G14" s="11" t="str">
        <f>IF(B14="","",IFERROR(INDEX('Effectif Saison'!$D$4:$D$51,MATCH(B14,'Effectif Saison'!$E$4:$E$51,0)),""))</f>
        <v>Équipe 1</v>
      </c>
      <c r="H14" s="19" t="str">
        <f>IF(L14=0,"",IF(E14="Oui",0,IFERROR(_xlfn.MINIFS(Changements!$B:$B,Changements!$A:$A,A14,Changements!$D:$D,B14),"")))</f>
        <v/>
      </c>
      <c r="I14" s="19" t="str">
        <f>IF(M14=0,"",IFERROR(_xlfn.MAXIFS(Changements!$B:$B,Changements!$A:$A,A14,Changements!$C:$C,B14),""))</f>
        <v/>
      </c>
      <c r="J14" s="11" t="str">
        <f t="shared" si="1"/>
        <v/>
      </c>
      <c r="K14" s="17">
        <f t="shared" si="2"/>
        <v>0</v>
      </c>
      <c r="L14" s="17">
        <f>IF(B14="",0,COUNTIFS(Changements!$A:$A,A14,Changements!$D:$D,B14)+IF(E14="Oui",1,0))</f>
        <v>0</v>
      </c>
      <c r="M14" s="17">
        <f>IF(B14="",0,COUNTIFS(Changements!$A:$A,A14,Changements!$C:$C,B14))</f>
        <v>0</v>
      </c>
      <c r="N14" s="17">
        <f>IF(B14="",0,SUMIFS(Changements!$B:$B,Changements!$A:$A,A14,Changements!$D:$D,B14))</f>
        <v>0</v>
      </c>
      <c r="O14" s="17">
        <f>IF(B14="",0,SUMIFS(Changements!$B:$B,Changements!$A:$A,A14,Changements!$C:$C,B14)+IF(L14&gt;M14,IFERROR(INDEX(Matchs!$F$4:$F$31,MATCH(A14,Matchs!$A$4:$A$31,0)),0),0))</f>
        <v>0</v>
      </c>
      <c r="P14" s="17">
        <f t="shared" si="3"/>
        <v>0</v>
      </c>
      <c r="Q14" s="17">
        <f t="shared" si="4"/>
        <v>0</v>
      </c>
    </row>
    <row r="15" spans="1:17" ht="15" customHeight="1" x14ac:dyDescent="0.25">
      <c r="A15" s="11">
        <f t="shared" si="0"/>
        <v>1</v>
      </c>
      <c r="B15" s="11" t="str">
        <f>INDEX('Effectif Saison'!$E$4:$E$22,12)</f>
        <v>Basile STANGRET</v>
      </c>
      <c r="C15" s="10"/>
      <c r="D15" s="10"/>
      <c r="E15" s="10"/>
      <c r="F15" s="19" t="str">
        <f>IF(B15="","",IF(AND(E15="Oui",COUNTIFS(Changements!$A:$A,A15,Changements!$D:$D,B15)&gt;0),"⚠ Titulaire+entrée ?",IF(ABS(L15-M15)&gt;1,"⚠ vérifier","")))</f>
        <v/>
      </c>
      <c r="G15" s="11" t="str">
        <f>IF(B15="","",IFERROR(INDEX('Effectif Saison'!$D$4:$D$51,MATCH(B15,'Effectif Saison'!$E$4:$E$51,0)),""))</f>
        <v>Équipe 1</v>
      </c>
      <c r="H15" s="19" t="str">
        <f>IF(L15=0,"",IF(E15="Oui",0,IFERROR(_xlfn.MINIFS(Changements!$B:$B,Changements!$A:$A,A15,Changements!$D:$D,B15),"")))</f>
        <v/>
      </c>
      <c r="I15" s="19" t="str">
        <f>IF(M15=0,"",IFERROR(_xlfn.MAXIFS(Changements!$B:$B,Changements!$A:$A,A15,Changements!$C:$C,B15),""))</f>
        <v/>
      </c>
      <c r="J15" s="11" t="str">
        <f t="shared" si="1"/>
        <v/>
      </c>
      <c r="K15" s="17">
        <f t="shared" si="2"/>
        <v>0</v>
      </c>
      <c r="L15" s="17">
        <f>IF(B15="",0,COUNTIFS(Changements!$A:$A,A15,Changements!$D:$D,B15)+IF(E15="Oui",1,0))</f>
        <v>0</v>
      </c>
      <c r="M15" s="17">
        <f>IF(B15="",0,COUNTIFS(Changements!$A:$A,A15,Changements!$C:$C,B15))</f>
        <v>0</v>
      </c>
      <c r="N15" s="17">
        <f>IF(B15="",0,SUMIFS(Changements!$B:$B,Changements!$A:$A,A15,Changements!$D:$D,B15))</f>
        <v>0</v>
      </c>
      <c r="O15" s="17">
        <f>IF(B15="",0,SUMIFS(Changements!$B:$B,Changements!$A:$A,A15,Changements!$C:$C,B15)+IF(L15&gt;M15,IFERROR(INDEX(Matchs!$F$4:$F$31,MATCH(A15,Matchs!$A$4:$A$31,0)),0),0))</f>
        <v>0</v>
      </c>
      <c r="P15" s="17">
        <f t="shared" si="3"/>
        <v>0</v>
      </c>
      <c r="Q15" s="17">
        <f t="shared" si="4"/>
        <v>0</v>
      </c>
    </row>
    <row r="16" spans="1:17" ht="15" customHeight="1" x14ac:dyDescent="0.25">
      <c r="A16" s="11">
        <f t="shared" si="0"/>
        <v>1</v>
      </c>
      <c r="B16" s="11" t="str">
        <f>INDEX('Effectif Saison'!$E$4:$E$22,13)</f>
        <v>Maxence KELLER</v>
      </c>
      <c r="C16" s="10"/>
      <c r="D16" s="10"/>
      <c r="E16" s="10"/>
      <c r="F16" s="19" t="str">
        <f>IF(B16="","",IF(AND(E16="Oui",COUNTIFS(Changements!$A:$A,A16,Changements!$D:$D,B16)&gt;0),"⚠ Titulaire+entrée ?",IF(ABS(L16-M16)&gt;1,"⚠ vérifier","")))</f>
        <v/>
      </c>
      <c r="G16" s="11" t="str">
        <f>IF(B16="","",IFERROR(INDEX('Effectif Saison'!$D$4:$D$51,MATCH(B16,'Effectif Saison'!$E$4:$E$51,0)),""))</f>
        <v>Équipe 1</v>
      </c>
      <c r="H16" s="19" t="str">
        <f>IF(L16=0,"",IF(E16="Oui",0,IFERROR(_xlfn.MINIFS(Changements!$B:$B,Changements!$A:$A,A16,Changements!$D:$D,B16),"")))</f>
        <v/>
      </c>
      <c r="I16" s="19" t="str">
        <f>IF(M16=0,"",IFERROR(_xlfn.MAXIFS(Changements!$B:$B,Changements!$A:$A,A16,Changements!$C:$C,B16),""))</f>
        <v/>
      </c>
      <c r="J16" s="11" t="str">
        <f t="shared" si="1"/>
        <v/>
      </c>
      <c r="K16" s="17">
        <f t="shared" si="2"/>
        <v>0</v>
      </c>
      <c r="L16" s="17">
        <f>IF(B16="",0,COUNTIFS(Changements!$A:$A,A16,Changements!$D:$D,B16)+IF(E16="Oui",1,0))</f>
        <v>0</v>
      </c>
      <c r="M16" s="17">
        <f>IF(B16="",0,COUNTIFS(Changements!$A:$A,A16,Changements!$C:$C,B16))</f>
        <v>0</v>
      </c>
      <c r="N16" s="17">
        <f>IF(B16="",0,SUMIFS(Changements!$B:$B,Changements!$A:$A,A16,Changements!$D:$D,B16))</f>
        <v>0</v>
      </c>
      <c r="O16" s="17">
        <f>IF(B16="",0,SUMIFS(Changements!$B:$B,Changements!$A:$A,A16,Changements!$C:$C,B16)+IF(L16&gt;M16,IFERROR(INDEX(Matchs!$F$4:$F$31,MATCH(A16,Matchs!$A$4:$A$31,0)),0),0))</f>
        <v>0</v>
      </c>
      <c r="P16" s="17">
        <f t="shared" si="3"/>
        <v>0</v>
      </c>
      <c r="Q16" s="17">
        <f t="shared" si="4"/>
        <v>0</v>
      </c>
    </row>
    <row r="17" spans="1:17" ht="15" customHeight="1" x14ac:dyDescent="0.25">
      <c r="A17" s="11">
        <f t="shared" si="0"/>
        <v>1</v>
      </c>
      <c r="B17" s="11" t="str">
        <f>INDEX('Effectif Saison'!$E$4:$E$22,14)</f>
        <v>Evan SCHMITT</v>
      </c>
      <c r="C17" s="10"/>
      <c r="D17" s="10"/>
      <c r="E17" s="10"/>
      <c r="F17" s="19" t="str">
        <f>IF(B17="","",IF(AND(E17="Oui",COUNTIFS(Changements!$A:$A,A17,Changements!$D:$D,B17)&gt;0),"⚠ Titulaire+entrée ?",IF(ABS(L17-M17)&gt;1,"⚠ vérifier","")))</f>
        <v/>
      </c>
      <c r="G17" s="11" t="str">
        <f>IF(B17="","",IFERROR(INDEX('Effectif Saison'!$D$4:$D$51,MATCH(B17,'Effectif Saison'!$E$4:$E$51,0)),""))</f>
        <v>Équipe 1</v>
      </c>
      <c r="H17" s="19" t="str">
        <f>IF(L17=0,"",IF(E17="Oui",0,IFERROR(_xlfn.MINIFS(Changements!$B:$B,Changements!$A:$A,A17,Changements!$D:$D,B17),"")))</f>
        <v/>
      </c>
      <c r="I17" s="19" t="str">
        <f>IF(M17=0,"",IFERROR(_xlfn.MAXIFS(Changements!$B:$B,Changements!$A:$A,A17,Changements!$C:$C,B17),""))</f>
        <v/>
      </c>
      <c r="J17" s="11" t="str">
        <f t="shared" si="1"/>
        <v/>
      </c>
      <c r="K17" s="17">
        <f t="shared" si="2"/>
        <v>0</v>
      </c>
      <c r="L17" s="17">
        <f>IF(B17="",0,COUNTIFS(Changements!$A:$A,A17,Changements!$D:$D,B17)+IF(E17="Oui",1,0))</f>
        <v>0</v>
      </c>
      <c r="M17" s="17">
        <f>IF(B17="",0,COUNTIFS(Changements!$A:$A,A17,Changements!$C:$C,B17))</f>
        <v>0</v>
      </c>
      <c r="N17" s="17">
        <f>IF(B17="",0,SUMIFS(Changements!$B:$B,Changements!$A:$A,A17,Changements!$D:$D,B17))</f>
        <v>0</v>
      </c>
      <c r="O17" s="17">
        <f>IF(B17="",0,SUMIFS(Changements!$B:$B,Changements!$A:$A,A17,Changements!$C:$C,B17)+IF(L17&gt;M17,IFERROR(INDEX(Matchs!$F$4:$F$31,MATCH(A17,Matchs!$A$4:$A$31,0)),0),0))</f>
        <v>0</v>
      </c>
      <c r="P17" s="17">
        <f t="shared" si="3"/>
        <v>0</v>
      </c>
      <c r="Q17" s="17">
        <f t="shared" si="4"/>
        <v>0</v>
      </c>
    </row>
    <row r="18" spans="1:17" ht="15" customHeight="1" x14ac:dyDescent="0.25">
      <c r="A18" s="11">
        <f t="shared" si="0"/>
        <v>1</v>
      </c>
      <c r="B18" s="11" t="str">
        <f>INDEX('Effectif Saison'!$E$4:$E$22,15)</f>
        <v>William SIMON</v>
      </c>
      <c r="C18" s="10"/>
      <c r="D18" s="10"/>
      <c r="E18" s="10"/>
      <c r="F18" s="19" t="str">
        <f>IF(B18="","",IF(AND(E18="Oui",COUNTIFS(Changements!$A:$A,A18,Changements!$D:$D,B18)&gt;0),"⚠ Titulaire+entrée ?",IF(ABS(L18-M18)&gt;1,"⚠ vérifier","")))</f>
        <v/>
      </c>
      <c r="G18" s="11" t="str">
        <f>IF(B18="","",IFERROR(INDEX('Effectif Saison'!$D$4:$D$51,MATCH(B18,'Effectif Saison'!$E$4:$E$51,0)),""))</f>
        <v>Équipe 1</v>
      </c>
      <c r="H18" s="19" t="str">
        <f>IF(L18=0,"",IF(E18="Oui",0,IFERROR(_xlfn.MINIFS(Changements!$B:$B,Changements!$A:$A,A18,Changements!$D:$D,B18),"")))</f>
        <v/>
      </c>
      <c r="I18" s="19" t="str">
        <f>IF(M18=0,"",IFERROR(_xlfn.MAXIFS(Changements!$B:$B,Changements!$A:$A,A18,Changements!$C:$C,B18),""))</f>
        <v/>
      </c>
      <c r="J18" s="11" t="str">
        <f t="shared" si="1"/>
        <v/>
      </c>
      <c r="K18" s="17">
        <f t="shared" si="2"/>
        <v>0</v>
      </c>
      <c r="L18" s="17">
        <f>IF(B18="",0,COUNTIFS(Changements!$A:$A,A18,Changements!$D:$D,B18)+IF(E18="Oui",1,0))</f>
        <v>0</v>
      </c>
      <c r="M18" s="17">
        <f>IF(B18="",0,COUNTIFS(Changements!$A:$A,A18,Changements!$C:$C,B18))</f>
        <v>0</v>
      </c>
      <c r="N18" s="17">
        <f>IF(B18="",0,SUMIFS(Changements!$B:$B,Changements!$A:$A,A18,Changements!$D:$D,B18))</f>
        <v>0</v>
      </c>
      <c r="O18" s="17">
        <f>IF(B18="",0,SUMIFS(Changements!$B:$B,Changements!$A:$A,A18,Changements!$C:$C,B18)+IF(L18&gt;M18,IFERROR(INDEX(Matchs!$F$4:$F$31,MATCH(A18,Matchs!$A$4:$A$31,0)),0),0))</f>
        <v>0</v>
      </c>
      <c r="P18" s="17">
        <f t="shared" si="3"/>
        <v>0</v>
      </c>
      <c r="Q18" s="17">
        <f t="shared" si="4"/>
        <v>0</v>
      </c>
    </row>
    <row r="19" spans="1:17" ht="15" customHeight="1" x14ac:dyDescent="0.25">
      <c r="A19" s="11">
        <f t="shared" si="0"/>
        <v>1</v>
      </c>
      <c r="B19" s="11" t="str">
        <f>INDEX('Effectif Saison'!$E$4:$E$22,16)</f>
        <v>Lenny LEPPER</v>
      </c>
      <c r="C19" s="10"/>
      <c r="D19" s="10"/>
      <c r="E19" s="10"/>
      <c r="F19" s="19" t="str">
        <f>IF(B19="","",IF(AND(E19="Oui",COUNTIFS(Changements!$A:$A,A19,Changements!$D:$D,B19)&gt;0),"⚠ Titulaire+entrée ?",IF(ABS(L19-M19)&gt;1,"⚠ vérifier","")))</f>
        <v/>
      </c>
      <c r="G19" s="11" t="str">
        <f>IF(B19="","",IFERROR(INDEX('Effectif Saison'!$D$4:$D$51,MATCH(B19,'Effectif Saison'!$E$4:$E$51,0)),""))</f>
        <v>Équipe 1</v>
      </c>
      <c r="H19" s="19" t="str">
        <f>IF(L19=0,"",IF(E19="Oui",0,IFERROR(_xlfn.MINIFS(Changements!$B:$B,Changements!$A:$A,A19,Changements!$D:$D,B19),"")))</f>
        <v/>
      </c>
      <c r="I19" s="19" t="str">
        <f>IF(M19=0,"",IFERROR(_xlfn.MAXIFS(Changements!$B:$B,Changements!$A:$A,A19,Changements!$C:$C,B19),""))</f>
        <v/>
      </c>
      <c r="J19" s="11" t="str">
        <f t="shared" si="1"/>
        <v/>
      </c>
      <c r="K19" s="17">
        <f t="shared" si="2"/>
        <v>0</v>
      </c>
      <c r="L19" s="17">
        <f>IF(B19="",0,COUNTIFS(Changements!$A:$A,A19,Changements!$D:$D,B19)+IF(E19="Oui",1,0))</f>
        <v>0</v>
      </c>
      <c r="M19" s="17">
        <f>IF(B19="",0,COUNTIFS(Changements!$A:$A,A19,Changements!$C:$C,B19))</f>
        <v>0</v>
      </c>
      <c r="N19" s="17">
        <f>IF(B19="",0,SUMIFS(Changements!$B:$B,Changements!$A:$A,A19,Changements!$D:$D,B19))</f>
        <v>0</v>
      </c>
      <c r="O19" s="17">
        <f>IF(B19="",0,SUMIFS(Changements!$B:$B,Changements!$A:$A,A19,Changements!$C:$C,B19)+IF(L19&gt;M19,IFERROR(INDEX(Matchs!$F$4:$F$31,MATCH(A19,Matchs!$A$4:$A$31,0)),0),0))</f>
        <v>0</v>
      </c>
      <c r="P19" s="17">
        <f t="shared" si="3"/>
        <v>0</v>
      </c>
      <c r="Q19" s="17">
        <f t="shared" si="4"/>
        <v>0</v>
      </c>
    </row>
    <row r="20" spans="1:17" ht="15" customHeight="1" x14ac:dyDescent="0.25">
      <c r="A20" s="11">
        <f t="shared" si="0"/>
        <v>1</v>
      </c>
      <c r="B20" s="11" t="str">
        <f>INDEX('Effectif Saison'!$E$4:$E$22,17)</f>
        <v>Malo KELLER</v>
      </c>
      <c r="C20" s="10"/>
      <c r="D20" s="10"/>
      <c r="E20" s="10"/>
      <c r="F20" s="19" t="str">
        <f>IF(B20="","",IF(AND(E20="Oui",COUNTIFS(Changements!$A:$A,A20,Changements!$D:$D,B20)&gt;0),"⚠ Titulaire+entrée ?",IF(ABS(L20-M20)&gt;1,"⚠ vérifier","")))</f>
        <v/>
      </c>
      <c r="G20" s="11" t="str">
        <f>IF(B20="","",IFERROR(INDEX('Effectif Saison'!$D$4:$D$51,MATCH(B20,'Effectif Saison'!$E$4:$E$51,0)),""))</f>
        <v>Équipe 1</v>
      </c>
      <c r="H20" s="19" t="str">
        <f>IF(L20=0,"",IF(E20="Oui",0,IFERROR(_xlfn.MINIFS(Changements!$B:$B,Changements!$A:$A,A20,Changements!$D:$D,B20),"")))</f>
        <v/>
      </c>
      <c r="I20" s="19" t="str">
        <f>IF(M20=0,"",IFERROR(_xlfn.MAXIFS(Changements!$B:$B,Changements!$A:$A,A20,Changements!$C:$C,B20),""))</f>
        <v/>
      </c>
      <c r="J20" s="11" t="str">
        <f t="shared" si="1"/>
        <v/>
      </c>
      <c r="K20" s="17">
        <f t="shared" si="2"/>
        <v>0</v>
      </c>
      <c r="L20" s="17">
        <f>IF(B20="",0,COUNTIFS(Changements!$A:$A,A20,Changements!$D:$D,B20)+IF(E20="Oui",1,0))</f>
        <v>0</v>
      </c>
      <c r="M20" s="17">
        <f>IF(B20="",0,COUNTIFS(Changements!$A:$A,A20,Changements!$C:$C,B20))</f>
        <v>0</v>
      </c>
      <c r="N20" s="17">
        <f>IF(B20="",0,SUMIFS(Changements!$B:$B,Changements!$A:$A,A20,Changements!$D:$D,B20))</f>
        <v>0</v>
      </c>
      <c r="O20" s="17">
        <f>IF(B20="",0,SUMIFS(Changements!$B:$B,Changements!$A:$A,A20,Changements!$C:$C,B20)+IF(L20&gt;M20,IFERROR(INDEX(Matchs!$F$4:$F$31,MATCH(A20,Matchs!$A$4:$A$31,0)),0),0))</f>
        <v>0</v>
      </c>
      <c r="P20" s="17">
        <f t="shared" si="3"/>
        <v>0</v>
      </c>
      <c r="Q20" s="17">
        <f t="shared" si="4"/>
        <v>0</v>
      </c>
    </row>
    <row r="21" spans="1:17" ht="15" customHeight="1" x14ac:dyDescent="0.25">
      <c r="A21" s="11">
        <f t="shared" si="0"/>
        <v>1</v>
      </c>
      <c r="B21" s="11" t="str">
        <f>INDEX('Effectif Saison'!$E$4:$E$22,18)</f>
        <v>Tom SCHILLER</v>
      </c>
      <c r="C21" s="10"/>
      <c r="D21" s="10"/>
      <c r="E21" s="10"/>
      <c r="F21" s="19" t="str">
        <f>IF(B21="","",IF(AND(E21="Oui",COUNTIFS(Changements!$A:$A,A21,Changements!$D:$D,B21)&gt;0),"⚠ Titulaire+entrée ?",IF(ABS(L21-M21)&gt;1,"⚠ vérifier","")))</f>
        <v/>
      </c>
      <c r="G21" s="11" t="str">
        <f>IF(B21="","",IFERROR(INDEX('Effectif Saison'!$D$4:$D$51,MATCH(B21,'Effectif Saison'!$E$4:$E$51,0)),""))</f>
        <v>Équipe 1</v>
      </c>
      <c r="H21" s="19" t="str">
        <f>IF(L21=0,"",IF(E21="Oui",0,IFERROR(_xlfn.MINIFS(Changements!$B:$B,Changements!$A:$A,A21,Changements!$D:$D,B21),"")))</f>
        <v/>
      </c>
      <c r="I21" s="19" t="str">
        <f>IF(M21=0,"",IFERROR(_xlfn.MAXIFS(Changements!$B:$B,Changements!$A:$A,A21,Changements!$C:$C,B21),""))</f>
        <v/>
      </c>
      <c r="J21" s="11" t="str">
        <f t="shared" si="1"/>
        <v/>
      </c>
      <c r="K21" s="17">
        <f t="shared" si="2"/>
        <v>0</v>
      </c>
      <c r="L21" s="17">
        <f>IF(B21="",0,COUNTIFS(Changements!$A:$A,A21,Changements!$D:$D,B21)+IF(E21="Oui",1,0))</f>
        <v>0</v>
      </c>
      <c r="M21" s="17">
        <f>IF(B21="",0,COUNTIFS(Changements!$A:$A,A21,Changements!$C:$C,B21))</f>
        <v>0</v>
      </c>
      <c r="N21" s="17">
        <f>IF(B21="",0,SUMIFS(Changements!$B:$B,Changements!$A:$A,A21,Changements!$D:$D,B21))</f>
        <v>0</v>
      </c>
      <c r="O21" s="17">
        <f>IF(B21="",0,SUMIFS(Changements!$B:$B,Changements!$A:$A,A21,Changements!$C:$C,B21)+IF(L21&gt;M21,IFERROR(INDEX(Matchs!$F$4:$F$31,MATCH(A21,Matchs!$A$4:$A$31,0)),0),0))</f>
        <v>0</v>
      </c>
      <c r="P21" s="17">
        <f t="shared" si="3"/>
        <v>0</v>
      </c>
      <c r="Q21" s="17">
        <f t="shared" si="4"/>
        <v>0</v>
      </c>
    </row>
    <row r="22" spans="1:17" ht="15" customHeight="1" x14ac:dyDescent="0.25">
      <c r="A22" s="11">
        <f t="shared" si="0"/>
        <v>1</v>
      </c>
      <c r="B22" s="11" t="str">
        <f>INDEX('Effectif Saison'!$E$4:$E$22,19)</f>
        <v>Eliot LEIBY</v>
      </c>
      <c r="C22" s="10"/>
      <c r="D22" s="10"/>
      <c r="E22" s="10"/>
      <c r="F22" s="19" t="str">
        <f>IF(B22="","",IF(AND(E22="Oui",COUNTIFS(Changements!$A:$A,A22,Changements!$D:$D,B22)&gt;0),"⚠ Titulaire+entrée ?",IF(ABS(L22-M22)&gt;1,"⚠ vérifier","")))</f>
        <v/>
      </c>
      <c r="G22" s="11" t="str">
        <f>IF(B22="","",IFERROR(INDEX('Effectif Saison'!$D$4:$D$51,MATCH(B22,'Effectif Saison'!$E$4:$E$51,0)),""))</f>
        <v>Équipe 1</v>
      </c>
      <c r="H22" s="19" t="str">
        <f>IF(L22=0,"",IF(E22="Oui",0,IFERROR(_xlfn.MINIFS(Changements!$B:$B,Changements!$A:$A,A22,Changements!$D:$D,B22),"")))</f>
        <v/>
      </c>
      <c r="I22" s="19" t="str">
        <f>IF(M22=0,"",IFERROR(_xlfn.MAXIFS(Changements!$B:$B,Changements!$A:$A,A22,Changements!$C:$C,B22),""))</f>
        <v/>
      </c>
      <c r="J22" s="11" t="str">
        <f t="shared" si="1"/>
        <v/>
      </c>
      <c r="K22" s="17">
        <f t="shared" si="2"/>
        <v>0</v>
      </c>
      <c r="L22" s="17">
        <f>IF(B22="",0,COUNTIFS(Changements!$A:$A,A22,Changements!$D:$D,B22)+IF(E22="Oui",1,0))</f>
        <v>0</v>
      </c>
      <c r="M22" s="17">
        <f>IF(B22="",0,COUNTIFS(Changements!$A:$A,A22,Changements!$C:$C,B22))</f>
        <v>0</v>
      </c>
      <c r="N22" s="17">
        <f>IF(B22="",0,SUMIFS(Changements!$B:$B,Changements!$A:$A,A22,Changements!$D:$D,B22))</f>
        <v>0</v>
      </c>
      <c r="O22" s="17">
        <f>IF(B22="",0,SUMIFS(Changements!$B:$B,Changements!$A:$A,A22,Changements!$C:$C,B22)+IF(L22&gt;M22,IFERROR(INDEX(Matchs!$F$4:$F$31,MATCH(A22,Matchs!$A$4:$A$31,0)),0),0))</f>
        <v>0</v>
      </c>
      <c r="P22" s="17">
        <f t="shared" si="3"/>
        <v>0</v>
      </c>
      <c r="Q22" s="17">
        <f t="shared" si="4"/>
        <v>0</v>
      </c>
    </row>
    <row r="23" spans="1:17" ht="15" customHeight="1" x14ac:dyDescent="0.25">
      <c r="A23" s="11">
        <f t="shared" si="0"/>
        <v>1</v>
      </c>
      <c r="B23" s="10"/>
      <c r="C23" s="10"/>
      <c r="D23" s="10"/>
      <c r="E23" s="10"/>
      <c r="F23" s="19" t="str">
        <f>IF(B23="","",IF(AND(E23="Oui",COUNTIFS(Changements!$A:$A,A23,Changements!$D:$D,B23)&gt;0),"⚠ Titulaire+entrée ?",IF(ABS(L23-M23)&gt;1,"⚠ vérifier","")))</f>
        <v/>
      </c>
      <c r="G23" s="11" t="str">
        <f>IF(B23="","",IFERROR(INDEX('Effectif Saison'!$D$4:$D$51,MATCH(B23,'Effectif Saison'!$E$4:$E$51,0)),""))</f>
        <v/>
      </c>
      <c r="H23" s="19" t="str">
        <f>IF(L23=0,"",IF(E23="Oui",0,IFERROR(_xlfn.MINIFS(Changements!$B:$B,Changements!$A:$A,A23,Changements!$D:$D,B23),"")))</f>
        <v/>
      </c>
      <c r="I23" s="19" t="str">
        <f>IF(M23=0,"",IFERROR(_xlfn.MAXIFS(Changements!$B:$B,Changements!$A:$A,A23,Changements!$C:$C,B23),""))</f>
        <v/>
      </c>
      <c r="J23" s="11" t="str">
        <f t="shared" si="1"/>
        <v/>
      </c>
      <c r="K23" s="17">
        <f t="shared" si="2"/>
        <v>0</v>
      </c>
      <c r="L23" s="17">
        <f>IF(B23="",0,COUNTIFS(Changements!$A:$A,A23,Changements!$D:$D,B23)+IF(E23="Oui",1,0))</f>
        <v>0</v>
      </c>
      <c r="M23" s="17">
        <f>IF(B23="",0,COUNTIFS(Changements!$A:$A,A23,Changements!$C:$C,B23))</f>
        <v>0</v>
      </c>
      <c r="N23" s="17">
        <f>IF(B23="",0,SUMIFS(Changements!$B:$B,Changements!$A:$A,A23,Changements!$D:$D,B23))</f>
        <v>0</v>
      </c>
      <c r="O23" s="17">
        <f>IF(B23="",0,SUMIFS(Changements!$B:$B,Changements!$A:$A,A23,Changements!$C:$C,B23)+IF(L23&gt;M23,IFERROR(INDEX(Matchs!$F$4:$F$31,MATCH(A23,Matchs!$A$4:$A$31,0)),0),0))</f>
        <v>0</v>
      </c>
      <c r="P23" s="17">
        <f t="shared" si="3"/>
        <v>0</v>
      </c>
      <c r="Q23" s="17">
        <f t="shared" si="4"/>
        <v>0</v>
      </c>
    </row>
    <row r="24" spans="1:17" ht="15" customHeight="1" x14ac:dyDescent="0.25">
      <c r="A24" s="11">
        <f t="shared" si="0"/>
        <v>1</v>
      </c>
      <c r="B24" s="10"/>
      <c r="C24" s="10"/>
      <c r="D24" s="10"/>
      <c r="E24" s="10"/>
      <c r="F24" s="19" t="str">
        <f>IF(B24="","",IF(AND(E24="Oui",COUNTIFS(Changements!$A:$A,A24,Changements!$D:$D,B24)&gt;0),"⚠ Titulaire+entrée ?",IF(ABS(L24-M24)&gt;1,"⚠ vérifier","")))</f>
        <v/>
      </c>
      <c r="G24" s="11" t="str">
        <f>IF(B24="","",IFERROR(INDEX('Effectif Saison'!$D$4:$D$51,MATCH(B24,'Effectif Saison'!$E$4:$E$51,0)),""))</f>
        <v/>
      </c>
      <c r="H24" s="19" t="str">
        <f>IF(L24=0,"",IF(E24="Oui",0,IFERROR(_xlfn.MINIFS(Changements!$B:$B,Changements!$A:$A,A24,Changements!$D:$D,B24),"")))</f>
        <v/>
      </c>
      <c r="I24" s="19" t="str">
        <f>IF(M24=0,"",IFERROR(_xlfn.MAXIFS(Changements!$B:$B,Changements!$A:$A,A24,Changements!$C:$C,B24),""))</f>
        <v/>
      </c>
      <c r="J24" s="11" t="str">
        <f t="shared" si="1"/>
        <v/>
      </c>
      <c r="K24" s="17">
        <f t="shared" si="2"/>
        <v>0</v>
      </c>
      <c r="L24" s="17">
        <f>IF(B24="",0,COUNTIFS(Changements!$A:$A,A24,Changements!$D:$D,B24)+IF(E24="Oui",1,0))</f>
        <v>0</v>
      </c>
      <c r="M24" s="17">
        <f>IF(B24="",0,COUNTIFS(Changements!$A:$A,A24,Changements!$C:$C,B24))</f>
        <v>0</v>
      </c>
      <c r="N24" s="17">
        <f>IF(B24="",0,SUMIFS(Changements!$B:$B,Changements!$A:$A,A24,Changements!$D:$D,B24))</f>
        <v>0</v>
      </c>
      <c r="O24" s="17">
        <f>IF(B24="",0,SUMIFS(Changements!$B:$B,Changements!$A:$A,A24,Changements!$C:$C,B24)+IF(L24&gt;M24,IFERROR(INDEX(Matchs!$F$4:$F$31,MATCH(A24,Matchs!$A$4:$A$31,0)),0),0))</f>
        <v>0</v>
      </c>
      <c r="P24" s="17">
        <f t="shared" si="3"/>
        <v>0</v>
      </c>
      <c r="Q24" s="17">
        <f t="shared" si="4"/>
        <v>0</v>
      </c>
    </row>
    <row r="25" spans="1:17" ht="15" customHeight="1" x14ac:dyDescent="0.25">
      <c r="A25" s="11">
        <f t="shared" si="0"/>
        <v>1</v>
      </c>
      <c r="B25" s="10"/>
      <c r="C25" s="10"/>
      <c r="D25" s="10"/>
      <c r="E25" s="10"/>
      <c r="F25" s="19" t="str">
        <f>IF(B25="","",IF(AND(E25="Oui",COUNTIFS(Changements!$A:$A,A25,Changements!$D:$D,B25)&gt;0),"⚠ Titulaire+entrée ?",IF(ABS(L25-M25)&gt;1,"⚠ vérifier","")))</f>
        <v/>
      </c>
      <c r="G25" s="11" t="str">
        <f>IF(B25="","",IFERROR(INDEX('Effectif Saison'!$D$4:$D$51,MATCH(B25,'Effectif Saison'!$E$4:$E$51,0)),""))</f>
        <v/>
      </c>
      <c r="H25" s="19" t="str">
        <f>IF(L25=0,"",IF(E25="Oui",0,IFERROR(_xlfn.MINIFS(Changements!$B:$B,Changements!$A:$A,A25,Changements!$D:$D,B25),"")))</f>
        <v/>
      </c>
      <c r="I25" s="19" t="str">
        <f>IF(M25=0,"",IFERROR(_xlfn.MAXIFS(Changements!$B:$B,Changements!$A:$A,A25,Changements!$C:$C,B25),""))</f>
        <v/>
      </c>
      <c r="J25" s="11" t="str">
        <f t="shared" si="1"/>
        <v/>
      </c>
      <c r="K25" s="17">
        <f t="shared" si="2"/>
        <v>0</v>
      </c>
      <c r="L25" s="17">
        <f>IF(B25="",0,COUNTIFS(Changements!$A:$A,A25,Changements!$D:$D,B25)+IF(E25="Oui",1,0))</f>
        <v>0</v>
      </c>
      <c r="M25" s="17">
        <f>IF(B25="",0,COUNTIFS(Changements!$A:$A,A25,Changements!$C:$C,B25))</f>
        <v>0</v>
      </c>
      <c r="N25" s="17">
        <f>IF(B25="",0,SUMIFS(Changements!$B:$B,Changements!$A:$A,A25,Changements!$D:$D,B25))</f>
        <v>0</v>
      </c>
      <c r="O25" s="17">
        <f>IF(B25="",0,SUMIFS(Changements!$B:$B,Changements!$A:$A,A25,Changements!$C:$C,B25)+IF(L25&gt;M25,IFERROR(INDEX(Matchs!$F$4:$F$31,MATCH(A25,Matchs!$A$4:$A$31,0)),0),0))</f>
        <v>0</v>
      </c>
      <c r="P25" s="17">
        <f t="shared" si="3"/>
        <v>0</v>
      </c>
      <c r="Q25" s="17">
        <f t="shared" si="4"/>
        <v>0</v>
      </c>
    </row>
    <row r="26" spans="1:17" ht="15" customHeight="1" x14ac:dyDescent="0.25">
      <c r="A26" s="11">
        <f t="shared" si="0"/>
        <v>1</v>
      </c>
      <c r="B26" s="10"/>
      <c r="C26" s="10"/>
      <c r="D26" s="10"/>
      <c r="E26" s="10"/>
      <c r="F26" s="19" t="str">
        <f>IF(B26="","",IF(AND(E26="Oui",COUNTIFS(Changements!$A:$A,A26,Changements!$D:$D,B26)&gt;0),"⚠ Titulaire+entrée ?",IF(ABS(L26-M26)&gt;1,"⚠ vérifier","")))</f>
        <v/>
      </c>
      <c r="G26" s="11" t="str">
        <f>IF(B26="","",IFERROR(INDEX('Effectif Saison'!$D$4:$D$51,MATCH(B26,'Effectif Saison'!$E$4:$E$51,0)),""))</f>
        <v/>
      </c>
      <c r="H26" s="19" t="str">
        <f>IF(L26=0,"",IF(E26="Oui",0,IFERROR(_xlfn.MINIFS(Changements!$B:$B,Changements!$A:$A,A26,Changements!$D:$D,B26),"")))</f>
        <v/>
      </c>
      <c r="I26" s="19" t="str">
        <f>IF(M26=0,"",IFERROR(_xlfn.MAXIFS(Changements!$B:$B,Changements!$A:$A,A26,Changements!$C:$C,B26),""))</f>
        <v/>
      </c>
      <c r="J26" s="11" t="str">
        <f t="shared" si="1"/>
        <v/>
      </c>
      <c r="K26" s="17">
        <f t="shared" si="2"/>
        <v>0</v>
      </c>
      <c r="L26" s="17">
        <f>IF(B26="",0,COUNTIFS(Changements!$A:$A,A26,Changements!$D:$D,B26)+IF(E26="Oui",1,0))</f>
        <v>0</v>
      </c>
      <c r="M26" s="17">
        <f>IF(B26="",0,COUNTIFS(Changements!$A:$A,A26,Changements!$C:$C,B26))</f>
        <v>0</v>
      </c>
      <c r="N26" s="17">
        <f>IF(B26="",0,SUMIFS(Changements!$B:$B,Changements!$A:$A,A26,Changements!$D:$D,B26))</f>
        <v>0</v>
      </c>
      <c r="O26" s="17">
        <f>IF(B26="",0,SUMIFS(Changements!$B:$B,Changements!$A:$A,A26,Changements!$C:$C,B26)+IF(L26&gt;M26,IFERROR(INDEX(Matchs!$F$4:$F$31,MATCH(A26,Matchs!$A$4:$A$31,0)),0),0))</f>
        <v>0</v>
      </c>
      <c r="P26" s="17">
        <f t="shared" si="3"/>
        <v>0</v>
      </c>
      <c r="Q26" s="17">
        <f t="shared" si="4"/>
        <v>0</v>
      </c>
    </row>
    <row r="27" spans="1:17" ht="15" customHeight="1" x14ac:dyDescent="0.25">
      <c r="A27" s="11">
        <f t="shared" si="0"/>
        <v>1</v>
      </c>
      <c r="B27" s="10"/>
      <c r="C27" s="10"/>
      <c r="D27" s="10"/>
      <c r="E27" s="10"/>
      <c r="F27" s="19" t="str">
        <f>IF(B27="","",IF(AND(E27="Oui",COUNTIFS(Changements!$A:$A,A27,Changements!$D:$D,B27)&gt;0),"⚠ Titulaire+entrée ?",IF(ABS(L27-M27)&gt;1,"⚠ vérifier","")))</f>
        <v/>
      </c>
      <c r="G27" s="11" t="str">
        <f>IF(B27="","",IFERROR(INDEX('Effectif Saison'!$D$4:$D$51,MATCH(B27,'Effectif Saison'!$E$4:$E$51,0)),""))</f>
        <v/>
      </c>
      <c r="H27" s="19" t="str">
        <f>IF(L27=0,"",IF(E27="Oui",0,IFERROR(_xlfn.MINIFS(Changements!$B:$B,Changements!$A:$A,A27,Changements!$D:$D,B27),"")))</f>
        <v/>
      </c>
      <c r="I27" s="19" t="str">
        <f>IF(M27=0,"",IFERROR(_xlfn.MAXIFS(Changements!$B:$B,Changements!$A:$A,A27,Changements!$C:$C,B27),""))</f>
        <v/>
      </c>
      <c r="J27" s="11" t="str">
        <f t="shared" si="1"/>
        <v/>
      </c>
      <c r="K27" s="17">
        <f t="shared" si="2"/>
        <v>0</v>
      </c>
      <c r="L27" s="17">
        <f>IF(B27="",0,COUNTIFS(Changements!$A:$A,A27,Changements!$D:$D,B27)+IF(E27="Oui",1,0))</f>
        <v>0</v>
      </c>
      <c r="M27" s="17">
        <f>IF(B27="",0,COUNTIFS(Changements!$A:$A,A27,Changements!$C:$C,B27))</f>
        <v>0</v>
      </c>
      <c r="N27" s="17">
        <f>IF(B27="",0,SUMIFS(Changements!$B:$B,Changements!$A:$A,A27,Changements!$D:$D,B27))</f>
        <v>0</v>
      </c>
      <c r="O27" s="17">
        <f>IF(B27="",0,SUMIFS(Changements!$B:$B,Changements!$A:$A,A27,Changements!$C:$C,B27)+IF(L27&gt;M27,IFERROR(INDEX(Matchs!$F$4:$F$31,MATCH(A27,Matchs!$A$4:$A$31,0)),0),0))</f>
        <v>0</v>
      </c>
      <c r="P27" s="17">
        <f t="shared" si="3"/>
        <v>0</v>
      </c>
      <c r="Q27" s="17">
        <f t="shared" si="4"/>
        <v>0</v>
      </c>
    </row>
    <row r="28" spans="1:17" ht="15" customHeight="1" x14ac:dyDescent="0.25">
      <c r="A28" s="11">
        <f t="shared" si="0"/>
        <v>2</v>
      </c>
      <c r="B28" s="11" t="str">
        <f>INDEX('Effectif Saison'!$E$4:$E$22,1)</f>
        <v>Alan MICHON</v>
      </c>
      <c r="C28" s="10"/>
      <c r="D28" s="10"/>
      <c r="E28" s="10"/>
      <c r="F28" s="19" t="str">
        <f>IF(B28="","",IF(AND(E28="Oui",COUNTIFS(Changements!$A:$A,A28,Changements!$D:$D,B28)&gt;0),"⚠ Titulaire+entrée ?",IF(ABS(L28-M28)&gt;1,"⚠ vérifier","")))</f>
        <v/>
      </c>
      <c r="G28" s="11" t="str">
        <f>IF(B28="","",IFERROR(INDEX('Effectif Saison'!$D$4:$D$51,MATCH(B28,'Effectif Saison'!$E$4:$E$51,0)),""))</f>
        <v>Équipe 1</v>
      </c>
      <c r="H28" s="19" t="str">
        <f>IF(L28=0,"",IF(E28="Oui",0,IFERROR(_xlfn.MINIFS(Changements!$B:$B,Changements!$A:$A,A28,Changements!$D:$D,B28),"")))</f>
        <v/>
      </c>
      <c r="I28" s="19" t="str">
        <f>IF(M28=0,"",IFERROR(_xlfn.MAXIFS(Changements!$B:$B,Changements!$A:$A,A28,Changements!$C:$C,B28),""))</f>
        <v/>
      </c>
      <c r="J28" s="11" t="str">
        <f t="shared" si="1"/>
        <v/>
      </c>
      <c r="K28" s="17">
        <f t="shared" si="2"/>
        <v>0</v>
      </c>
      <c r="L28" s="17">
        <f>IF(B28="",0,COUNTIFS(Changements!$A:$A,A28,Changements!$D:$D,B28)+IF(E28="Oui",1,0))</f>
        <v>0</v>
      </c>
      <c r="M28" s="17">
        <f>IF(B28="",0,COUNTIFS(Changements!$A:$A,A28,Changements!$C:$C,B28))</f>
        <v>0</v>
      </c>
      <c r="N28" s="17">
        <f>IF(B28="",0,SUMIFS(Changements!$B:$B,Changements!$A:$A,A28,Changements!$D:$D,B28))</f>
        <v>0</v>
      </c>
      <c r="O28" s="17">
        <f>IF(B28="",0,SUMIFS(Changements!$B:$B,Changements!$A:$A,A28,Changements!$C:$C,B28)+IF(L28&gt;M28,IFERROR(INDEX(Matchs!$F$4:$F$31,MATCH(A28,Matchs!$A$4:$A$31,0)),0),0))</f>
        <v>0</v>
      </c>
      <c r="P28" s="17">
        <f t="shared" si="3"/>
        <v>0</v>
      </c>
      <c r="Q28" s="17">
        <f t="shared" si="4"/>
        <v>0</v>
      </c>
    </row>
    <row r="29" spans="1:17" ht="15" customHeight="1" x14ac:dyDescent="0.25">
      <c r="A29" s="11">
        <f t="shared" si="0"/>
        <v>2</v>
      </c>
      <c r="B29" s="11" t="str">
        <f>INDEX('Effectif Saison'!$E$4:$E$22,2)</f>
        <v>Jean BRUNTZ</v>
      </c>
      <c r="C29" s="10"/>
      <c r="D29" s="10"/>
      <c r="E29" s="10"/>
      <c r="F29" s="19" t="str">
        <f>IF(B29="","",IF(AND(E29="Oui",COUNTIFS(Changements!$A:$A,A29,Changements!$D:$D,B29)&gt;0),"⚠ Titulaire+entrée ?",IF(ABS(L29-M29)&gt;1,"⚠ vérifier","")))</f>
        <v/>
      </c>
      <c r="G29" s="11" t="str">
        <f>IF(B29="","",IFERROR(INDEX('Effectif Saison'!$D$4:$D$51,MATCH(B29,'Effectif Saison'!$E$4:$E$51,0)),""))</f>
        <v>Équipe 1</v>
      </c>
      <c r="H29" s="19" t="str">
        <f>IF(L29=0,"",IF(E29="Oui",0,IFERROR(_xlfn.MINIFS(Changements!$B:$B,Changements!$A:$A,A29,Changements!$D:$D,B29),"")))</f>
        <v/>
      </c>
      <c r="I29" s="19" t="str">
        <f>IF(M29=0,"",IFERROR(_xlfn.MAXIFS(Changements!$B:$B,Changements!$A:$A,A29,Changements!$C:$C,B29),""))</f>
        <v/>
      </c>
      <c r="J29" s="11" t="str">
        <f t="shared" si="1"/>
        <v/>
      </c>
      <c r="K29" s="17">
        <f t="shared" si="2"/>
        <v>0</v>
      </c>
      <c r="L29" s="17">
        <f>IF(B29="",0,COUNTIFS(Changements!$A:$A,A29,Changements!$D:$D,B29)+IF(E29="Oui",1,0))</f>
        <v>0</v>
      </c>
      <c r="M29" s="17">
        <f>IF(B29="",0,COUNTIFS(Changements!$A:$A,A29,Changements!$C:$C,B29))</f>
        <v>0</v>
      </c>
      <c r="N29" s="17">
        <f>IF(B29="",0,SUMIFS(Changements!$B:$B,Changements!$A:$A,A29,Changements!$D:$D,B29))</f>
        <v>0</v>
      </c>
      <c r="O29" s="17">
        <f>IF(B29="",0,SUMIFS(Changements!$B:$B,Changements!$A:$A,A29,Changements!$C:$C,B29)+IF(L29&gt;M29,IFERROR(INDEX(Matchs!$F$4:$F$31,MATCH(A29,Matchs!$A$4:$A$31,0)),0),0))</f>
        <v>0</v>
      </c>
      <c r="P29" s="17">
        <f t="shared" si="3"/>
        <v>0</v>
      </c>
      <c r="Q29" s="17">
        <f t="shared" si="4"/>
        <v>0</v>
      </c>
    </row>
    <row r="30" spans="1:17" ht="15" customHeight="1" x14ac:dyDescent="0.25">
      <c r="A30" s="11">
        <f t="shared" si="0"/>
        <v>2</v>
      </c>
      <c r="B30" s="11" t="str">
        <f>INDEX('Effectif Saison'!$E$4:$E$22,3)</f>
        <v>Marouane SBK</v>
      </c>
      <c r="C30" s="10"/>
      <c r="D30" s="10"/>
      <c r="E30" s="10"/>
      <c r="F30" s="19" t="str">
        <f>IF(B30="","",IF(AND(E30="Oui",COUNTIFS(Changements!$A:$A,A30,Changements!$D:$D,B30)&gt;0),"⚠ Titulaire+entrée ?",IF(ABS(L30-M30)&gt;1,"⚠ vérifier","")))</f>
        <v/>
      </c>
      <c r="G30" s="11" t="str">
        <f>IF(B30="","",IFERROR(INDEX('Effectif Saison'!$D$4:$D$51,MATCH(B30,'Effectif Saison'!$E$4:$E$51,0)),""))</f>
        <v>Équipe 1</v>
      </c>
      <c r="H30" s="19" t="str">
        <f>IF(L30=0,"",IF(E30="Oui",0,IFERROR(_xlfn.MINIFS(Changements!$B:$B,Changements!$A:$A,A30,Changements!$D:$D,B30),"")))</f>
        <v/>
      </c>
      <c r="I30" s="19" t="str">
        <f>IF(M30=0,"",IFERROR(_xlfn.MAXIFS(Changements!$B:$B,Changements!$A:$A,A30,Changements!$C:$C,B30),""))</f>
        <v/>
      </c>
      <c r="J30" s="11" t="str">
        <f t="shared" si="1"/>
        <v/>
      </c>
      <c r="K30" s="17">
        <f t="shared" si="2"/>
        <v>0</v>
      </c>
      <c r="L30" s="17">
        <f>IF(B30="",0,COUNTIFS(Changements!$A:$A,A30,Changements!$D:$D,B30)+IF(E30="Oui",1,0))</f>
        <v>0</v>
      </c>
      <c r="M30" s="17">
        <f>IF(B30="",0,COUNTIFS(Changements!$A:$A,A30,Changements!$C:$C,B30))</f>
        <v>0</v>
      </c>
      <c r="N30" s="17">
        <f>IF(B30="",0,SUMIFS(Changements!$B:$B,Changements!$A:$A,A30,Changements!$D:$D,B30))</f>
        <v>0</v>
      </c>
      <c r="O30" s="17">
        <f>IF(B30="",0,SUMIFS(Changements!$B:$B,Changements!$A:$A,A30,Changements!$C:$C,B30)+IF(L30&gt;M30,IFERROR(INDEX(Matchs!$F$4:$F$31,MATCH(A30,Matchs!$A$4:$A$31,0)),0),0))</f>
        <v>0</v>
      </c>
      <c r="P30" s="17">
        <f t="shared" si="3"/>
        <v>0</v>
      </c>
      <c r="Q30" s="17">
        <f t="shared" si="4"/>
        <v>0</v>
      </c>
    </row>
    <row r="31" spans="1:17" ht="15" customHeight="1" x14ac:dyDescent="0.25">
      <c r="A31" s="11">
        <f t="shared" si="0"/>
        <v>2</v>
      </c>
      <c r="B31" s="11" t="str">
        <f>INDEX('Effectif Saison'!$E$4:$E$22,4)</f>
        <v>Noé BIHL</v>
      </c>
      <c r="C31" s="10"/>
      <c r="D31" s="10"/>
      <c r="E31" s="10"/>
      <c r="F31" s="19" t="str">
        <f>IF(B31="","",IF(AND(E31="Oui",COUNTIFS(Changements!$A:$A,A31,Changements!$D:$D,B31)&gt;0),"⚠ Titulaire+entrée ?",IF(ABS(L31-M31)&gt;1,"⚠ vérifier","")))</f>
        <v/>
      </c>
      <c r="G31" s="11" t="str">
        <f>IF(B31="","",IFERROR(INDEX('Effectif Saison'!$D$4:$D$51,MATCH(B31,'Effectif Saison'!$E$4:$E$51,0)),""))</f>
        <v>Équipe 1</v>
      </c>
      <c r="H31" s="19" t="str">
        <f>IF(L31=0,"",IF(E31="Oui",0,IFERROR(_xlfn.MINIFS(Changements!$B:$B,Changements!$A:$A,A31,Changements!$D:$D,B31),"")))</f>
        <v/>
      </c>
      <c r="I31" s="19" t="str">
        <f>IF(M31=0,"",IFERROR(_xlfn.MAXIFS(Changements!$B:$B,Changements!$A:$A,A31,Changements!$C:$C,B31),""))</f>
        <v/>
      </c>
      <c r="J31" s="11" t="str">
        <f t="shared" si="1"/>
        <v/>
      </c>
      <c r="K31" s="17">
        <f t="shared" si="2"/>
        <v>0</v>
      </c>
      <c r="L31" s="17">
        <f>IF(B31="",0,COUNTIFS(Changements!$A:$A,A31,Changements!$D:$D,B31)+IF(E31="Oui",1,0))</f>
        <v>0</v>
      </c>
      <c r="M31" s="17">
        <f>IF(B31="",0,COUNTIFS(Changements!$A:$A,A31,Changements!$C:$C,B31))</f>
        <v>0</v>
      </c>
      <c r="N31" s="17">
        <f>IF(B31="",0,SUMIFS(Changements!$B:$B,Changements!$A:$A,A31,Changements!$D:$D,B31))</f>
        <v>0</v>
      </c>
      <c r="O31" s="17">
        <f>IF(B31="",0,SUMIFS(Changements!$B:$B,Changements!$A:$A,A31,Changements!$C:$C,B31)+IF(L31&gt;M31,IFERROR(INDEX(Matchs!$F$4:$F$31,MATCH(A31,Matchs!$A$4:$A$31,0)),0),0))</f>
        <v>0</v>
      </c>
      <c r="P31" s="17">
        <f t="shared" si="3"/>
        <v>0</v>
      </c>
      <c r="Q31" s="17">
        <f t="shared" si="4"/>
        <v>0</v>
      </c>
    </row>
    <row r="32" spans="1:17" ht="15" customHeight="1" x14ac:dyDescent="0.25">
      <c r="A32" s="11">
        <f t="shared" si="0"/>
        <v>2</v>
      </c>
      <c r="B32" s="11" t="str">
        <f>INDEX('Effectif Saison'!$E$4:$E$22,5)</f>
        <v>Luca COLAIANNI</v>
      </c>
      <c r="C32" s="10"/>
      <c r="D32" s="10"/>
      <c r="E32" s="10"/>
      <c r="F32" s="19" t="str">
        <f>IF(B32="","",IF(AND(E32="Oui",COUNTIFS(Changements!$A:$A,A32,Changements!$D:$D,B32)&gt;0),"⚠ Titulaire+entrée ?",IF(ABS(L32-M32)&gt;1,"⚠ vérifier","")))</f>
        <v/>
      </c>
      <c r="G32" s="11" t="str">
        <f>IF(B32="","",IFERROR(INDEX('Effectif Saison'!$D$4:$D$51,MATCH(B32,'Effectif Saison'!$E$4:$E$51,0)),""))</f>
        <v>Équipe 1</v>
      </c>
      <c r="H32" s="19" t="str">
        <f>IF(L32=0,"",IF(E32="Oui",0,IFERROR(_xlfn.MINIFS(Changements!$B:$B,Changements!$A:$A,A32,Changements!$D:$D,B32),"")))</f>
        <v/>
      </c>
      <c r="I32" s="19" t="str">
        <f>IF(M32=0,"",IFERROR(_xlfn.MAXIFS(Changements!$B:$B,Changements!$A:$A,A32,Changements!$C:$C,B32),""))</f>
        <v/>
      </c>
      <c r="J32" s="11" t="str">
        <f t="shared" si="1"/>
        <v/>
      </c>
      <c r="K32" s="17">
        <f t="shared" si="2"/>
        <v>0</v>
      </c>
      <c r="L32" s="17">
        <f>IF(B32="",0,COUNTIFS(Changements!$A:$A,A32,Changements!$D:$D,B32)+IF(E32="Oui",1,0))</f>
        <v>0</v>
      </c>
      <c r="M32" s="17">
        <f>IF(B32="",0,COUNTIFS(Changements!$A:$A,A32,Changements!$C:$C,B32))</f>
        <v>0</v>
      </c>
      <c r="N32" s="17">
        <f>IF(B32="",0,SUMIFS(Changements!$B:$B,Changements!$A:$A,A32,Changements!$D:$D,B32))</f>
        <v>0</v>
      </c>
      <c r="O32" s="17">
        <f>IF(B32="",0,SUMIFS(Changements!$B:$B,Changements!$A:$A,A32,Changements!$C:$C,B32)+IF(L32&gt;M32,IFERROR(INDEX(Matchs!$F$4:$F$31,MATCH(A32,Matchs!$A$4:$A$31,0)),0),0))</f>
        <v>0</v>
      </c>
      <c r="P32" s="17">
        <f t="shared" si="3"/>
        <v>0</v>
      </c>
      <c r="Q32" s="17">
        <f t="shared" si="4"/>
        <v>0</v>
      </c>
    </row>
    <row r="33" spans="1:17" ht="15" customHeight="1" x14ac:dyDescent="0.25">
      <c r="A33" s="11">
        <f t="shared" si="0"/>
        <v>2</v>
      </c>
      <c r="B33" s="11" t="str">
        <f>INDEX('Effectif Saison'!$E$4:$E$22,6)</f>
        <v>Atilla ER</v>
      </c>
      <c r="C33" s="10"/>
      <c r="D33" s="10"/>
      <c r="E33" s="10"/>
      <c r="F33" s="19" t="str">
        <f>IF(B33="","",IF(AND(E33="Oui",COUNTIFS(Changements!$A:$A,A33,Changements!$D:$D,B33)&gt;0),"⚠ Titulaire+entrée ?",IF(ABS(L33-M33)&gt;1,"⚠ vérifier","")))</f>
        <v/>
      </c>
      <c r="G33" s="11" t="str">
        <f>IF(B33="","",IFERROR(INDEX('Effectif Saison'!$D$4:$D$51,MATCH(B33,'Effectif Saison'!$E$4:$E$51,0)),""))</f>
        <v>Équipe 1</v>
      </c>
      <c r="H33" s="19" t="str">
        <f>IF(L33=0,"",IF(E33="Oui",0,IFERROR(_xlfn.MINIFS(Changements!$B:$B,Changements!$A:$A,A33,Changements!$D:$D,B33),"")))</f>
        <v/>
      </c>
      <c r="I33" s="19" t="str">
        <f>IF(M33=0,"",IFERROR(_xlfn.MAXIFS(Changements!$B:$B,Changements!$A:$A,A33,Changements!$C:$C,B33),""))</f>
        <v/>
      </c>
      <c r="J33" s="11" t="str">
        <f t="shared" si="1"/>
        <v/>
      </c>
      <c r="K33" s="17">
        <f t="shared" si="2"/>
        <v>0</v>
      </c>
      <c r="L33" s="17">
        <f>IF(B33="",0,COUNTIFS(Changements!$A:$A,A33,Changements!$D:$D,B33)+IF(E33="Oui",1,0))</f>
        <v>0</v>
      </c>
      <c r="M33" s="17">
        <f>IF(B33="",0,COUNTIFS(Changements!$A:$A,A33,Changements!$C:$C,B33))</f>
        <v>0</v>
      </c>
      <c r="N33" s="17">
        <f>IF(B33="",0,SUMIFS(Changements!$B:$B,Changements!$A:$A,A33,Changements!$D:$D,B33))</f>
        <v>0</v>
      </c>
      <c r="O33" s="17">
        <f>IF(B33="",0,SUMIFS(Changements!$B:$B,Changements!$A:$A,A33,Changements!$C:$C,B33)+IF(L33&gt;M33,IFERROR(INDEX(Matchs!$F$4:$F$31,MATCH(A33,Matchs!$A$4:$A$31,0)),0),0))</f>
        <v>0</v>
      </c>
      <c r="P33" s="17">
        <f t="shared" si="3"/>
        <v>0</v>
      </c>
      <c r="Q33" s="17">
        <f t="shared" si="4"/>
        <v>0</v>
      </c>
    </row>
    <row r="34" spans="1:17" ht="15" customHeight="1" x14ac:dyDescent="0.25">
      <c r="A34" s="11">
        <f t="shared" si="0"/>
        <v>2</v>
      </c>
      <c r="B34" s="11" t="str">
        <f>INDEX('Effectif Saison'!$E$4:$E$22,7)</f>
        <v>Lucas BUHR</v>
      </c>
      <c r="C34" s="10"/>
      <c r="D34" s="10"/>
      <c r="E34" s="10"/>
      <c r="F34" s="19" t="str">
        <f>IF(B34="","",IF(AND(E34="Oui",COUNTIFS(Changements!$A:$A,A34,Changements!$D:$D,B34)&gt;0),"⚠ Titulaire+entrée ?",IF(ABS(L34-M34)&gt;1,"⚠ vérifier","")))</f>
        <v/>
      </c>
      <c r="G34" s="11" t="str">
        <f>IF(B34="","",IFERROR(INDEX('Effectif Saison'!$D$4:$D$51,MATCH(B34,'Effectif Saison'!$E$4:$E$51,0)),""))</f>
        <v>Équipe 1</v>
      </c>
      <c r="H34" s="19" t="str">
        <f>IF(L34=0,"",IF(E34="Oui",0,IFERROR(_xlfn.MINIFS(Changements!$B:$B,Changements!$A:$A,A34,Changements!$D:$D,B34),"")))</f>
        <v/>
      </c>
      <c r="I34" s="19" t="str">
        <f>IF(M34=0,"",IFERROR(_xlfn.MAXIFS(Changements!$B:$B,Changements!$A:$A,A34,Changements!$C:$C,B34),""))</f>
        <v/>
      </c>
      <c r="J34" s="11" t="str">
        <f t="shared" si="1"/>
        <v/>
      </c>
      <c r="K34" s="17">
        <f t="shared" si="2"/>
        <v>0</v>
      </c>
      <c r="L34" s="17">
        <f>IF(B34="",0,COUNTIFS(Changements!$A:$A,A34,Changements!$D:$D,B34)+IF(E34="Oui",1,0))</f>
        <v>0</v>
      </c>
      <c r="M34" s="17">
        <f>IF(B34="",0,COUNTIFS(Changements!$A:$A,A34,Changements!$C:$C,B34))</f>
        <v>0</v>
      </c>
      <c r="N34" s="17">
        <f>IF(B34="",0,SUMIFS(Changements!$B:$B,Changements!$A:$A,A34,Changements!$D:$D,B34))</f>
        <v>0</v>
      </c>
      <c r="O34" s="17">
        <f>IF(B34="",0,SUMIFS(Changements!$B:$B,Changements!$A:$A,A34,Changements!$C:$C,B34)+IF(L34&gt;M34,IFERROR(INDEX(Matchs!$F$4:$F$31,MATCH(A34,Matchs!$A$4:$A$31,0)),0),0))</f>
        <v>0</v>
      </c>
      <c r="P34" s="17">
        <f t="shared" si="3"/>
        <v>0</v>
      </c>
      <c r="Q34" s="17">
        <f t="shared" si="4"/>
        <v>0</v>
      </c>
    </row>
    <row r="35" spans="1:17" ht="15" customHeight="1" x14ac:dyDescent="0.25">
      <c r="A35" s="11">
        <f t="shared" si="0"/>
        <v>2</v>
      </c>
      <c r="B35" s="11" t="str">
        <f>INDEX('Effectif Saison'!$E$4:$E$22,8)</f>
        <v>Yanis HOUX</v>
      </c>
      <c r="C35" s="10"/>
      <c r="D35" s="10"/>
      <c r="E35" s="10"/>
      <c r="F35" s="19" t="str">
        <f>IF(B35="","",IF(AND(E35="Oui",COUNTIFS(Changements!$A:$A,A35,Changements!$D:$D,B35)&gt;0),"⚠ Titulaire+entrée ?",IF(ABS(L35-M35)&gt;1,"⚠ vérifier","")))</f>
        <v/>
      </c>
      <c r="G35" s="11" t="str">
        <f>IF(B35="","",IFERROR(INDEX('Effectif Saison'!$D$4:$D$51,MATCH(B35,'Effectif Saison'!$E$4:$E$51,0)),""))</f>
        <v>Équipe 1</v>
      </c>
      <c r="H35" s="19" t="str">
        <f>IF(L35=0,"",IF(E35="Oui",0,IFERROR(_xlfn.MINIFS(Changements!$B:$B,Changements!$A:$A,A35,Changements!$D:$D,B35),"")))</f>
        <v/>
      </c>
      <c r="I35" s="19" t="str">
        <f>IF(M35=0,"",IFERROR(_xlfn.MAXIFS(Changements!$B:$B,Changements!$A:$A,A35,Changements!$C:$C,B35),""))</f>
        <v/>
      </c>
      <c r="J35" s="11" t="str">
        <f t="shared" si="1"/>
        <v/>
      </c>
      <c r="K35" s="17">
        <f t="shared" si="2"/>
        <v>0</v>
      </c>
      <c r="L35" s="17">
        <f>IF(B35="",0,COUNTIFS(Changements!$A:$A,A35,Changements!$D:$D,B35)+IF(E35="Oui",1,0))</f>
        <v>0</v>
      </c>
      <c r="M35" s="17">
        <f>IF(B35="",0,COUNTIFS(Changements!$A:$A,A35,Changements!$C:$C,B35))</f>
        <v>0</v>
      </c>
      <c r="N35" s="17">
        <f>IF(B35="",0,SUMIFS(Changements!$B:$B,Changements!$A:$A,A35,Changements!$D:$D,B35))</f>
        <v>0</v>
      </c>
      <c r="O35" s="17">
        <f>IF(B35="",0,SUMIFS(Changements!$B:$B,Changements!$A:$A,A35,Changements!$C:$C,B35)+IF(L35&gt;M35,IFERROR(INDEX(Matchs!$F$4:$F$31,MATCH(A35,Matchs!$A$4:$A$31,0)),0),0))</f>
        <v>0</v>
      </c>
      <c r="P35" s="17">
        <f t="shared" si="3"/>
        <v>0</v>
      </c>
      <c r="Q35" s="17">
        <f t="shared" si="4"/>
        <v>0</v>
      </c>
    </row>
    <row r="36" spans="1:17" ht="15" customHeight="1" x14ac:dyDescent="0.25">
      <c r="A36" s="11">
        <f t="shared" si="0"/>
        <v>2</v>
      </c>
      <c r="B36" s="11" t="str">
        <f>INDEX('Effectif Saison'!$E$4:$E$22,9)</f>
        <v>Tino COLAIANNI</v>
      </c>
      <c r="C36" s="10"/>
      <c r="D36" s="10"/>
      <c r="E36" s="10"/>
      <c r="F36" s="19" t="str">
        <f>IF(B36="","",IF(AND(E36="Oui",COUNTIFS(Changements!$A:$A,A36,Changements!$D:$D,B36)&gt;0),"⚠ Titulaire+entrée ?",IF(ABS(L36-M36)&gt;1,"⚠ vérifier","")))</f>
        <v/>
      </c>
      <c r="G36" s="11" t="str">
        <f>IF(B36="","",IFERROR(INDEX('Effectif Saison'!$D$4:$D$51,MATCH(B36,'Effectif Saison'!$E$4:$E$51,0)),""))</f>
        <v>Équipe 1</v>
      </c>
      <c r="H36" s="19" t="str">
        <f>IF(L36=0,"",IF(E36="Oui",0,IFERROR(_xlfn.MINIFS(Changements!$B:$B,Changements!$A:$A,A36,Changements!$D:$D,B36),"")))</f>
        <v/>
      </c>
      <c r="I36" s="19" t="str">
        <f>IF(M36=0,"",IFERROR(_xlfn.MAXIFS(Changements!$B:$B,Changements!$A:$A,A36,Changements!$C:$C,B36),""))</f>
        <v/>
      </c>
      <c r="J36" s="11" t="str">
        <f t="shared" si="1"/>
        <v/>
      </c>
      <c r="K36" s="17">
        <f t="shared" si="2"/>
        <v>0</v>
      </c>
      <c r="L36" s="17">
        <f>IF(B36="",0,COUNTIFS(Changements!$A:$A,A36,Changements!$D:$D,B36)+IF(E36="Oui",1,0))</f>
        <v>0</v>
      </c>
      <c r="M36" s="17">
        <f>IF(B36="",0,COUNTIFS(Changements!$A:$A,A36,Changements!$C:$C,B36))</f>
        <v>0</v>
      </c>
      <c r="N36" s="17">
        <f>IF(B36="",0,SUMIFS(Changements!$B:$B,Changements!$A:$A,A36,Changements!$D:$D,B36))</f>
        <v>0</v>
      </c>
      <c r="O36" s="17">
        <f>IF(B36="",0,SUMIFS(Changements!$B:$B,Changements!$A:$A,A36,Changements!$C:$C,B36)+IF(L36&gt;M36,IFERROR(INDEX(Matchs!$F$4:$F$31,MATCH(A36,Matchs!$A$4:$A$31,0)),0),0))</f>
        <v>0</v>
      </c>
      <c r="P36" s="17">
        <f t="shared" si="3"/>
        <v>0</v>
      </c>
      <c r="Q36" s="17">
        <f t="shared" si="4"/>
        <v>0</v>
      </c>
    </row>
    <row r="37" spans="1:17" ht="15" customHeight="1" x14ac:dyDescent="0.25">
      <c r="A37" s="11">
        <f t="shared" si="0"/>
        <v>2</v>
      </c>
      <c r="B37" s="11" t="str">
        <f>INDEX('Effectif Saison'!$E$4:$E$22,10)</f>
        <v>Achille KELLERKNECHT</v>
      </c>
      <c r="C37" s="10"/>
      <c r="D37" s="10"/>
      <c r="E37" s="10"/>
      <c r="F37" s="19" t="str">
        <f>IF(B37="","",IF(AND(E37="Oui",COUNTIFS(Changements!$A:$A,A37,Changements!$D:$D,B37)&gt;0),"⚠ Titulaire+entrée ?",IF(ABS(L37-M37)&gt;1,"⚠ vérifier","")))</f>
        <v/>
      </c>
      <c r="G37" s="11" t="str">
        <f>IF(B37="","",IFERROR(INDEX('Effectif Saison'!$D$4:$D$51,MATCH(B37,'Effectif Saison'!$E$4:$E$51,0)),""))</f>
        <v>Équipe 1</v>
      </c>
      <c r="H37" s="19" t="str">
        <f>IF(L37=0,"",IF(E37="Oui",0,IFERROR(_xlfn.MINIFS(Changements!$B:$B,Changements!$A:$A,A37,Changements!$D:$D,B37),"")))</f>
        <v/>
      </c>
      <c r="I37" s="19" t="str">
        <f>IF(M37=0,"",IFERROR(_xlfn.MAXIFS(Changements!$B:$B,Changements!$A:$A,A37,Changements!$C:$C,B37),""))</f>
        <v/>
      </c>
      <c r="J37" s="11" t="str">
        <f t="shared" si="1"/>
        <v/>
      </c>
      <c r="K37" s="17">
        <f t="shared" si="2"/>
        <v>0</v>
      </c>
      <c r="L37" s="17">
        <f>IF(B37="",0,COUNTIFS(Changements!$A:$A,A37,Changements!$D:$D,B37)+IF(E37="Oui",1,0))</f>
        <v>0</v>
      </c>
      <c r="M37" s="17">
        <f>IF(B37="",0,COUNTIFS(Changements!$A:$A,A37,Changements!$C:$C,B37))</f>
        <v>0</v>
      </c>
      <c r="N37" s="17">
        <f>IF(B37="",0,SUMIFS(Changements!$B:$B,Changements!$A:$A,A37,Changements!$D:$D,B37))</f>
        <v>0</v>
      </c>
      <c r="O37" s="17">
        <f>IF(B37="",0,SUMIFS(Changements!$B:$B,Changements!$A:$A,A37,Changements!$C:$C,B37)+IF(L37&gt;M37,IFERROR(INDEX(Matchs!$F$4:$F$31,MATCH(A37,Matchs!$A$4:$A$31,0)),0),0))</f>
        <v>0</v>
      </c>
      <c r="P37" s="17">
        <f t="shared" si="3"/>
        <v>0</v>
      </c>
      <c r="Q37" s="17">
        <f t="shared" si="4"/>
        <v>0</v>
      </c>
    </row>
    <row r="38" spans="1:17" ht="15" customHeight="1" x14ac:dyDescent="0.25">
      <c r="A38" s="11">
        <f t="shared" si="0"/>
        <v>2</v>
      </c>
      <c r="B38" s="11" t="str">
        <f>INDEX('Effectif Saison'!$E$4:$E$22,11)</f>
        <v>Charly LEPERT</v>
      </c>
      <c r="C38" s="10"/>
      <c r="D38" s="10"/>
      <c r="E38" s="10"/>
      <c r="F38" s="19" t="str">
        <f>IF(B38="","",IF(AND(E38="Oui",COUNTIFS(Changements!$A:$A,A38,Changements!$D:$D,B38)&gt;0),"⚠ Titulaire+entrée ?",IF(ABS(L38-M38)&gt;1,"⚠ vérifier","")))</f>
        <v/>
      </c>
      <c r="G38" s="11" t="str">
        <f>IF(B38="","",IFERROR(INDEX('Effectif Saison'!$D$4:$D$51,MATCH(B38,'Effectif Saison'!$E$4:$E$51,0)),""))</f>
        <v>Équipe 1</v>
      </c>
      <c r="H38" s="19" t="str">
        <f>IF(L38=0,"",IF(E38="Oui",0,IFERROR(_xlfn.MINIFS(Changements!$B:$B,Changements!$A:$A,A38,Changements!$D:$D,B38),"")))</f>
        <v/>
      </c>
      <c r="I38" s="19" t="str">
        <f>IF(M38=0,"",IFERROR(_xlfn.MAXIFS(Changements!$B:$B,Changements!$A:$A,A38,Changements!$C:$C,B38),""))</f>
        <v/>
      </c>
      <c r="J38" s="11" t="str">
        <f t="shared" si="1"/>
        <v/>
      </c>
      <c r="K38" s="17">
        <f t="shared" si="2"/>
        <v>0</v>
      </c>
      <c r="L38" s="17">
        <f>IF(B38="",0,COUNTIFS(Changements!$A:$A,A38,Changements!$D:$D,B38)+IF(E38="Oui",1,0))</f>
        <v>0</v>
      </c>
      <c r="M38" s="17">
        <f>IF(B38="",0,COUNTIFS(Changements!$A:$A,A38,Changements!$C:$C,B38))</f>
        <v>0</v>
      </c>
      <c r="N38" s="17">
        <f>IF(B38="",0,SUMIFS(Changements!$B:$B,Changements!$A:$A,A38,Changements!$D:$D,B38))</f>
        <v>0</v>
      </c>
      <c r="O38" s="17">
        <f>IF(B38="",0,SUMIFS(Changements!$B:$B,Changements!$A:$A,A38,Changements!$C:$C,B38)+IF(L38&gt;M38,IFERROR(INDEX(Matchs!$F$4:$F$31,MATCH(A38,Matchs!$A$4:$A$31,0)),0),0))</f>
        <v>0</v>
      </c>
      <c r="P38" s="17">
        <f t="shared" si="3"/>
        <v>0</v>
      </c>
      <c r="Q38" s="17">
        <f t="shared" si="4"/>
        <v>0</v>
      </c>
    </row>
    <row r="39" spans="1:17" ht="15" customHeight="1" x14ac:dyDescent="0.25">
      <c r="A39" s="11">
        <f t="shared" si="0"/>
        <v>2</v>
      </c>
      <c r="B39" s="11" t="str">
        <f>INDEX('Effectif Saison'!$E$4:$E$22,12)</f>
        <v>Basile STANGRET</v>
      </c>
      <c r="C39" s="10"/>
      <c r="D39" s="10"/>
      <c r="E39" s="10"/>
      <c r="F39" s="19" t="str">
        <f>IF(B39="","",IF(AND(E39="Oui",COUNTIFS(Changements!$A:$A,A39,Changements!$D:$D,B39)&gt;0),"⚠ Titulaire+entrée ?",IF(ABS(L39-M39)&gt;1,"⚠ vérifier","")))</f>
        <v/>
      </c>
      <c r="G39" s="11" t="str">
        <f>IF(B39="","",IFERROR(INDEX('Effectif Saison'!$D$4:$D$51,MATCH(B39,'Effectif Saison'!$E$4:$E$51,0)),""))</f>
        <v>Équipe 1</v>
      </c>
      <c r="H39" s="19" t="str">
        <f>IF(L39=0,"",IF(E39="Oui",0,IFERROR(_xlfn.MINIFS(Changements!$B:$B,Changements!$A:$A,A39,Changements!$D:$D,B39),"")))</f>
        <v/>
      </c>
      <c r="I39" s="19" t="str">
        <f>IF(M39=0,"",IFERROR(_xlfn.MAXIFS(Changements!$B:$B,Changements!$A:$A,A39,Changements!$C:$C,B39),""))</f>
        <v/>
      </c>
      <c r="J39" s="11" t="str">
        <f t="shared" si="1"/>
        <v/>
      </c>
      <c r="K39" s="17">
        <f t="shared" si="2"/>
        <v>0</v>
      </c>
      <c r="L39" s="17">
        <f>IF(B39="",0,COUNTIFS(Changements!$A:$A,A39,Changements!$D:$D,B39)+IF(E39="Oui",1,0))</f>
        <v>0</v>
      </c>
      <c r="M39" s="17">
        <f>IF(B39="",0,COUNTIFS(Changements!$A:$A,A39,Changements!$C:$C,B39))</f>
        <v>0</v>
      </c>
      <c r="N39" s="17">
        <f>IF(B39="",0,SUMIFS(Changements!$B:$B,Changements!$A:$A,A39,Changements!$D:$D,B39))</f>
        <v>0</v>
      </c>
      <c r="O39" s="17">
        <f>IF(B39="",0,SUMIFS(Changements!$B:$B,Changements!$A:$A,A39,Changements!$C:$C,B39)+IF(L39&gt;M39,IFERROR(INDEX(Matchs!$F$4:$F$31,MATCH(A39,Matchs!$A$4:$A$31,0)),0),0))</f>
        <v>0</v>
      </c>
      <c r="P39" s="17">
        <f t="shared" si="3"/>
        <v>0</v>
      </c>
      <c r="Q39" s="17">
        <f t="shared" si="4"/>
        <v>0</v>
      </c>
    </row>
    <row r="40" spans="1:17" ht="15" customHeight="1" x14ac:dyDescent="0.25">
      <c r="A40" s="11">
        <f t="shared" si="0"/>
        <v>2</v>
      </c>
      <c r="B40" s="11" t="str">
        <f>INDEX('Effectif Saison'!$E$4:$E$22,13)</f>
        <v>Maxence KELLER</v>
      </c>
      <c r="C40" s="10"/>
      <c r="D40" s="10"/>
      <c r="E40" s="10"/>
      <c r="F40" s="19" t="str">
        <f>IF(B40="","",IF(AND(E40="Oui",COUNTIFS(Changements!$A:$A,A40,Changements!$D:$D,B40)&gt;0),"⚠ Titulaire+entrée ?",IF(ABS(L40-M40)&gt;1,"⚠ vérifier","")))</f>
        <v/>
      </c>
      <c r="G40" s="11" t="str">
        <f>IF(B40="","",IFERROR(INDEX('Effectif Saison'!$D$4:$D$51,MATCH(B40,'Effectif Saison'!$E$4:$E$51,0)),""))</f>
        <v>Équipe 1</v>
      </c>
      <c r="H40" s="19" t="str">
        <f>IF(L40=0,"",IF(E40="Oui",0,IFERROR(_xlfn.MINIFS(Changements!$B:$B,Changements!$A:$A,A40,Changements!$D:$D,B40),"")))</f>
        <v/>
      </c>
      <c r="I40" s="19" t="str">
        <f>IF(M40=0,"",IFERROR(_xlfn.MAXIFS(Changements!$B:$B,Changements!$A:$A,A40,Changements!$C:$C,B40),""))</f>
        <v/>
      </c>
      <c r="J40" s="11" t="str">
        <f t="shared" si="1"/>
        <v/>
      </c>
      <c r="K40" s="17">
        <f t="shared" si="2"/>
        <v>0</v>
      </c>
      <c r="L40" s="17">
        <f>IF(B40="",0,COUNTIFS(Changements!$A:$A,A40,Changements!$D:$D,B40)+IF(E40="Oui",1,0))</f>
        <v>0</v>
      </c>
      <c r="M40" s="17">
        <f>IF(B40="",0,COUNTIFS(Changements!$A:$A,A40,Changements!$C:$C,B40))</f>
        <v>0</v>
      </c>
      <c r="N40" s="17">
        <f>IF(B40="",0,SUMIFS(Changements!$B:$B,Changements!$A:$A,A40,Changements!$D:$D,B40))</f>
        <v>0</v>
      </c>
      <c r="O40" s="17">
        <f>IF(B40="",0,SUMIFS(Changements!$B:$B,Changements!$A:$A,A40,Changements!$C:$C,B40)+IF(L40&gt;M40,IFERROR(INDEX(Matchs!$F$4:$F$31,MATCH(A40,Matchs!$A$4:$A$31,0)),0),0))</f>
        <v>0</v>
      </c>
      <c r="P40" s="17">
        <f t="shared" si="3"/>
        <v>0</v>
      </c>
      <c r="Q40" s="17">
        <f t="shared" si="4"/>
        <v>0</v>
      </c>
    </row>
    <row r="41" spans="1:17" ht="15" customHeight="1" x14ac:dyDescent="0.25">
      <c r="A41" s="11">
        <f t="shared" si="0"/>
        <v>2</v>
      </c>
      <c r="B41" s="11" t="str">
        <f>INDEX('Effectif Saison'!$E$4:$E$22,14)</f>
        <v>Evan SCHMITT</v>
      </c>
      <c r="C41" s="10"/>
      <c r="D41" s="10"/>
      <c r="E41" s="10"/>
      <c r="F41" s="19" t="str">
        <f>IF(B41="","",IF(AND(E41="Oui",COUNTIFS(Changements!$A:$A,A41,Changements!$D:$D,B41)&gt;0),"⚠ Titulaire+entrée ?",IF(ABS(L41-M41)&gt;1,"⚠ vérifier","")))</f>
        <v/>
      </c>
      <c r="G41" s="11" t="str">
        <f>IF(B41="","",IFERROR(INDEX('Effectif Saison'!$D$4:$D$51,MATCH(B41,'Effectif Saison'!$E$4:$E$51,0)),""))</f>
        <v>Équipe 1</v>
      </c>
      <c r="H41" s="19" t="str">
        <f>IF(L41=0,"",IF(E41="Oui",0,IFERROR(_xlfn.MINIFS(Changements!$B:$B,Changements!$A:$A,A41,Changements!$D:$D,B41),"")))</f>
        <v/>
      </c>
      <c r="I41" s="19" t="str">
        <f>IF(M41=0,"",IFERROR(_xlfn.MAXIFS(Changements!$B:$B,Changements!$A:$A,A41,Changements!$C:$C,B41),""))</f>
        <v/>
      </c>
      <c r="J41" s="11" t="str">
        <f t="shared" si="1"/>
        <v/>
      </c>
      <c r="K41" s="17">
        <f t="shared" si="2"/>
        <v>0</v>
      </c>
      <c r="L41" s="17">
        <f>IF(B41="",0,COUNTIFS(Changements!$A:$A,A41,Changements!$D:$D,B41)+IF(E41="Oui",1,0))</f>
        <v>0</v>
      </c>
      <c r="M41" s="17">
        <f>IF(B41="",0,COUNTIFS(Changements!$A:$A,A41,Changements!$C:$C,B41))</f>
        <v>0</v>
      </c>
      <c r="N41" s="17">
        <f>IF(B41="",0,SUMIFS(Changements!$B:$B,Changements!$A:$A,A41,Changements!$D:$D,B41))</f>
        <v>0</v>
      </c>
      <c r="O41" s="17">
        <f>IF(B41="",0,SUMIFS(Changements!$B:$B,Changements!$A:$A,A41,Changements!$C:$C,B41)+IF(L41&gt;M41,IFERROR(INDEX(Matchs!$F$4:$F$31,MATCH(A41,Matchs!$A$4:$A$31,0)),0),0))</f>
        <v>0</v>
      </c>
      <c r="P41" s="17">
        <f t="shared" si="3"/>
        <v>0</v>
      </c>
      <c r="Q41" s="17">
        <f t="shared" si="4"/>
        <v>0</v>
      </c>
    </row>
    <row r="42" spans="1:17" ht="15" customHeight="1" x14ac:dyDescent="0.25">
      <c r="A42" s="11">
        <f t="shared" si="0"/>
        <v>2</v>
      </c>
      <c r="B42" s="11" t="str">
        <f>INDEX('Effectif Saison'!$E$4:$E$22,15)</f>
        <v>William SIMON</v>
      </c>
      <c r="C42" s="10"/>
      <c r="D42" s="10"/>
      <c r="E42" s="10"/>
      <c r="F42" s="19" t="str">
        <f>IF(B42="","",IF(AND(E42="Oui",COUNTIFS(Changements!$A:$A,A42,Changements!$D:$D,B42)&gt;0),"⚠ Titulaire+entrée ?",IF(ABS(L42-M42)&gt;1,"⚠ vérifier","")))</f>
        <v/>
      </c>
      <c r="G42" s="11" t="str">
        <f>IF(B42="","",IFERROR(INDEX('Effectif Saison'!$D$4:$D$51,MATCH(B42,'Effectif Saison'!$E$4:$E$51,0)),""))</f>
        <v>Équipe 1</v>
      </c>
      <c r="H42" s="19" t="str">
        <f>IF(L42=0,"",IF(E42="Oui",0,IFERROR(_xlfn.MINIFS(Changements!$B:$B,Changements!$A:$A,A42,Changements!$D:$D,B42),"")))</f>
        <v/>
      </c>
      <c r="I42" s="19" t="str">
        <f>IF(M42=0,"",IFERROR(_xlfn.MAXIFS(Changements!$B:$B,Changements!$A:$A,A42,Changements!$C:$C,B42),""))</f>
        <v/>
      </c>
      <c r="J42" s="11" t="str">
        <f t="shared" si="1"/>
        <v/>
      </c>
      <c r="K42" s="17">
        <f t="shared" si="2"/>
        <v>0</v>
      </c>
      <c r="L42" s="17">
        <f>IF(B42="",0,COUNTIFS(Changements!$A:$A,A42,Changements!$D:$D,B42)+IF(E42="Oui",1,0))</f>
        <v>0</v>
      </c>
      <c r="M42" s="17">
        <f>IF(B42="",0,COUNTIFS(Changements!$A:$A,A42,Changements!$C:$C,B42))</f>
        <v>0</v>
      </c>
      <c r="N42" s="17">
        <f>IF(B42="",0,SUMIFS(Changements!$B:$B,Changements!$A:$A,A42,Changements!$D:$D,B42))</f>
        <v>0</v>
      </c>
      <c r="O42" s="17">
        <f>IF(B42="",0,SUMIFS(Changements!$B:$B,Changements!$A:$A,A42,Changements!$C:$C,B42)+IF(L42&gt;M42,IFERROR(INDEX(Matchs!$F$4:$F$31,MATCH(A42,Matchs!$A$4:$A$31,0)),0),0))</f>
        <v>0</v>
      </c>
      <c r="P42" s="17">
        <f t="shared" si="3"/>
        <v>0</v>
      </c>
      <c r="Q42" s="17">
        <f t="shared" si="4"/>
        <v>0</v>
      </c>
    </row>
    <row r="43" spans="1:17" ht="15" customHeight="1" x14ac:dyDescent="0.25">
      <c r="A43" s="11">
        <f t="shared" si="0"/>
        <v>2</v>
      </c>
      <c r="B43" s="11" t="str">
        <f>INDEX('Effectif Saison'!$E$4:$E$22,16)</f>
        <v>Lenny LEPPER</v>
      </c>
      <c r="C43" s="10"/>
      <c r="D43" s="10"/>
      <c r="E43" s="10"/>
      <c r="F43" s="19" t="str">
        <f>IF(B43="","",IF(AND(E43="Oui",COUNTIFS(Changements!$A:$A,A43,Changements!$D:$D,B43)&gt;0),"⚠ Titulaire+entrée ?",IF(ABS(L43-M43)&gt;1,"⚠ vérifier","")))</f>
        <v/>
      </c>
      <c r="G43" s="11" t="str">
        <f>IF(B43="","",IFERROR(INDEX('Effectif Saison'!$D$4:$D$51,MATCH(B43,'Effectif Saison'!$E$4:$E$51,0)),""))</f>
        <v>Équipe 1</v>
      </c>
      <c r="H43" s="19" t="str">
        <f>IF(L43=0,"",IF(E43="Oui",0,IFERROR(_xlfn.MINIFS(Changements!$B:$B,Changements!$A:$A,A43,Changements!$D:$D,B43),"")))</f>
        <v/>
      </c>
      <c r="I43" s="19" t="str">
        <f>IF(M43=0,"",IFERROR(_xlfn.MAXIFS(Changements!$B:$B,Changements!$A:$A,A43,Changements!$C:$C,B43),""))</f>
        <v/>
      </c>
      <c r="J43" s="11" t="str">
        <f t="shared" si="1"/>
        <v/>
      </c>
      <c r="K43" s="17">
        <f t="shared" si="2"/>
        <v>0</v>
      </c>
      <c r="L43" s="17">
        <f>IF(B43="",0,COUNTIFS(Changements!$A:$A,A43,Changements!$D:$D,B43)+IF(E43="Oui",1,0))</f>
        <v>0</v>
      </c>
      <c r="M43" s="17">
        <f>IF(B43="",0,COUNTIFS(Changements!$A:$A,A43,Changements!$C:$C,B43))</f>
        <v>0</v>
      </c>
      <c r="N43" s="17">
        <f>IF(B43="",0,SUMIFS(Changements!$B:$B,Changements!$A:$A,A43,Changements!$D:$D,B43))</f>
        <v>0</v>
      </c>
      <c r="O43" s="17">
        <f>IF(B43="",0,SUMIFS(Changements!$B:$B,Changements!$A:$A,A43,Changements!$C:$C,B43)+IF(L43&gt;M43,IFERROR(INDEX(Matchs!$F$4:$F$31,MATCH(A43,Matchs!$A$4:$A$31,0)),0),0))</f>
        <v>0</v>
      </c>
      <c r="P43" s="17">
        <f t="shared" si="3"/>
        <v>0</v>
      </c>
      <c r="Q43" s="17">
        <f t="shared" si="4"/>
        <v>0</v>
      </c>
    </row>
    <row r="44" spans="1:17" ht="15" customHeight="1" x14ac:dyDescent="0.25">
      <c r="A44" s="11">
        <f t="shared" si="0"/>
        <v>2</v>
      </c>
      <c r="B44" s="11" t="str">
        <f>INDEX('Effectif Saison'!$E$4:$E$22,17)</f>
        <v>Malo KELLER</v>
      </c>
      <c r="C44" s="10"/>
      <c r="D44" s="10"/>
      <c r="E44" s="10"/>
      <c r="F44" s="19" t="str">
        <f>IF(B44="","",IF(AND(E44="Oui",COUNTIFS(Changements!$A:$A,A44,Changements!$D:$D,B44)&gt;0),"⚠ Titulaire+entrée ?",IF(ABS(L44-M44)&gt;1,"⚠ vérifier","")))</f>
        <v/>
      </c>
      <c r="G44" s="11" t="str">
        <f>IF(B44="","",IFERROR(INDEX('Effectif Saison'!$D$4:$D$51,MATCH(B44,'Effectif Saison'!$E$4:$E$51,0)),""))</f>
        <v>Équipe 1</v>
      </c>
      <c r="H44" s="19" t="str">
        <f>IF(L44=0,"",IF(E44="Oui",0,IFERROR(_xlfn.MINIFS(Changements!$B:$B,Changements!$A:$A,A44,Changements!$D:$D,B44),"")))</f>
        <v/>
      </c>
      <c r="I44" s="19" t="str">
        <f>IF(M44=0,"",IFERROR(_xlfn.MAXIFS(Changements!$B:$B,Changements!$A:$A,A44,Changements!$C:$C,B44),""))</f>
        <v/>
      </c>
      <c r="J44" s="11" t="str">
        <f t="shared" si="1"/>
        <v/>
      </c>
      <c r="K44" s="17">
        <f t="shared" si="2"/>
        <v>0</v>
      </c>
      <c r="L44" s="17">
        <f>IF(B44="",0,COUNTIFS(Changements!$A:$A,A44,Changements!$D:$D,B44)+IF(E44="Oui",1,0))</f>
        <v>0</v>
      </c>
      <c r="M44" s="17">
        <f>IF(B44="",0,COUNTIFS(Changements!$A:$A,A44,Changements!$C:$C,B44))</f>
        <v>0</v>
      </c>
      <c r="N44" s="17">
        <f>IF(B44="",0,SUMIFS(Changements!$B:$B,Changements!$A:$A,A44,Changements!$D:$D,B44))</f>
        <v>0</v>
      </c>
      <c r="O44" s="17">
        <f>IF(B44="",0,SUMIFS(Changements!$B:$B,Changements!$A:$A,A44,Changements!$C:$C,B44)+IF(L44&gt;M44,IFERROR(INDEX(Matchs!$F$4:$F$31,MATCH(A44,Matchs!$A$4:$A$31,0)),0),0))</f>
        <v>0</v>
      </c>
      <c r="P44" s="17">
        <f t="shared" si="3"/>
        <v>0</v>
      </c>
      <c r="Q44" s="17">
        <f t="shared" si="4"/>
        <v>0</v>
      </c>
    </row>
    <row r="45" spans="1:17" ht="15" customHeight="1" x14ac:dyDescent="0.25">
      <c r="A45" s="11">
        <f t="shared" si="0"/>
        <v>2</v>
      </c>
      <c r="B45" s="11" t="str">
        <f>INDEX('Effectif Saison'!$E$4:$E$22,18)</f>
        <v>Tom SCHILLER</v>
      </c>
      <c r="C45" s="10"/>
      <c r="D45" s="10"/>
      <c r="E45" s="10"/>
      <c r="F45" s="19" t="str">
        <f>IF(B45="","",IF(AND(E45="Oui",COUNTIFS(Changements!$A:$A,A45,Changements!$D:$D,B45)&gt;0),"⚠ Titulaire+entrée ?",IF(ABS(L45-M45)&gt;1,"⚠ vérifier","")))</f>
        <v/>
      </c>
      <c r="G45" s="11" t="str">
        <f>IF(B45="","",IFERROR(INDEX('Effectif Saison'!$D$4:$D$51,MATCH(B45,'Effectif Saison'!$E$4:$E$51,0)),""))</f>
        <v>Équipe 1</v>
      </c>
      <c r="H45" s="19" t="str">
        <f>IF(L45=0,"",IF(E45="Oui",0,IFERROR(_xlfn.MINIFS(Changements!$B:$B,Changements!$A:$A,A45,Changements!$D:$D,B45),"")))</f>
        <v/>
      </c>
      <c r="I45" s="19" t="str">
        <f>IF(M45=0,"",IFERROR(_xlfn.MAXIFS(Changements!$B:$B,Changements!$A:$A,A45,Changements!$C:$C,B45),""))</f>
        <v/>
      </c>
      <c r="J45" s="11" t="str">
        <f t="shared" si="1"/>
        <v/>
      </c>
      <c r="K45" s="17">
        <f t="shared" si="2"/>
        <v>0</v>
      </c>
      <c r="L45" s="17">
        <f>IF(B45="",0,COUNTIFS(Changements!$A:$A,A45,Changements!$D:$D,B45)+IF(E45="Oui",1,0))</f>
        <v>0</v>
      </c>
      <c r="M45" s="17">
        <f>IF(B45="",0,COUNTIFS(Changements!$A:$A,A45,Changements!$C:$C,B45))</f>
        <v>0</v>
      </c>
      <c r="N45" s="17">
        <f>IF(B45="",0,SUMIFS(Changements!$B:$B,Changements!$A:$A,A45,Changements!$D:$D,B45))</f>
        <v>0</v>
      </c>
      <c r="O45" s="17">
        <f>IF(B45="",0,SUMIFS(Changements!$B:$B,Changements!$A:$A,A45,Changements!$C:$C,B45)+IF(L45&gt;M45,IFERROR(INDEX(Matchs!$F$4:$F$31,MATCH(A45,Matchs!$A$4:$A$31,0)),0),0))</f>
        <v>0</v>
      </c>
      <c r="P45" s="17">
        <f t="shared" si="3"/>
        <v>0</v>
      </c>
      <c r="Q45" s="17">
        <f t="shared" si="4"/>
        <v>0</v>
      </c>
    </row>
    <row r="46" spans="1:17" ht="15" customHeight="1" x14ac:dyDescent="0.25">
      <c r="A46" s="11">
        <f t="shared" si="0"/>
        <v>2</v>
      </c>
      <c r="B46" s="11" t="str">
        <f>INDEX('Effectif Saison'!$E$4:$E$22,19)</f>
        <v>Eliot LEIBY</v>
      </c>
      <c r="C46" s="10"/>
      <c r="D46" s="10"/>
      <c r="E46" s="10"/>
      <c r="F46" s="19" t="str">
        <f>IF(B46="","",IF(AND(E46="Oui",COUNTIFS(Changements!$A:$A,A46,Changements!$D:$D,B46)&gt;0),"⚠ Titulaire+entrée ?",IF(ABS(L46-M46)&gt;1,"⚠ vérifier","")))</f>
        <v/>
      </c>
      <c r="G46" s="11" t="str">
        <f>IF(B46="","",IFERROR(INDEX('Effectif Saison'!$D$4:$D$51,MATCH(B46,'Effectif Saison'!$E$4:$E$51,0)),""))</f>
        <v>Équipe 1</v>
      </c>
      <c r="H46" s="19" t="str">
        <f>IF(L46=0,"",IF(E46="Oui",0,IFERROR(_xlfn.MINIFS(Changements!$B:$B,Changements!$A:$A,A46,Changements!$D:$D,B46),"")))</f>
        <v/>
      </c>
      <c r="I46" s="19" t="str">
        <f>IF(M46=0,"",IFERROR(_xlfn.MAXIFS(Changements!$B:$B,Changements!$A:$A,A46,Changements!$C:$C,B46),""))</f>
        <v/>
      </c>
      <c r="J46" s="11" t="str">
        <f t="shared" si="1"/>
        <v/>
      </c>
      <c r="K46" s="17">
        <f t="shared" si="2"/>
        <v>0</v>
      </c>
      <c r="L46" s="17">
        <f>IF(B46="",0,COUNTIFS(Changements!$A:$A,A46,Changements!$D:$D,B46)+IF(E46="Oui",1,0))</f>
        <v>0</v>
      </c>
      <c r="M46" s="17">
        <f>IF(B46="",0,COUNTIFS(Changements!$A:$A,A46,Changements!$C:$C,B46))</f>
        <v>0</v>
      </c>
      <c r="N46" s="17">
        <f>IF(B46="",0,SUMIFS(Changements!$B:$B,Changements!$A:$A,A46,Changements!$D:$D,B46))</f>
        <v>0</v>
      </c>
      <c r="O46" s="17">
        <f>IF(B46="",0,SUMIFS(Changements!$B:$B,Changements!$A:$A,A46,Changements!$C:$C,B46)+IF(L46&gt;M46,IFERROR(INDEX(Matchs!$F$4:$F$31,MATCH(A46,Matchs!$A$4:$A$31,0)),0),0))</f>
        <v>0</v>
      </c>
      <c r="P46" s="17">
        <f t="shared" si="3"/>
        <v>0</v>
      </c>
      <c r="Q46" s="17">
        <f t="shared" si="4"/>
        <v>0</v>
      </c>
    </row>
    <row r="47" spans="1:17" ht="15" customHeight="1" x14ac:dyDescent="0.25">
      <c r="A47" s="11">
        <f t="shared" si="0"/>
        <v>2</v>
      </c>
      <c r="B47" s="10"/>
      <c r="C47" s="10"/>
      <c r="D47" s="10"/>
      <c r="E47" s="10"/>
      <c r="F47" s="19" t="str">
        <f>IF(B47="","",IF(AND(E47="Oui",COUNTIFS(Changements!$A:$A,A47,Changements!$D:$D,B47)&gt;0),"⚠ Titulaire+entrée ?",IF(ABS(L47-M47)&gt;1,"⚠ vérifier","")))</f>
        <v/>
      </c>
      <c r="G47" s="11" t="str">
        <f>IF(B47="","",IFERROR(INDEX('Effectif Saison'!$D$4:$D$51,MATCH(B47,'Effectif Saison'!$E$4:$E$51,0)),""))</f>
        <v/>
      </c>
      <c r="H47" s="19" t="str">
        <f>IF(L47=0,"",IF(E47="Oui",0,IFERROR(_xlfn.MINIFS(Changements!$B:$B,Changements!$A:$A,A47,Changements!$D:$D,B47),"")))</f>
        <v/>
      </c>
      <c r="I47" s="19" t="str">
        <f>IF(M47=0,"",IFERROR(_xlfn.MAXIFS(Changements!$B:$B,Changements!$A:$A,A47,Changements!$C:$C,B47),""))</f>
        <v/>
      </c>
      <c r="J47" s="11" t="str">
        <f t="shared" si="1"/>
        <v/>
      </c>
      <c r="K47" s="17">
        <f t="shared" si="2"/>
        <v>0</v>
      </c>
      <c r="L47" s="17">
        <f>IF(B47="",0,COUNTIFS(Changements!$A:$A,A47,Changements!$D:$D,B47)+IF(E47="Oui",1,0))</f>
        <v>0</v>
      </c>
      <c r="M47" s="17">
        <f>IF(B47="",0,COUNTIFS(Changements!$A:$A,A47,Changements!$C:$C,B47))</f>
        <v>0</v>
      </c>
      <c r="N47" s="17">
        <f>IF(B47="",0,SUMIFS(Changements!$B:$B,Changements!$A:$A,A47,Changements!$D:$D,B47))</f>
        <v>0</v>
      </c>
      <c r="O47" s="17">
        <f>IF(B47="",0,SUMIFS(Changements!$B:$B,Changements!$A:$A,A47,Changements!$C:$C,B47)+IF(L47&gt;M47,IFERROR(INDEX(Matchs!$F$4:$F$31,MATCH(A47,Matchs!$A$4:$A$31,0)),0),0))</f>
        <v>0</v>
      </c>
      <c r="P47" s="17">
        <f t="shared" si="3"/>
        <v>0</v>
      </c>
      <c r="Q47" s="17">
        <f t="shared" si="4"/>
        <v>0</v>
      </c>
    </row>
    <row r="48" spans="1:17" ht="15" customHeight="1" x14ac:dyDescent="0.25">
      <c r="A48" s="11">
        <f t="shared" si="0"/>
        <v>2</v>
      </c>
      <c r="B48" s="10"/>
      <c r="C48" s="10"/>
      <c r="D48" s="10"/>
      <c r="E48" s="10"/>
      <c r="F48" s="19" t="str">
        <f>IF(B48="","",IF(AND(E48="Oui",COUNTIFS(Changements!$A:$A,A48,Changements!$D:$D,B48)&gt;0),"⚠ Titulaire+entrée ?",IF(ABS(L48-M48)&gt;1,"⚠ vérifier","")))</f>
        <v/>
      </c>
      <c r="G48" s="11" t="str">
        <f>IF(B48="","",IFERROR(INDEX('Effectif Saison'!$D$4:$D$51,MATCH(B48,'Effectif Saison'!$E$4:$E$51,0)),""))</f>
        <v/>
      </c>
      <c r="H48" s="19" t="str">
        <f>IF(L48=0,"",IF(E48="Oui",0,IFERROR(_xlfn.MINIFS(Changements!$B:$B,Changements!$A:$A,A48,Changements!$D:$D,B48),"")))</f>
        <v/>
      </c>
      <c r="I48" s="19" t="str">
        <f>IF(M48=0,"",IFERROR(_xlfn.MAXIFS(Changements!$B:$B,Changements!$A:$A,A48,Changements!$C:$C,B48),""))</f>
        <v/>
      </c>
      <c r="J48" s="11" t="str">
        <f t="shared" si="1"/>
        <v/>
      </c>
      <c r="K48" s="17">
        <f t="shared" si="2"/>
        <v>0</v>
      </c>
      <c r="L48" s="17">
        <f>IF(B48="",0,COUNTIFS(Changements!$A:$A,A48,Changements!$D:$D,B48)+IF(E48="Oui",1,0))</f>
        <v>0</v>
      </c>
      <c r="M48" s="17">
        <f>IF(B48="",0,COUNTIFS(Changements!$A:$A,A48,Changements!$C:$C,B48))</f>
        <v>0</v>
      </c>
      <c r="N48" s="17">
        <f>IF(B48="",0,SUMIFS(Changements!$B:$B,Changements!$A:$A,A48,Changements!$D:$D,B48))</f>
        <v>0</v>
      </c>
      <c r="O48" s="17">
        <f>IF(B48="",0,SUMIFS(Changements!$B:$B,Changements!$A:$A,A48,Changements!$C:$C,B48)+IF(L48&gt;M48,IFERROR(INDEX(Matchs!$F$4:$F$31,MATCH(A48,Matchs!$A$4:$A$31,0)),0),0))</f>
        <v>0</v>
      </c>
      <c r="P48" s="17">
        <f t="shared" si="3"/>
        <v>0</v>
      </c>
      <c r="Q48" s="17">
        <f t="shared" si="4"/>
        <v>0</v>
      </c>
    </row>
    <row r="49" spans="1:17" ht="15" customHeight="1" x14ac:dyDescent="0.25">
      <c r="A49" s="11">
        <f t="shared" si="0"/>
        <v>2</v>
      </c>
      <c r="B49" s="10"/>
      <c r="C49" s="10"/>
      <c r="D49" s="10"/>
      <c r="E49" s="10"/>
      <c r="F49" s="19" t="str">
        <f>IF(B49="","",IF(AND(E49="Oui",COUNTIFS(Changements!$A:$A,A49,Changements!$D:$D,B49)&gt;0),"⚠ Titulaire+entrée ?",IF(ABS(L49-M49)&gt;1,"⚠ vérifier","")))</f>
        <v/>
      </c>
      <c r="G49" s="11" t="str">
        <f>IF(B49="","",IFERROR(INDEX('Effectif Saison'!$D$4:$D$51,MATCH(B49,'Effectif Saison'!$E$4:$E$51,0)),""))</f>
        <v/>
      </c>
      <c r="H49" s="19" t="str">
        <f>IF(L49=0,"",IF(E49="Oui",0,IFERROR(_xlfn.MINIFS(Changements!$B:$B,Changements!$A:$A,A49,Changements!$D:$D,B49),"")))</f>
        <v/>
      </c>
      <c r="I49" s="19" t="str">
        <f>IF(M49=0,"",IFERROR(_xlfn.MAXIFS(Changements!$B:$B,Changements!$A:$A,A49,Changements!$C:$C,B49),""))</f>
        <v/>
      </c>
      <c r="J49" s="11" t="str">
        <f t="shared" si="1"/>
        <v/>
      </c>
      <c r="K49" s="17">
        <f t="shared" si="2"/>
        <v>0</v>
      </c>
      <c r="L49" s="17">
        <f>IF(B49="",0,COUNTIFS(Changements!$A:$A,A49,Changements!$D:$D,B49)+IF(E49="Oui",1,0))</f>
        <v>0</v>
      </c>
      <c r="M49" s="17">
        <f>IF(B49="",0,COUNTIFS(Changements!$A:$A,A49,Changements!$C:$C,B49))</f>
        <v>0</v>
      </c>
      <c r="N49" s="17">
        <f>IF(B49="",0,SUMIFS(Changements!$B:$B,Changements!$A:$A,A49,Changements!$D:$D,B49))</f>
        <v>0</v>
      </c>
      <c r="O49" s="17">
        <f>IF(B49="",0,SUMIFS(Changements!$B:$B,Changements!$A:$A,A49,Changements!$C:$C,B49)+IF(L49&gt;M49,IFERROR(INDEX(Matchs!$F$4:$F$31,MATCH(A49,Matchs!$A$4:$A$31,0)),0),0))</f>
        <v>0</v>
      </c>
      <c r="P49" s="17">
        <f t="shared" si="3"/>
        <v>0</v>
      </c>
      <c r="Q49" s="17">
        <f t="shared" si="4"/>
        <v>0</v>
      </c>
    </row>
    <row r="50" spans="1:17" ht="15" customHeight="1" x14ac:dyDescent="0.25">
      <c r="A50" s="11">
        <f t="shared" si="0"/>
        <v>2</v>
      </c>
      <c r="B50" s="10"/>
      <c r="C50" s="10"/>
      <c r="D50" s="10"/>
      <c r="E50" s="10"/>
      <c r="F50" s="19" t="str">
        <f>IF(B50="","",IF(AND(E50="Oui",COUNTIFS(Changements!$A:$A,A50,Changements!$D:$D,B50)&gt;0),"⚠ Titulaire+entrée ?",IF(ABS(L50-M50)&gt;1,"⚠ vérifier","")))</f>
        <v/>
      </c>
      <c r="G50" s="11" t="str">
        <f>IF(B50="","",IFERROR(INDEX('Effectif Saison'!$D$4:$D$51,MATCH(B50,'Effectif Saison'!$E$4:$E$51,0)),""))</f>
        <v/>
      </c>
      <c r="H50" s="19" t="str">
        <f>IF(L50=0,"",IF(E50="Oui",0,IFERROR(_xlfn.MINIFS(Changements!$B:$B,Changements!$A:$A,A50,Changements!$D:$D,B50),"")))</f>
        <v/>
      </c>
      <c r="I50" s="19" t="str">
        <f>IF(M50=0,"",IFERROR(_xlfn.MAXIFS(Changements!$B:$B,Changements!$A:$A,A50,Changements!$C:$C,B50),""))</f>
        <v/>
      </c>
      <c r="J50" s="11" t="str">
        <f t="shared" si="1"/>
        <v/>
      </c>
      <c r="K50" s="17">
        <f t="shared" si="2"/>
        <v>0</v>
      </c>
      <c r="L50" s="17">
        <f>IF(B50="",0,COUNTIFS(Changements!$A:$A,A50,Changements!$D:$D,B50)+IF(E50="Oui",1,0))</f>
        <v>0</v>
      </c>
      <c r="M50" s="17">
        <f>IF(B50="",0,COUNTIFS(Changements!$A:$A,A50,Changements!$C:$C,B50))</f>
        <v>0</v>
      </c>
      <c r="N50" s="17">
        <f>IF(B50="",0,SUMIFS(Changements!$B:$B,Changements!$A:$A,A50,Changements!$D:$D,B50))</f>
        <v>0</v>
      </c>
      <c r="O50" s="17">
        <f>IF(B50="",0,SUMIFS(Changements!$B:$B,Changements!$A:$A,A50,Changements!$C:$C,B50)+IF(L50&gt;M50,IFERROR(INDEX(Matchs!$F$4:$F$31,MATCH(A50,Matchs!$A$4:$A$31,0)),0),0))</f>
        <v>0</v>
      </c>
      <c r="P50" s="17">
        <f t="shared" si="3"/>
        <v>0</v>
      </c>
      <c r="Q50" s="17">
        <f t="shared" si="4"/>
        <v>0</v>
      </c>
    </row>
    <row r="51" spans="1:17" ht="15" customHeight="1" x14ac:dyDescent="0.25">
      <c r="A51" s="11">
        <f t="shared" si="0"/>
        <v>2</v>
      </c>
      <c r="B51" s="10"/>
      <c r="C51" s="10"/>
      <c r="D51" s="10"/>
      <c r="E51" s="10"/>
      <c r="F51" s="19" t="str">
        <f>IF(B51="","",IF(AND(E51="Oui",COUNTIFS(Changements!$A:$A,A51,Changements!$D:$D,B51)&gt;0),"⚠ Titulaire+entrée ?",IF(ABS(L51-M51)&gt;1,"⚠ vérifier","")))</f>
        <v/>
      </c>
      <c r="G51" s="11" t="str">
        <f>IF(B51="","",IFERROR(INDEX('Effectif Saison'!$D$4:$D$51,MATCH(B51,'Effectif Saison'!$E$4:$E$51,0)),""))</f>
        <v/>
      </c>
      <c r="H51" s="19" t="str">
        <f>IF(L51=0,"",IF(E51="Oui",0,IFERROR(_xlfn.MINIFS(Changements!$B:$B,Changements!$A:$A,A51,Changements!$D:$D,B51),"")))</f>
        <v/>
      </c>
      <c r="I51" s="19" t="str">
        <f>IF(M51=0,"",IFERROR(_xlfn.MAXIFS(Changements!$B:$B,Changements!$A:$A,A51,Changements!$C:$C,B51),""))</f>
        <v/>
      </c>
      <c r="J51" s="11" t="str">
        <f t="shared" si="1"/>
        <v/>
      </c>
      <c r="K51" s="17">
        <f t="shared" si="2"/>
        <v>0</v>
      </c>
      <c r="L51" s="17">
        <f>IF(B51="",0,COUNTIFS(Changements!$A:$A,A51,Changements!$D:$D,B51)+IF(E51="Oui",1,0))</f>
        <v>0</v>
      </c>
      <c r="M51" s="17">
        <f>IF(B51="",0,COUNTIFS(Changements!$A:$A,A51,Changements!$C:$C,B51))</f>
        <v>0</v>
      </c>
      <c r="N51" s="17">
        <f>IF(B51="",0,SUMIFS(Changements!$B:$B,Changements!$A:$A,A51,Changements!$D:$D,B51))</f>
        <v>0</v>
      </c>
      <c r="O51" s="17">
        <f>IF(B51="",0,SUMIFS(Changements!$B:$B,Changements!$A:$A,A51,Changements!$C:$C,B51)+IF(L51&gt;M51,IFERROR(INDEX(Matchs!$F$4:$F$31,MATCH(A51,Matchs!$A$4:$A$31,0)),0),0))</f>
        <v>0</v>
      </c>
      <c r="P51" s="17">
        <f t="shared" si="3"/>
        <v>0</v>
      </c>
      <c r="Q51" s="17">
        <f t="shared" si="4"/>
        <v>0</v>
      </c>
    </row>
    <row r="52" spans="1:17" ht="15" customHeight="1" x14ac:dyDescent="0.25">
      <c r="A52" s="11">
        <f t="shared" si="0"/>
        <v>3</v>
      </c>
      <c r="B52" s="11" t="str">
        <f>INDEX('Effectif Saison'!$E$4:$E$22,1)</f>
        <v>Alan MICHON</v>
      </c>
      <c r="C52" s="10"/>
      <c r="D52" s="10"/>
      <c r="E52" s="10"/>
      <c r="F52" s="19" t="str">
        <f>IF(B52="","",IF(AND(E52="Oui",COUNTIFS(Changements!$A:$A,A52,Changements!$D:$D,B52)&gt;0),"⚠ Titulaire+entrée ?",IF(ABS(L52-M52)&gt;1,"⚠ vérifier","")))</f>
        <v/>
      </c>
      <c r="G52" s="11" t="str">
        <f>IF(B52="","",IFERROR(INDEX('Effectif Saison'!$D$4:$D$51,MATCH(B52,'Effectif Saison'!$E$4:$E$51,0)),""))</f>
        <v>Équipe 1</v>
      </c>
      <c r="H52" s="19" t="str">
        <f>IF(L52=0,"",IF(E52="Oui",0,IFERROR(_xlfn.MINIFS(Changements!$B:$B,Changements!$A:$A,A52,Changements!$D:$D,B52),"")))</f>
        <v/>
      </c>
      <c r="I52" s="19" t="str">
        <f>IF(M52=0,"",IFERROR(_xlfn.MAXIFS(Changements!$B:$B,Changements!$A:$A,A52,Changements!$C:$C,B52),""))</f>
        <v/>
      </c>
      <c r="J52" s="11" t="str">
        <f t="shared" si="1"/>
        <v/>
      </c>
      <c r="K52" s="17">
        <f t="shared" si="2"/>
        <v>0</v>
      </c>
      <c r="L52" s="17">
        <f>IF(B52="",0,COUNTIFS(Changements!$A:$A,A52,Changements!$D:$D,B52)+IF(E52="Oui",1,0))</f>
        <v>0</v>
      </c>
      <c r="M52" s="17">
        <f>IF(B52="",0,COUNTIFS(Changements!$A:$A,A52,Changements!$C:$C,B52))</f>
        <v>0</v>
      </c>
      <c r="N52" s="17">
        <f>IF(B52="",0,SUMIFS(Changements!$B:$B,Changements!$A:$A,A52,Changements!$D:$D,B52))</f>
        <v>0</v>
      </c>
      <c r="O52" s="17">
        <f>IF(B52="",0,SUMIFS(Changements!$B:$B,Changements!$A:$A,A52,Changements!$C:$C,B52)+IF(L52&gt;M52,IFERROR(INDEX(Matchs!$F$4:$F$31,MATCH(A52,Matchs!$A$4:$A$31,0)),0),0))</f>
        <v>0</v>
      </c>
      <c r="P52" s="17">
        <f t="shared" si="3"/>
        <v>0</v>
      </c>
      <c r="Q52" s="17">
        <f t="shared" si="4"/>
        <v>0</v>
      </c>
    </row>
    <row r="53" spans="1:17" ht="15" customHeight="1" x14ac:dyDescent="0.25">
      <c r="A53" s="11">
        <f t="shared" si="0"/>
        <v>3</v>
      </c>
      <c r="B53" s="11" t="str">
        <f>INDEX('Effectif Saison'!$E$4:$E$22,2)</f>
        <v>Jean BRUNTZ</v>
      </c>
      <c r="C53" s="10"/>
      <c r="D53" s="10"/>
      <c r="E53" s="10"/>
      <c r="F53" s="19" t="str">
        <f>IF(B53="","",IF(AND(E53="Oui",COUNTIFS(Changements!$A:$A,A53,Changements!$D:$D,B53)&gt;0),"⚠ Titulaire+entrée ?",IF(ABS(L53-M53)&gt;1,"⚠ vérifier","")))</f>
        <v/>
      </c>
      <c r="G53" s="11" t="str">
        <f>IF(B53="","",IFERROR(INDEX('Effectif Saison'!$D$4:$D$51,MATCH(B53,'Effectif Saison'!$E$4:$E$51,0)),""))</f>
        <v>Équipe 1</v>
      </c>
      <c r="H53" s="19" t="str">
        <f>IF(L53=0,"",IF(E53="Oui",0,IFERROR(_xlfn.MINIFS(Changements!$B:$B,Changements!$A:$A,A53,Changements!$D:$D,B53),"")))</f>
        <v/>
      </c>
      <c r="I53" s="19" t="str">
        <f>IF(M53=0,"",IFERROR(_xlfn.MAXIFS(Changements!$B:$B,Changements!$A:$A,A53,Changements!$C:$C,B53),""))</f>
        <v/>
      </c>
      <c r="J53" s="11" t="str">
        <f t="shared" si="1"/>
        <v/>
      </c>
      <c r="K53" s="17">
        <f t="shared" si="2"/>
        <v>0</v>
      </c>
      <c r="L53" s="17">
        <f>IF(B53="",0,COUNTIFS(Changements!$A:$A,A53,Changements!$D:$D,B53)+IF(E53="Oui",1,0))</f>
        <v>0</v>
      </c>
      <c r="M53" s="17">
        <f>IF(B53="",0,COUNTIFS(Changements!$A:$A,A53,Changements!$C:$C,B53))</f>
        <v>0</v>
      </c>
      <c r="N53" s="17">
        <f>IF(B53="",0,SUMIFS(Changements!$B:$B,Changements!$A:$A,A53,Changements!$D:$D,B53))</f>
        <v>0</v>
      </c>
      <c r="O53" s="17">
        <f>IF(B53="",0,SUMIFS(Changements!$B:$B,Changements!$A:$A,A53,Changements!$C:$C,B53)+IF(L53&gt;M53,IFERROR(INDEX(Matchs!$F$4:$F$31,MATCH(A53,Matchs!$A$4:$A$31,0)),0),0))</f>
        <v>0</v>
      </c>
      <c r="P53" s="17">
        <f t="shared" si="3"/>
        <v>0</v>
      </c>
      <c r="Q53" s="17">
        <f t="shared" si="4"/>
        <v>0</v>
      </c>
    </row>
    <row r="54" spans="1:17" ht="15" customHeight="1" x14ac:dyDescent="0.25">
      <c r="A54" s="11">
        <f t="shared" si="0"/>
        <v>3</v>
      </c>
      <c r="B54" s="11" t="str">
        <f>INDEX('Effectif Saison'!$E$4:$E$22,3)</f>
        <v>Marouane SBK</v>
      </c>
      <c r="C54" s="10"/>
      <c r="D54" s="10"/>
      <c r="E54" s="10"/>
      <c r="F54" s="19" t="str">
        <f>IF(B54="","",IF(AND(E54="Oui",COUNTIFS(Changements!$A:$A,A54,Changements!$D:$D,B54)&gt;0),"⚠ Titulaire+entrée ?",IF(ABS(L54-M54)&gt;1,"⚠ vérifier","")))</f>
        <v/>
      </c>
      <c r="G54" s="11" t="str">
        <f>IF(B54="","",IFERROR(INDEX('Effectif Saison'!$D$4:$D$51,MATCH(B54,'Effectif Saison'!$E$4:$E$51,0)),""))</f>
        <v>Équipe 1</v>
      </c>
      <c r="H54" s="19" t="str">
        <f>IF(L54=0,"",IF(E54="Oui",0,IFERROR(_xlfn.MINIFS(Changements!$B:$B,Changements!$A:$A,A54,Changements!$D:$D,B54),"")))</f>
        <v/>
      </c>
      <c r="I54" s="19" t="str">
        <f>IF(M54=0,"",IFERROR(_xlfn.MAXIFS(Changements!$B:$B,Changements!$A:$A,A54,Changements!$C:$C,B54),""))</f>
        <v/>
      </c>
      <c r="J54" s="11" t="str">
        <f t="shared" si="1"/>
        <v/>
      </c>
      <c r="K54" s="17">
        <f t="shared" si="2"/>
        <v>0</v>
      </c>
      <c r="L54" s="17">
        <f>IF(B54="",0,COUNTIFS(Changements!$A:$A,A54,Changements!$D:$D,B54)+IF(E54="Oui",1,0))</f>
        <v>0</v>
      </c>
      <c r="M54" s="17">
        <f>IF(B54="",0,COUNTIFS(Changements!$A:$A,A54,Changements!$C:$C,B54))</f>
        <v>0</v>
      </c>
      <c r="N54" s="17">
        <f>IF(B54="",0,SUMIFS(Changements!$B:$B,Changements!$A:$A,A54,Changements!$D:$D,B54))</f>
        <v>0</v>
      </c>
      <c r="O54" s="17">
        <f>IF(B54="",0,SUMIFS(Changements!$B:$B,Changements!$A:$A,A54,Changements!$C:$C,B54)+IF(L54&gt;M54,IFERROR(INDEX(Matchs!$F$4:$F$31,MATCH(A54,Matchs!$A$4:$A$31,0)),0),0))</f>
        <v>0</v>
      </c>
      <c r="P54" s="17">
        <f t="shared" si="3"/>
        <v>0</v>
      </c>
      <c r="Q54" s="17">
        <f t="shared" si="4"/>
        <v>0</v>
      </c>
    </row>
    <row r="55" spans="1:17" ht="15" customHeight="1" x14ac:dyDescent="0.25">
      <c r="A55" s="11">
        <f t="shared" si="0"/>
        <v>3</v>
      </c>
      <c r="B55" s="11" t="str">
        <f>INDEX('Effectif Saison'!$E$4:$E$22,4)</f>
        <v>Noé BIHL</v>
      </c>
      <c r="C55" s="10"/>
      <c r="D55" s="10"/>
      <c r="E55" s="10"/>
      <c r="F55" s="19" t="str">
        <f>IF(B55="","",IF(AND(E55="Oui",COUNTIFS(Changements!$A:$A,A55,Changements!$D:$D,B55)&gt;0),"⚠ Titulaire+entrée ?",IF(ABS(L55-M55)&gt;1,"⚠ vérifier","")))</f>
        <v/>
      </c>
      <c r="G55" s="11" t="str">
        <f>IF(B55="","",IFERROR(INDEX('Effectif Saison'!$D$4:$D$51,MATCH(B55,'Effectif Saison'!$E$4:$E$51,0)),""))</f>
        <v>Équipe 1</v>
      </c>
      <c r="H55" s="19" t="str">
        <f>IF(L55=0,"",IF(E55="Oui",0,IFERROR(_xlfn.MINIFS(Changements!$B:$B,Changements!$A:$A,A55,Changements!$D:$D,B55),"")))</f>
        <v/>
      </c>
      <c r="I55" s="19" t="str">
        <f>IF(M55=0,"",IFERROR(_xlfn.MAXIFS(Changements!$B:$B,Changements!$A:$A,A55,Changements!$C:$C,B55),""))</f>
        <v/>
      </c>
      <c r="J55" s="11" t="str">
        <f t="shared" si="1"/>
        <v/>
      </c>
      <c r="K55" s="17">
        <f t="shared" si="2"/>
        <v>0</v>
      </c>
      <c r="L55" s="17">
        <f>IF(B55="",0,COUNTIFS(Changements!$A:$A,A55,Changements!$D:$D,B55)+IF(E55="Oui",1,0))</f>
        <v>0</v>
      </c>
      <c r="M55" s="17">
        <f>IF(B55="",0,COUNTIFS(Changements!$A:$A,A55,Changements!$C:$C,B55))</f>
        <v>0</v>
      </c>
      <c r="N55" s="17">
        <f>IF(B55="",0,SUMIFS(Changements!$B:$B,Changements!$A:$A,A55,Changements!$D:$D,B55))</f>
        <v>0</v>
      </c>
      <c r="O55" s="17">
        <f>IF(B55="",0,SUMIFS(Changements!$B:$B,Changements!$A:$A,A55,Changements!$C:$C,B55)+IF(L55&gt;M55,IFERROR(INDEX(Matchs!$F$4:$F$31,MATCH(A55,Matchs!$A$4:$A$31,0)),0),0))</f>
        <v>0</v>
      </c>
      <c r="P55" s="17">
        <f t="shared" si="3"/>
        <v>0</v>
      </c>
      <c r="Q55" s="17">
        <f t="shared" si="4"/>
        <v>0</v>
      </c>
    </row>
    <row r="56" spans="1:17" ht="15" customHeight="1" x14ac:dyDescent="0.25">
      <c r="A56" s="11">
        <f t="shared" si="0"/>
        <v>3</v>
      </c>
      <c r="B56" s="11" t="str">
        <f>INDEX('Effectif Saison'!$E$4:$E$22,5)</f>
        <v>Luca COLAIANNI</v>
      </c>
      <c r="C56" s="10"/>
      <c r="D56" s="10"/>
      <c r="E56" s="10"/>
      <c r="F56" s="19" t="str">
        <f>IF(B56="","",IF(AND(E56="Oui",COUNTIFS(Changements!$A:$A,A56,Changements!$D:$D,B56)&gt;0),"⚠ Titulaire+entrée ?",IF(ABS(L56-M56)&gt;1,"⚠ vérifier","")))</f>
        <v/>
      </c>
      <c r="G56" s="11" t="str">
        <f>IF(B56="","",IFERROR(INDEX('Effectif Saison'!$D$4:$D$51,MATCH(B56,'Effectif Saison'!$E$4:$E$51,0)),""))</f>
        <v>Équipe 1</v>
      </c>
      <c r="H56" s="19" t="str">
        <f>IF(L56=0,"",IF(E56="Oui",0,IFERROR(_xlfn.MINIFS(Changements!$B:$B,Changements!$A:$A,A56,Changements!$D:$D,B56),"")))</f>
        <v/>
      </c>
      <c r="I56" s="19" t="str">
        <f>IF(M56=0,"",IFERROR(_xlfn.MAXIFS(Changements!$B:$B,Changements!$A:$A,A56,Changements!$C:$C,B56),""))</f>
        <v/>
      </c>
      <c r="J56" s="11" t="str">
        <f t="shared" si="1"/>
        <v/>
      </c>
      <c r="K56" s="17">
        <f t="shared" si="2"/>
        <v>0</v>
      </c>
      <c r="L56" s="17">
        <f>IF(B56="",0,COUNTIFS(Changements!$A:$A,A56,Changements!$D:$D,B56)+IF(E56="Oui",1,0))</f>
        <v>0</v>
      </c>
      <c r="M56" s="17">
        <f>IF(B56="",0,COUNTIFS(Changements!$A:$A,A56,Changements!$C:$C,B56))</f>
        <v>0</v>
      </c>
      <c r="N56" s="17">
        <f>IF(B56="",0,SUMIFS(Changements!$B:$B,Changements!$A:$A,A56,Changements!$D:$D,B56))</f>
        <v>0</v>
      </c>
      <c r="O56" s="17">
        <f>IF(B56="",0,SUMIFS(Changements!$B:$B,Changements!$A:$A,A56,Changements!$C:$C,B56)+IF(L56&gt;M56,IFERROR(INDEX(Matchs!$F$4:$F$31,MATCH(A56,Matchs!$A$4:$A$31,0)),0),0))</f>
        <v>0</v>
      </c>
      <c r="P56" s="17">
        <f t="shared" si="3"/>
        <v>0</v>
      </c>
      <c r="Q56" s="17">
        <f t="shared" si="4"/>
        <v>0</v>
      </c>
    </row>
    <row r="57" spans="1:17" ht="15" customHeight="1" x14ac:dyDescent="0.25">
      <c r="A57" s="11">
        <f t="shared" si="0"/>
        <v>3</v>
      </c>
      <c r="B57" s="11" t="str">
        <f>INDEX('Effectif Saison'!$E$4:$E$22,6)</f>
        <v>Atilla ER</v>
      </c>
      <c r="C57" s="10"/>
      <c r="D57" s="10"/>
      <c r="E57" s="10"/>
      <c r="F57" s="19" t="str">
        <f>IF(B57="","",IF(AND(E57="Oui",COUNTIFS(Changements!$A:$A,A57,Changements!$D:$D,B57)&gt;0),"⚠ Titulaire+entrée ?",IF(ABS(L57-M57)&gt;1,"⚠ vérifier","")))</f>
        <v/>
      </c>
      <c r="G57" s="11" t="str">
        <f>IF(B57="","",IFERROR(INDEX('Effectif Saison'!$D$4:$D$51,MATCH(B57,'Effectif Saison'!$E$4:$E$51,0)),""))</f>
        <v>Équipe 1</v>
      </c>
      <c r="H57" s="19" t="str">
        <f>IF(L57=0,"",IF(E57="Oui",0,IFERROR(_xlfn.MINIFS(Changements!$B:$B,Changements!$A:$A,A57,Changements!$D:$D,B57),"")))</f>
        <v/>
      </c>
      <c r="I57" s="19" t="str">
        <f>IF(M57=0,"",IFERROR(_xlfn.MAXIFS(Changements!$B:$B,Changements!$A:$A,A57,Changements!$C:$C,B57),""))</f>
        <v/>
      </c>
      <c r="J57" s="11" t="str">
        <f t="shared" si="1"/>
        <v/>
      </c>
      <c r="K57" s="17">
        <f t="shared" si="2"/>
        <v>0</v>
      </c>
      <c r="L57" s="17">
        <f>IF(B57="",0,COUNTIFS(Changements!$A:$A,A57,Changements!$D:$D,B57)+IF(E57="Oui",1,0))</f>
        <v>0</v>
      </c>
      <c r="M57" s="17">
        <f>IF(B57="",0,COUNTIFS(Changements!$A:$A,A57,Changements!$C:$C,B57))</f>
        <v>0</v>
      </c>
      <c r="N57" s="17">
        <f>IF(B57="",0,SUMIFS(Changements!$B:$B,Changements!$A:$A,A57,Changements!$D:$D,B57))</f>
        <v>0</v>
      </c>
      <c r="O57" s="17">
        <f>IF(B57="",0,SUMIFS(Changements!$B:$B,Changements!$A:$A,A57,Changements!$C:$C,B57)+IF(L57&gt;M57,IFERROR(INDEX(Matchs!$F$4:$F$31,MATCH(A57,Matchs!$A$4:$A$31,0)),0),0))</f>
        <v>0</v>
      </c>
      <c r="P57" s="17">
        <f t="shared" si="3"/>
        <v>0</v>
      </c>
      <c r="Q57" s="17">
        <f t="shared" si="4"/>
        <v>0</v>
      </c>
    </row>
    <row r="58" spans="1:17" ht="15" customHeight="1" x14ac:dyDescent="0.25">
      <c r="A58" s="11">
        <f t="shared" si="0"/>
        <v>3</v>
      </c>
      <c r="B58" s="11" t="str">
        <f>INDEX('Effectif Saison'!$E$4:$E$22,7)</f>
        <v>Lucas BUHR</v>
      </c>
      <c r="C58" s="10"/>
      <c r="D58" s="10"/>
      <c r="E58" s="10"/>
      <c r="F58" s="19" t="str">
        <f>IF(B58="","",IF(AND(E58="Oui",COUNTIFS(Changements!$A:$A,A58,Changements!$D:$D,B58)&gt;0),"⚠ Titulaire+entrée ?",IF(ABS(L58-M58)&gt;1,"⚠ vérifier","")))</f>
        <v/>
      </c>
      <c r="G58" s="11" t="str">
        <f>IF(B58="","",IFERROR(INDEX('Effectif Saison'!$D$4:$D$51,MATCH(B58,'Effectif Saison'!$E$4:$E$51,0)),""))</f>
        <v>Équipe 1</v>
      </c>
      <c r="H58" s="19" t="str">
        <f>IF(L58=0,"",IF(E58="Oui",0,IFERROR(_xlfn.MINIFS(Changements!$B:$B,Changements!$A:$A,A58,Changements!$D:$D,B58),"")))</f>
        <v/>
      </c>
      <c r="I58" s="19" t="str">
        <f>IF(M58=0,"",IFERROR(_xlfn.MAXIFS(Changements!$B:$B,Changements!$A:$A,A58,Changements!$C:$C,B58),""))</f>
        <v/>
      </c>
      <c r="J58" s="11" t="str">
        <f t="shared" si="1"/>
        <v/>
      </c>
      <c r="K58" s="17">
        <f t="shared" si="2"/>
        <v>0</v>
      </c>
      <c r="L58" s="17">
        <f>IF(B58="",0,COUNTIFS(Changements!$A:$A,A58,Changements!$D:$D,B58)+IF(E58="Oui",1,0))</f>
        <v>0</v>
      </c>
      <c r="M58" s="17">
        <f>IF(B58="",0,COUNTIFS(Changements!$A:$A,A58,Changements!$C:$C,B58))</f>
        <v>0</v>
      </c>
      <c r="N58" s="17">
        <f>IF(B58="",0,SUMIFS(Changements!$B:$B,Changements!$A:$A,A58,Changements!$D:$D,B58))</f>
        <v>0</v>
      </c>
      <c r="O58" s="17">
        <f>IF(B58="",0,SUMIFS(Changements!$B:$B,Changements!$A:$A,A58,Changements!$C:$C,B58)+IF(L58&gt;M58,IFERROR(INDEX(Matchs!$F$4:$F$31,MATCH(A58,Matchs!$A$4:$A$31,0)),0),0))</f>
        <v>0</v>
      </c>
      <c r="P58" s="17">
        <f t="shared" si="3"/>
        <v>0</v>
      </c>
      <c r="Q58" s="17">
        <f t="shared" si="4"/>
        <v>0</v>
      </c>
    </row>
    <row r="59" spans="1:17" ht="15" customHeight="1" x14ac:dyDescent="0.25">
      <c r="A59" s="11">
        <f t="shared" si="0"/>
        <v>3</v>
      </c>
      <c r="B59" s="11" t="str">
        <f>INDEX('Effectif Saison'!$E$4:$E$22,8)</f>
        <v>Yanis HOUX</v>
      </c>
      <c r="C59" s="10"/>
      <c r="D59" s="10"/>
      <c r="E59" s="10"/>
      <c r="F59" s="19" t="str">
        <f>IF(B59="","",IF(AND(E59="Oui",COUNTIFS(Changements!$A:$A,A59,Changements!$D:$D,B59)&gt;0),"⚠ Titulaire+entrée ?",IF(ABS(L59-M59)&gt;1,"⚠ vérifier","")))</f>
        <v/>
      </c>
      <c r="G59" s="11" t="str">
        <f>IF(B59="","",IFERROR(INDEX('Effectif Saison'!$D$4:$D$51,MATCH(B59,'Effectif Saison'!$E$4:$E$51,0)),""))</f>
        <v>Équipe 1</v>
      </c>
      <c r="H59" s="19" t="str">
        <f>IF(L59=0,"",IF(E59="Oui",0,IFERROR(_xlfn.MINIFS(Changements!$B:$B,Changements!$A:$A,A59,Changements!$D:$D,B59),"")))</f>
        <v/>
      </c>
      <c r="I59" s="19" t="str">
        <f>IF(M59=0,"",IFERROR(_xlfn.MAXIFS(Changements!$B:$B,Changements!$A:$A,A59,Changements!$C:$C,B59),""))</f>
        <v/>
      </c>
      <c r="J59" s="11" t="str">
        <f t="shared" si="1"/>
        <v/>
      </c>
      <c r="K59" s="17">
        <f t="shared" si="2"/>
        <v>0</v>
      </c>
      <c r="L59" s="17">
        <f>IF(B59="",0,COUNTIFS(Changements!$A:$A,A59,Changements!$D:$D,B59)+IF(E59="Oui",1,0))</f>
        <v>0</v>
      </c>
      <c r="M59" s="17">
        <f>IF(B59="",0,COUNTIFS(Changements!$A:$A,A59,Changements!$C:$C,B59))</f>
        <v>0</v>
      </c>
      <c r="N59" s="17">
        <f>IF(B59="",0,SUMIFS(Changements!$B:$B,Changements!$A:$A,A59,Changements!$D:$D,B59))</f>
        <v>0</v>
      </c>
      <c r="O59" s="17">
        <f>IF(B59="",0,SUMIFS(Changements!$B:$B,Changements!$A:$A,A59,Changements!$C:$C,B59)+IF(L59&gt;M59,IFERROR(INDEX(Matchs!$F$4:$F$31,MATCH(A59,Matchs!$A$4:$A$31,0)),0),0))</f>
        <v>0</v>
      </c>
      <c r="P59" s="17">
        <f t="shared" si="3"/>
        <v>0</v>
      </c>
      <c r="Q59" s="17">
        <f t="shared" si="4"/>
        <v>0</v>
      </c>
    </row>
    <row r="60" spans="1:17" ht="15" customHeight="1" x14ac:dyDescent="0.25">
      <c r="A60" s="11">
        <f t="shared" si="0"/>
        <v>3</v>
      </c>
      <c r="B60" s="11" t="str">
        <f>INDEX('Effectif Saison'!$E$4:$E$22,9)</f>
        <v>Tino COLAIANNI</v>
      </c>
      <c r="C60" s="10"/>
      <c r="D60" s="10"/>
      <c r="E60" s="10"/>
      <c r="F60" s="19" t="str">
        <f>IF(B60="","",IF(AND(E60="Oui",COUNTIFS(Changements!$A:$A,A60,Changements!$D:$D,B60)&gt;0),"⚠ Titulaire+entrée ?",IF(ABS(L60-M60)&gt;1,"⚠ vérifier","")))</f>
        <v/>
      </c>
      <c r="G60" s="11" t="str">
        <f>IF(B60="","",IFERROR(INDEX('Effectif Saison'!$D$4:$D$51,MATCH(B60,'Effectif Saison'!$E$4:$E$51,0)),""))</f>
        <v>Équipe 1</v>
      </c>
      <c r="H60" s="19" t="str">
        <f>IF(L60=0,"",IF(E60="Oui",0,IFERROR(_xlfn.MINIFS(Changements!$B:$B,Changements!$A:$A,A60,Changements!$D:$D,B60),"")))</f>
        <v/>
      </c>
      <c r="I60" s="19" t="str">
        <f>IF(M60=0,"",IFERROR(_xlfn.MAXIFS(Changements!$B:$B,Changements!$A:$A,A60,Changements!$C:$C,B60),""))</f>
        <v/>
      </c>
      <c r="J60" s="11" t="str">
        <f t="shared" si="1"/>
        <v/>
      </c>
      <c r="K60" s="17">
        <f t="shared" si="2"/>
        <v>0</v>
      </c>
      <c r="L60" s="17">
        <f>IF(B60="",0,COUNTIFS(Changements!$A:$A,A60,Changements!$D:$D,B60)+IF(E60="Oui",1,0))</f>
        <v>0</v>
      </c>
      <c r="M60" s="17">
        <f>IF(B60="",0,COUNTIFS(Changements!$A:$A,A60,Changements!$C:$C,B60))</f>
        <v>0</v>
      </c>
      <c r="N60" s="17">
        <f>IF(B60="",0,SUMIFS(Changements!$B:$B,Changements!$A:$A,A60,Changements!$D:$D,B60))</f>
        <v>0</v>
      </c>
      <c r="O60" s="17">
        <f>IF(B60="",0,SUMIFS(Changements!$B:$B,Changements!$A:$A,A60,Changements!$C:$C,B60)+IF(L60&gt;M60,IFERROR(INDEX(Matchs!$F$4:$F$31,MATCH(A60,Matchs!$A$4:$A$31,0)),0),0))</f>
        <v>0</v>
      </c>
      <c r="P60" s="17">
        <f t="shared" si="3"/>
        <v>0</v>
      </c>
      <c r="Q60" s="17">
        <f t="shared" si="4"/>
        <v>0</v>
      </c>
    </row>
    <row r="61" spans="1:17" ht="15" customHeight="1" x14ac:dyDescent="0.25">
      <c r="A61" s="11">
        <f t="shared" si="0"/>
        <v>3</v>
      </c>
      <c r="B61" s="11" t="str">
        <f>INDEX('Effectif Saison'!$E$4:$E$22,10)</f>
        <v>Achille KELLERKNECHT</v>
      </c>
      <c r="C61" s="10"/>
      <c r="D61" s="10"/>
      <c r="E61" s="10"/>
      <c r="F61" s="19" t="str">
        <f>IF(B61="","",IF(AND(E61="Oui",COUNTIFS(Changements!$A:$A,A61,Changements!$D:$D,B61)&gt;0),"⚠ Titulaire+entrée ?",IF(ABS(L61-M61)&gt;1,"⚠ vérifier","")))</f>
        <v/>
      </c>
      <c r="G61" s="11" t="str">
        <f>IF(B61="","",IFERROR(INDEX('Effectif Saison'!$D$4:$D$51,MATCH(B61,'Effectif Saison'!$E$4:$E$51,0)),""))</f>
        <v>Équipe 1</v>
      </c>
      <c r="H61" s="19" t="str">
        <f>IF(L61=0,"",IF(E61="Oui",0,IFERROR(_xlfn.MINIFS(Changements!$B:$B,Changements!$A:$A,A61,Changements!$D:$D,B61),"")))</f>
        <v/>
      </c>
      <c r="I61" s="19" t="str">
        <f>IF(M61=0,"",IFERROR(_xlfn.MAXIFS(Changements!$B:$B,Changements!$A:$A,A61,Changements!$C:$C,B61),""))</f>
        <v/>
      </c>
      <c r="J61" s="11" t="str">
        <f t="shared" si="1"/>
        <v/>
      </c>
      <c r="K61" s="17">
        <f t="shared" si="2"/>
        <v>0</v>
      </c>
      <c r="L61" s="17">
        <f>IF(B61="",0,COUNTIFS(Changements!$A:$A,A61,Changements!$D:$D,B61)+IF(E61="Oui",1,0))</f>
        <v>0</v>
      </c>
      <c r="M61" s="17">
        <f>IF(B61="",0,COUNTIFS(Changements!$A:$A,A61,Changements!$C:$C,B61))</f>
        <v>0</v>
      </c>
      <c r="N61" s="17">
        <f>IF(B61="",0,SUMIFS(Changements!$B:$B,Changements!$A:$A,A61,Changements!$D:$D,B61))</f>
        <v>0</v>
      </c>
      <c r="O61" s="17">
        <f>IF(B61="",0,SUMIFS(Changements!$B:$B,Changements!$A:$A,A61,Changements!$C:$C,B61)+IF(L61&gt;M61,IFERROR(INDEX(Matchs!$F$4:$F$31,MATCH(A61,Matchs!$A$4:$A$31,0)),0),0))</f>
        <v>0</v>
      </c>
      <c r="P61" s="17">
        <f t="shared" si="3"/>
        <v>0</v>
      </c>
      <c r="Q61" s="17">
        <f t="shared" si="4"/>
        <v>0</v>
      </c>
    </row>
    <row r="62" spans="1:17" ht="15" customHeight="1" x14ac:dyDescent="0.25">
      <c r="A62" s="11">
        <f t="shared" si="0"/>
        <v>3</v>
      </c>
      <c r="B62" s="11" t="str">
        <f>INDEX('Effectif Saison'!$E$4:$E$22,11)</f>
        <v>Charly LEPERT</v>
      </c>
      <c r="C62" s="10"/>
      <c r="D62" s="10"/>
      <c r="E62" s="10"/>
      <c r="F62" s="19" t="str">
        <f>IF(B62="","",IF(AND(E62="Oui",COUNTIFS(Changements!$A:$A,A62,Changements!$D:$D,B62)&gt;0),"⚠ Titulaire+entrée ?",IF(ABS(L62-M62)&gt;1,"⚠ vérifier","")))</f>
        <v/>
      </c>
      <c r="G62" s="11" t="str">
        <f>IF(B62="","",IFERROR(INDEX('Effectif Saison'!$D$4:$D$51,MATCH(B62,'Effectif Saison'!$E$4:$E$51,0)),""))</f>
        <v>Équipe 1</v>
      </c>
      <c r="H62" s="19" t="str">
        <f>IF(L62=0,"",IF(E62="Oui",0,IFERROR(_xlfn.MINIFS(Changements!$B:$B,Changements!$A:$A,A62,Changements!$D:$D,B62),"")))</f>
        <v/>
      </c>
      <c r="I62" s="19" t="str">
        <f>IF(M62=0,"",IFERROR(_xlfn.MAXIFS(Changements!$B:$B,Changements!$A:$A,A62,Changements!$C:$C,B62),""))</f>
        <v/>
      </c>
      <c r="J62" s="11" t="str">
        <f t="shared" si="1"/>
        <v/>
      </c>
      <c r="K62" s="17">
        <f t="shared" si="2"/>
        <v>0</v>
      </c>
      <c r="L62" s="17">
        <f>IF(B62="",0,COUNTIFS(Changements!$A:$A,A62,Changements!$D:$D,B62)+IF(E62="Oui",1,0))</f>
        <v>0</v>
      </c>
      <c r="M62" s="17">
        <f>IF(B62="",0,COUNTIFS(Changements!$A:$A,A62,Changements!$C:$C,B62))</f>
        <v>0</v>
      </c>
      <c r="N62" s="17">
        <f>IF(B62="",0,SUMIFS(Changements!$B:$B,Changements!$A:$A,A62,Changements!$D:$D,B62))</f>
        <v>0</v>
      </c>
      <c r="O62" s="17">
        <f>IF(B62="",0,SUMIFS(Changements!$B:$B,Changements!$A:$A,A62,Changements!$C:$C,B62)+IF(L62&gt;M62,IFERROR(INDEX(Matchs!$F$4:$F$31,MATCH(A62,Matchs!$A$4:$A$31,0)),0),0))</f>
        <v>0</v>
      </c>
      <c r="P62" s="17">
        <f t="shared" si="3"/>
        <v>0</v>
      </c>
      <c r="Q62" s="17">
        <f t="shared" si="4"/>
        <v>0</v>
      </c>
    </row>
    <row r="63" spans="1:17" ht="15" customHeight="1" x14ac:dyDescent="0.25">
      <c r="A63" s="11">
        <f t="shared" si="0"/>
        <v>3</v>
      </c>
      <c r="B63" s="11" t="str">
        <f>INDEX('Effectif Saison'!$E$4:$E$22,12)</f>
        <v>Basile STANGRET</v>
      </c>
      <c r="C63" s="10"/>
      <c r="D63" s="10"/>
      <c r="E63" s="10"/>
      <c r="F63" s="19" t="str">
        <f>IF(B63="","",IF(AND(E63="Oui",COUNTIFS(Changements!$A:$A,A63,Changements!$D:$D,B63)&gt;0),"⚠ Titulaire+entrée ?",IF(ABS(L63-M63)&gt;1,"⚠ vérifier","")))</f>
        <v/>
      </c>
      <c r="G63" s="11" t="str">
        <f>IF(B63="","",IFERROR(INDEX('Effectif Saison'!$D$4:$D$51,MATCH(B63,'Effectif Saison'!$E$4:$E$51,0)),""))</f>
        <v>Équipe 1</v>
      </c>
      <c r="H63" s="19" t="str">
        <f>IF(L63=0,"",IF(E63="Oui",0,IFERROR(_xlfn.MINIFS(Changements!$B:$B,Changements!$A:$A,A63,Changements!$D:$D,B63),"")))</f>
        <v/>
      </c>
      <c r="I63" s="19" t="str">
        <f>IF(M63=0,"",IFERROR(_xlfn.MAXIFS(Changements!$B:$B,Changements!$A:$A,A63,Changements!$C:$C,B63),""))</f>
        <v/>
      </c>
      <c r="J63" s="11" t="str">
        <f t="shared" si="1"/>
        <v/>
      </c>
      <c r="K63" s="17">
        <f t="shared" si="2"/>
        <v>0</v>
      </c>
      <c r="L63" s="17">
        <f>IF(B63="",0,COUNTIFS(Changements!$A:$A,A63,Changements!$D:$D,B63)+IF(E63="Oui",1,0))</f>
        <v>0</v>
      </c>
      <c r="M63" s="17">
        <f>IF(B63="",0,COUNTIFS(Changements!$A:$A,A63,Changements!$C:$C,B63))</f>
        <v>0</v>
      </c>
      <c r="N63" s="17">
        <f>IF(B63="",0,SUMIFS(Changements!$B:$B,Changements!$A:$A,A63,Changements!$D:$D,B63))</f>
        <v>0</v>
      </c>
      <c r="O63" s="17">
        <f>IF(B63="",0,SUMIFS(Changements!$B:$B,Changements!$A:$A,A63,Changements!$C:$C,B63)+IF(L63&gt;M63,IFERROR(INDEX(Matchs!$F$4:$F$31,MATCH(A63,Matchs!$A$4:$A$31,0)),0),0))</f>
        <v>0</v>
      </c>
      <c r="P63" s="17">
        <f t="shared" si="3"/>
        <v>0</v>
      </c>
      <c r="Q63" s="17">
        <f t="shared" si="4"/>
        <v>0</v>
      </c>
    </row>
    <row r="64" spans="1:17" ht="15" customHeight="1" x14ac:dyDescent="0.25">
      <c r="A64" s="11">
        <f t="shared" si="0"/>
        <v>3</v>
      </c>
      <c r="B64" s="11" t="str">
        <f>INDEX('Effectif Saison'!$E$4:$E$22,13)</f>
        <v>Maxence KELLER</v>
      </c>
      <c r="C64" s="10"/>
      <c r="D64" s="10"/>
      <c r="E64" s="10"/>
      <c r="F64" s="19" t="str">
        <f>IF(B64="","",IF(AND(E64="Oui",COUNTIFS(Changements!$A:$A,A64,Changements!$D:$D,B64)&gt;0),"⚠ Titulaire+entrée ?",IF(ABS(L64-M64)&gt;1,"⚠ vérifier","")))</f>
        <v/>
      </c>
      <c r="G64" s="11" t="str">
        <f>IF(B64="","",IFERROR(INDEX('Effectif Saison'!$D$4:$D$51,MATCH(B64,'Effectif Saison'!$E$4:$E$51,0)),""))</f>
        <v>Équipe 1</v>
      </c>
      <c r="H64" s="19" t="str">
        <f>IF(L64=0,"",IF(E64="Oui",0,IFERROR(_xlfn.MINIFS(Changements!$B:$B,Changements!$A:$A,A64,Changements!$D:$D,B64),"")))</f>
        <v/>
      </c>
      <c r="I64" s="19" t="str">
        <f>IF(M64=0,"",IFERROR(_xlfn.MAXIFS(Changements!$B:$B,Changements!$A:$A,A64,Changements!$C:$C,B64),""))</f>
        <v/>
      </c>
      <c r="J64" s="11" t="str">
        <f t="shared" si="1"/>
        <v/>
      </c>
      <c r="K64" s="17">
        <f t="shared" si="2"/>
        <v>0</v>
      </c>
      <c r="L64" s="17">
        <f>IF(B64="",0,COUNTIFS(Changements!$A:$A,A64,Changements!$D:$D,B64)+IF(E64="Oui",1,0))</f>
        <v>0</v>
      </c>
      <c r="M64" s="17">
        <f>IF(B64="",0,COUNTIFS(Changements!$A:$A,A64,Changements!$C:$C,B64))</f>
        <v>0</v>
      </c>
      <c r="N64" s="17">
        <f>IF(B64="",0,SUMIFS(Changements!$B:$B,Changements!$A:$A,A64,Changements!$D:$D,B64))</f>
        <v>0</v>
      </c>
      <c r="O64" s="17">
        <f>IF(B64="",0,SUMIFS(Changements!$B:$B,Changements!$A:$A,A64,Changements!$C:$C,B64)+IF(L64&gt;M64,IFERROR(INDEX(Matchs!$F$4:$F$31,MATCH(A64,Matchs!$A$4:$A$31,0)),0),0))</f>
        <v>0</v>
      </c>
      <c r="P64" s="17">
        <f t="shared" si="3"/>
        <v>0</v>
      </c>
      <c r="Q64" s="17">
        <f t="shared" si="4"/>
        <v>0</v>
      </c>
    </row>
    <row r="65" spans="1:17" ht="15" customHeight="1" x14ac:dyDescent="0.25">
      <c r="A65" s="11">
        <f t="shared" si="0"/>
        <v>3</v>
      </c>
      <c r="B65" s="11" t="str">
        <f>INDEX('Effectif Saison'!$E$4:$E$22,14)</f>
        <v>Evan SCHMITT</v>
      </c>
      <c r="C65" s="10"/>
      <c r="D65" s="10"/>
      <c r="E65" s="10"/>
      <c r="F65" s="19" t="str">
        <f>IF(B65="","",IF(AND(E65="Oui",COUNTIFS(Changements!$A:$A,A65,Changements!$D:$D,B65)&gt;0),"⚠ Titulaire+entrée ?",IF(ABS(L65-M65)&gt;1,"⚠ vérifier","")))</f>
        <v/>
      </c>
      <c r="G65" s="11" t="str">
        <f>IF(B65="","",IFERROR(INDEX('Effectif Saison'!$D$4:$D$51,MATCH(B65,'Effectif Saison'!$E$4:$E$51,0)),""))</f>
        <v>Équipe 1</v>
      </c>
      <c r="H65" s="19" t="str">
        <f>IF(L65=0,"",IF(E65="Oui",0,IFERROR(_xlfn.MINIFS(Changements!$B:$B,Changements!$A:$A,A65,Changements!$D:$D,B65),"")))</f>
        <v/>
      </c>
      <c r="I65" s="19" t="str">
        <f>IF(M65=0,"",IFERROR(_xlfn.MAXIFS(Changements!$B:$B,Changements!$A:$A,A65,Changements!$C:$C,B65),""))</f>
        <v/>
      </c>
      <c r="J65" s="11" t="str">
        <f t="shared" si="1"/>
        <v/>
      </c>
      <c r="K65" s="17">
        <f t="shared" si="2"/>
        <v>0</v>
      </c>
      <c r="L65" s="17">
        <f>IF(B65="",0,COUNTIFS(Changements!$A:$A,A65,Changements!$D:$D,B65)+IF(E65="Oui",1,0))</f>
        <v>0</v>
      </c>
      <c r="M65" s="17">
        <f>IF(B65="",0,COUNTIFS(Changements!$A:$A,A65,Changements!$C:$C,B65))</f>
        <v>0</v>
      </c>
      <c r="N65" s="17">
        <f>IF(B65="",0,SUMIFS(Changements!$B:$B,Changements!$A:$A,A65,Changements!$D:$D,B65))</f>
        <v>0</v>
      </c>
      <c r="O65" s="17">
        <f>IF(B65="",0,SUMIFS(Changements!$B:$B,Changements!$A:$A,A65,Changements!$C:$C,B65)+IF(L65&gt;M65,IFERROR(INDEX(Matchs!$F$4:$F$31,MATCH(A65,Matchs!$A$4:$A$31,0)),0),0))</f>
        <v>0</v>
      </c>
      <c r="P65" s="17">
        <f t="shared" si="3"/>
        <v>0</v>
      </c>
      <c r="Q65" s="17">
        <f t="shared" si="4"/>
        <v>0</v>
      </c>
    </row>
    <row r="66" spans="1:17" ht="15" customHeight="1" x14ac:dyDescent="0.25">
      <c r="A66" s="11">
        <f t="shared" si="0"/>
        <v>3</v>
      </c>
      <c r="B66" s="11" t="str">
        <f>INDEX('Effectif Saison'!$E$4:$E$22,15)</f>
        <v>William SIMON</v>
      </c>
      <c r="C66" s="10"/>
      <c r="D66" s="10"/>
      <c r="E66" s="10"/>
      <c r="F66" s="19" t="str">
        <f>IF(B66="","",IF(AND(E66="Oui",COUNTIFS(Changements!$A:$A,A66,Changements!$D:$D,B66)&gt;0),"⚠ Titulaire+entrée ?",IF(ABS(L66-M66)&gt;1,"⚠ vérifier","")))</f>
        <v/>
      </c>
      <c r="G66" s="11" t="str">
        <f>IF(B66="","",IFERROR(INDEX('Effectif Saison'!$D$4:$D$51,MATCH(B66,'Effectif Saison'!$E$4:$E$51,0)),""))</f>
        <v>Équipe 1</v>
      </c>
      <c r="H66" s="19" t="str">
        <f>IF(L66=0,"",IF(E66="Oui",0,IFERROR(_xlfn.MINIFS(Changements!$B:$B,Changements!$A:$A,A66,Changements!$D:$D,B66),"")))</f>
        <v/>
      </c>
      <c r="I66" s="19" t="str">
        <f>IF(M66=0,"",IFERROR(_xlfn.MAXIFS(Changements!$B:$B,Changements!$A:$A,A66,Changements!$C:$C,B66),""))</f>
        <v/>
      </c>
      <c r="J66" s="11" t="str">
        <f t="shared" si="1"/>
        <v/>
      </c>
      <c r="K66" s="17">
        <f t="shared" si="2"/>
        <v>0</v>
      </c>
      <c r="L66" s="17">
        <f>IF(B66="",0,COUNTIFS(Changements!$A:$A,A66,Changements!$D:$D,B66)+IF(E66="Oui",1,0))</f>
        <v>0</v>
      </c>
      <c r="M66" s="17">
        <f>IF(B66="",0,COUNTIFS(Changements!$A:$A,A66,Changements!$C:$C,B66))</f>
        <v>0</v>
      </c>
      <c r="N66" s="17">
        <f>IF(B66="",0,SUMIFS(Changements!$B:$B,Changements!$A:$A,A66,Changements!$D:$D,B66))</f>
        <v>0</v>
      </c>
      <c r="O66" s="17">
        <f>IF(B66="",0,SUMIFS(Changements!$B:$B,Changements!$A:$A,A66,Changements!$C:$C,B66)+IF(L66&gt;M66,IFERROR(INDEX(Matchs!$F$4:$F$31,MATCH(A66,Matchs!$A$4:$A$31,0)),0),0))</f>
        <v>0</v>
      </c>
      <c r="P66" s="17">
        <f t="shared" si="3"/>
        <v>0</v>
      </c>
      <c r="Q66" s="17">
        <f t="shared" si="4"/>
        <v>0</v>
      </c>
    </row>
    <row r="67" spans="1:17" ht="15" customHeight="1" x14ac:dyDescent="0.25">
      <c r="A67" s="11">
        <f t="shared" si="0"/>
        <v>3</v>
      </c>
      <c r="B67" s="11" t="str">
        <f>INDEX('Effectif Saison'!$E$4:$E$22,16)</f>
        <v>Lenny LEPPER</v>
      </c>
      <c r="C67" s="10"/>
      <c r="D67" s="10"/>
      <c r="E67" s="10"/>
      <c r="F67" s="19" t="str">
        <f>IF(B67="","",IF(AND(E67="Oui",COUNTIFS(Changements!$A:$A,A67,Changements!$D:$D,B67)&gt;0),"⚠ Titulaire+entrée ?",IF(ABS(L67-M67)&gt;1,"⚠ vérifier","")))</f>
        <v/>
      </c>
      <c r="G67" s="11" t="str">
        <f>IF(B67="","",IFERROR(INDEX('Effectif Saison'!$D$4:$D$51,MATCH(B67,'Effectif Saison'!$E$4:$E$51,0)),""))</f>
        <v>Équipe 1</v>
      </c>
      <c r="H67" s="19" t="str">
        <f>IF(L67=0,"",IF(E67="Oui",0,IFERROR(_xlfn.MINIFS(Changements!$B:$B,Changements!$A:$A,A67,Changements!$D:$D,B67),"")))</f>
        <v/>
      </c>
      <c r="I67" s="19" t="str">
        <f>IF(M67=0,"",IFERROR(_xlfn.MAXIFS(Changements!$B:$B,Changements!$A:$A,A67,Changements!$C:$C,B67),""))</f>
        <v/>
      </c>
      <c r="J67" s="11" t="str">
        <f t="shared" si="1"/>
        <v/>
      </c>
      <c r="K67" s="17">
        <f t="shared" si="2"/>
        <v>0</v>
      </c>
      <c r="L67" s="17">
        <f>IF(B67="",0,COUNTIFS(Changements!$A:$A,A67,Changements!$D:$D,B67)+IF(E67="Oui",1,0))</f>
        <v>0</v>
      </c>
      <c r="M67" s="17">
        <f>IF(B67="",0,COUNTIFS(Changements!$A:$A,A67,Changements!$C:$C,B67))</f>
        <v>0</v>
      </c>
      <c r="N67" s="17">
        <f>IF(B67="",0,SUMIFS(Changements!$B:$B,Changements!$A:$A,A67,Changements!$D:$D,B67))</f>
        <v>0</v>
      </c>
      <c r="O67" s="17">
        <f>IF(B67="",0,SUMIFS(Changements!$B:$B,Changements!$A:$A,A67,Changements!$C:$C,B67)+IF(L67&gt;M67,IFERROR(INDEX(Matchs!$F$4:$F$31,MATCH(A67,Matchs!$A$4:$A$31,0)),0),0))</f>
        <v>0</v>
      </c>
      <c r="P67" s="17">
        <f t="shared" si="3"/>
        <v>0</v>
      </c>
      <c r="Q67" s="17">
        <f t="shared" si="4"/>
        <v>0</v>
      </c>
    </row>
    <row r="68" spans="1:17" ht="15" customHeight="1" x14ac:dyDescent="0.25">
      <c r="A68" s="11">
        <f t="shared" ref="A68:A131" si="5">INT((ROW()-4)/24)+1</f>
        <v>3</v>
      </c>
      <c r="B68" s="11" t="str">
        <f>INDEX('Effectif Saison'!$E$4:$E$22,17)</f>
        <v>Malo KELLER</v>
      </c>
      <c r="C68" s="10"/>
      <c r="D68" s="10"/>
      <c r="E68" s="10"/>
      <c r="F68" s="19" t="str">
        <f>IF(B68="","",IF(AND(E68="Oui",COUNTIFS(Changements!$A:$A,A68,Changements!$D:$D,B68)&gt;0),"⚠ Titulaire+entrée ?",IF(ABS(L68-M68)&gt;1,"⚠ vérifier","")))</f>
        <v/>
      </c>
      <c r="G68" s="11" t="str">
        <f>IF(B68="","",IFERROR(INDEX('Effectif Saison'!$D$4:$D$51,MATCH(B68,'Effectif Saison'!$E$4:$E$51,0)),""))</f>
        <v>Équipe 1</v>
      </c>
      <c r="H68" s="19" t="str">
        <f>IF(L68=0,"",IF(E68="Oui",0,IFERROR(_xlfn.MINIFS(Changements!$B:$B,Changements!$A:$A,A68,Changements!$D:$D,B68),"")))</f>
        <v/>
      </c>
      <c r="I68" s="19" t="str">
        <f>IF(M68=0,"",IFERROR(_xlfn.MAXIFS(Changements!$B:$B,Changements!$A:$A,A68,Changements!$C:$C,B68),""))</f>
        <v/>
      </c>
      <c r="J68" s="11" t="str">
        <f t="shared" ref="J68:J131" si="6">IF(OR(B68="",C68&lt;&gt;"Oui"),"",O68-N68)</f>
        <v/>
      </c>
      <c r="K68" s="17">
        <f t="shared" ref="K68:K131" si="7">IF(AND(B68&lt;&gt;"",ISNUMBER(J68)),1,0)</f>
        <v>0</v>
      </c>
      <c r="L68" s="17">
        <f>IF(B68="",0,COUNTIFS(Changements!$A:$A,A68,Changements!$D:$D,B68)+IF(E68="Oui",1,0))</f>
        <v>0</v>
      </c>
      <c r="M68" s="17">
        <f>IF(B68="",0,COUNTIFS(Changements!$A:$A,A68,Changements!$C:$C,B68))</f>
        <v>0</v>
      </c>
      <c r="N68" s="17">
        <f>IF(B68="",0,SUMIFS(Changements!$B:$B,Changements!$A:$A,A68,Changements!$D:$D,B68))</f>
        <v>0</v>
      </c>
      <c r="O68" s="17">
        <f>IF(B68="",0,SUMIFS(Changements!$B:$B,Changements!$A:$A,A68,Changements!$C:$C,B68)+IF(L68&gt;M68,IFERROR(INDEX(Matchs!$F$4:$F$31,MATCH(A68,Matchs!$A$4:$A$31,0)),0),0))</f>
        <v>0</v>
      </c>
      <c r="P68" s="17">
        <f t="shared" ref="P68:P131" si="8">IF(AND(B68&lt;&gt;"",C68="Oui"),1,0)</f>
        <v>0</v>
      </c>
      <c r="Q68" s="17">
        <f t="shared" ref="Q68:Q131" si="9">IF(AND(B68&lt;&gt;"",E68="Oui"),1,0)</f>
        <v>0</v>
      </c>
    </row>
    <row r="69" spans="1:17" ht="15" customHeight="1" x14ac:dyDescent="0.25">
      <c r="A69" s="11">
        <f t="shared" si="5"/>
        <v>3</v>
      </c>
      <c r="B69" s="11" t="str">
        <f>INDEX('Effectif Saison'!$E$4:$E$22,18)</f>
        <v>Tom SCHILLER</v>
      </c>
      <c r="C69" s="10"/>
      <c r="D69" s="10"/>
      <c r="E69" s="10"/>
      <c r="F69" s="19" t="str">
        <f>IF(B69="","",IF(AND(E69="Oui",COUNTIFS(Changements!$A:$A,A69,Changements!$D:$D,B69)&gt;0),"⚠ Titulaire+entrée ?",IF(ABS(L69-M69)&gt;1,"⚠ vérifier","")))</f>
        <v/>
      </c>
      <c r="G69" s="11" t="str">
        <f>IF(B69="","",IFERROR(INDEX('Effectif Saison'!$D$4:$D$51,MATCH(B69,'Effectif Saison'!$E$4:$E$51,0)),""))</f>
        <v>Équipe 1</v>
      </c>
      <c r="H69" s="19" t="str">
        <f>IF(L69=0,"",IF(E69="Oui",0,IFERROR(_xlfn.MINIFS(Changements!$B:$B,Changements!$A:$A,A69,Changements!$D:$D,B69),"")))</f>
        <v/>
      </c>
      <c r="I69" s="19" t="str">
        <f>IF(M69=0,"",IFERROR(_xlfn.MAXIFS(Changements!$B:$B,Changements!$A:$A,A69,Changements!$C:$C,B69),""))</f>
        <v/>
      </c>
      <c r="J69" s="11" t="str">
        <f t="shared" si="6"/>
        <v/>
      </c>
      <c r="K69" s="17">
        <f t="shared" si="7"/>
        <v>0</v>
      </c>
      <c r="L69" s="17">
        <f>IF(B69="",0,COUNTIFS(Changements!$A:$A,A69,Changements!$D:$D,B69)+IF(E69="Oui",1,0))</f>
        <v>0</v>
      </c>
      <c r="M69" s="17">
        <f>IF(B69="",0,COUNTIFS(Changements!$A:$A,A69,Changements!$C:$C,B69))</f>
        <v>0</v>
      </c>
      <c r="N69" s="17">
        <f>IF(B69="",0,SUMIFS(Changements!$B:$B,Changements!$A:$A,A69,Changements!$D:$D,B69))</f>
        <v>0</v>
      </c>
      <c r="O69" s="17">
        <f>IF(B69="",0,SUMIFS(Changements!$B:$B,Changements!$A:$A,A69,Changements!$C:$C,B69)+IF(L69&gt;M69,IFERROR(INDEX(Matchs!$F$4:$F$31,MATCH(A69,Matchs!$A$4:$A$31,0)),0),0))</f>
        <v>0</v>
      </c>
      <c r="P69" s="17">
        <f t="shared" si="8"/>
        <v>0</v>
      </c>
      <c r="Q69" s="17">
        <f t="shared" si="9"/>
        <v>0</v>
      </c>
    </row>
    <row r="70" spans="1:17" ht="15" customHeight="1" x14ac:dyDescent="0.25">
      <c r="A70" s="11">
        <f t="shared" si="5"/>
        <v>3</v>
      </c>
      <c r="B70" s="11" t="str">
        <f>INDEX('Effectif Saison'!$E$4:$E$22,19)</f>
        <v>Eliot LEIBY</v>
      </c>
      <c r="C70" s="10"/>
      <c r="D70" s="10"/>
      <c r="E70" s="10"/>
      <c r="F70" s="19" t="str">
        <f>IF(B70="","",IF(AND(E70="Oui",COUNTIFS(Changements!$A:$A,A70,Changements!$D:$D,B70)&gt;0),"⚠ Titulaire+entrée ?",IF(ABS(L70-M70)&gt;1,"⚠ vérifier","")))</f>
        <v/>
      </c>
      <c r="G70" s="11" t="str">
        <f>IF(B70="","",IFERROR(INDEX('Effectif Saison'!$D$4:$D$51,MATCH(B70,'Effectif Saison'!$E$4:$E$51,0)),""))</f>
        <v>Équipe 1</v>
      </c>
      <c r="H70" s="19" t="str">
        <f>IF(L70=0,"",IF(E70="Oui",0,IFERROR(_xlfn.MINIFS(Changements!$B:$B,Changements!$A:$A,A70,Changements!$D:$D,B70),"")))</f>
        <v/>
      </c>
      <c r="I70" s="19" t="str">
        <f>IF(M70=0,"",IFERROR(_xlfn.MAXIFS(Changements!$B:$B,Changements!$A:$A,A70,Changements!$C:$C,B70),""))</f>
        <v/>
      </c>
      <c r="J70" s="11" t="str">
        <f t="shared" si="6"/>
        <v/>
      </c>
      <c r="K70" s="17">
        <f t="shared" si="7"/>
        <v>0</v>
      </c>
      <c r="L70" s="17">
        <f>IF(B70="",0,COUNTIFS(Changements!$A:$A,A70,Changements!$D:$D,B70)+IF(E70="Oui",1,0))</f>
        <v>0</v>
      </c>
      <c r="M70" s="17">
        <f>IF(B70="",0,COUNTIFS(Changements!$A:$A,A70,Changements!$C:$C,B70))</f>
        <v>0</v>
      </c>
      <c r="N70" s="17">
        <f>IF(B70="",0,SUMIFS(Changements!$B:$B,Changements!$A:$A,A70,Changements!$D:$D,B70))</f>
        <v>0</v>
      </c>
      <c r="O70" s="17">
        <f>IF(B70="",0,SUMIFS(Changements!$B:$B,Changements!$A:$A,A70,Changements!$C:$C,B70)+IF(L70&gt;M70,IFERROR(INDEX(Matchs!$F$4:$F$31,MATCH(A70,Matchs!$A$4:$A$31,0)),0),0))</f>
        <v>0</v>
      </c>
      <c r="P70" s="17">
        <f t="shared" si="8"/>
        <v>0</v>
      </c>
      <c r="Q70" s="17">
        <f t="shared" si="9"/>
        <v>0</v>
      </c>
    </row>
    <row r="71" spans="1:17" ht="15" customHeight="1" x14ac:dyDescent="0.25">
      <c r="A71" s="11">
        <f t="shared" si="5"/>
        <v>3</v>
      </c>
      <c r="B71" s="10"/>
      <c r="C71" s="10"/>
      <c r="D71" s="10"/>
      <c r="E71" s="10"/>
      <c r="F71" s="19" t="str">
        <f>IF(B71="","",IF(AND(E71="Oui",COUNTIFS(Changements!$A:$A,A71,Changements!$D:$D,B71)&gt;0),"⚠ Titulaire+entrée ?",IF(ABS(L71-M71)&gt;1,"⚠ vérifier","")))</f>
        <v/>
      </c>
      <c r="G71" s="11" t="str">
        <f>IF(B71="","",IFERROR(INDEX('Effectif Saison'!$D$4:$D$51,MATCH(B71,'Effectif Saison'!$E$4:$E$51,0)),""))</f>
        <v/>
      </c>
      <c r="H71" s="19" t="str">
        <f>IF(L71=0,"",IF(E71="Oui",0,IFERROR(_xlfn.MINIFS(Changements!$B:$B,Changements!$A:$A,A71,Changements!$D:$D,B71),"")))</f>
        <v/>
      </c>
      <c r="I71" s="19" t="str">
        <f>IF(M71=0,"",IFERROR(_xlfn.MAXIFS(Changements!$B:$B,Changements!$A:$A,A71,Changements!$C:$C,B71),""))</f>
        <v/>
      </c>
      <c r="J71" s="11" t="str">
        <f t="shared" si="6"/>
        <v/>
      </c>
      <c r="K71" s="17">
        <f t="shared" si="7"/>
        <v>0</v>
      </c>
      <c r="L71" s="17">
        <f>IF(B71="",0,COUNTIFS(Changements!$A:$A,A71,Changements!$D:$D,B71)+IF(E71="Oui",1,0))</f>
        <v>0</v>
      </c>
      <c r="M71" s="17">
        <f>IF(B71="",0,COUNTIFS(Changements!$A:$A,A71,Changements!$C:$C,B71))</f>
        <v>0</v>
      </c>
      <c r="N71" s="17">
        <f>IF(B71="",0,SUMIFS(Changements!$B:$B,Changements!$A:$A,A71,Changements!$D:$D,B71))</f>
        <v>0</v>
      </c>
      <c r="O71" s="17">
        <f>IF(B71="",0,SUMIFS(Changements!$B:$B,Changements!$A:$A,A71,Changements!$C:$C,B71)+IF(L71&gt;M71,IFERROR(INDEX(Matchs!$F$4:$F$31,MATCH(A71,Matchs!$A$4:$A$31,0)),0),0))</f>
        <v>0</v>
      </c>
      <c r="P71" s="17">
        <f t="shared" si="8"/>
        <v>0</v>
      </c>
      <c r="Q71" s="17">
        <f t="shared" si="9"/>
        <v>0</v>
      </c>
    </row>
    <row r="72" spans="1:17" ht="15" customHeight="1" x14ac:dyDescent="0.25">
      <c r="A72" s="11">
        <f t="shared" si="5"/>
        <v>3</v>
      </c>
      <c r="B72" s="10"/>
      <c r="C72" s="10"/>
      <c r="D72" s="10"/>
      <c r="E72" s="10"/>
      <c r="F72" s="19" t="str">
        <f>IF(B72="","",IF(AND(E72="Oui",COUNTIFS(Changements!$A:$A,A72,Changements!$D:$D,B72)&gt;0),"⚠ Titulaire+entrée ?",IF(ABS(L72-M72)&gt;1,"⚠ vérifier","")))</f>
        <v/>
      </c>
      <c r="G72" s="11" t="str">
        <f>IF(B72="","",IFERROR(INDEX('Effectif Saison'!$D$4:$D$51,MATCH(B72,'Effectif Saison'!$E$4:$E$51,0)),""))</f>
        <v/>
      </c>
      <c r="H72" s="19" t="str">
        <f>IF(L72=0,"",IF(E72="Oui",0,IFERROR(_xlfn.MINIFS(Changements!$B:$B,Changements!$A:$A,A72,Changements!$D:$D,B72),"")))</f>
        <v/>
      </c>
      <c r="I72" s="19" t="str">
        <f>IF(M72=0,"",IFERROR(_xlfn.MAXIFS(Changements!$B:$B,Changements!$A:$A,A72,Changements!$C:$C,B72),""))</f>
        <v/>
      </c>
      <c r="J72" s="11" t="str">
        <f t="shared" si="6"/>
        <v/>
      </c>
      <c r="K72" s="17">
        <f t="shared" si="7"/>
        <v>0</v>
      </c>
      <c r="L72" s="17">
        <f>IF(B72="",0,COUNTIFS(Changements!$A:$A,A72,Changements!$D:$D,B72)+IF(E72="Oui",1,0))</f>
        <v>0</v>
      </c>
      <c r="M72" s="17">
        <f>IF(B72="",0,COUNTIFS(Changements!$A:$A,A72,Changements!$C:$C,B72))</f>
        <v>0</v>
      </c>
      <c r="N72" s="17">
        <f>IF(B72="",0,SUMIFS(Changements!$B:$B,Changements!$A:$A,A72,Changements!$D:$D,B72))</f>
        <v>0</v>
      </c>
      <c r="O72" s="17">
        <f>IF(B72="",0,SUMIFS(Changements!$B:$B,Changements!$A:$A,A72,Changements!$C:$C,B72)+IF(L72&gt;M72,IFERROR(INDEX(Matchs!$F$4:$F$31,MATCH(A72,Matchs!$A$4:$A$31,0)),0),0))</f>
        <v>0</v>
      </c>
      <c r="P72" s="17">
        <f t="shared" si="8"/>
        <v>0</v>
      </c>
      <c r="Q72" s="17">
        <f t="shared" si="9"/>
        <v>0</v>
      </c>
    </row>
    <row r="73" spans="1:17" ht="15" customHeight="1" x14ac:dyDescent="0.25">
      <c r="A73" s="11">
        <f t="shared" si="5"/>
        <v>3</v>
      </c>
      <c r="B73" s="10"/>
      <c r="C73" s="10"/>
      <c r="D73" s="10"/>
      <c r="E73" s="10"/>
      <c r="F73" s="19" t="str">
        <f>IF(B73="","",IF(AND(E73="Oui",COUNTIFS(Changements!$A:$A,A73,Changements!$D:$D,B73)&gt;0),"⚠ Titulaire+entrée ?",IF(ABS(L73-M73)&gt;1,"⚠ vérifier","")))</f>
        <v/>
      </c>
      <c r="G73" s="11" t="str">
        <f>IF(B73="","",IFERROR(INDEX('Effectif Saison'!$D$4:$D$51,MATCH(B73,'Effectif Saison'!$E$4:$E$51,0)),""))</f>
        <v/>
      </c>
      <c r="H73" s="19" t="str">
        <f>IF(L73=0,"",IF(E73="Oui",0,IFERROR(_xlfn.MINIFS(Changements!$B:$B,Changements!$A:$A,A73,Changements!$D:$D,B73),"")))</f>
        <v/>
      </c>
      <c r="I73" s="19" t="str">
        <f>IF(M73=0,"",IFERROR(_xlfn.MAXIFS(Changements!$B:$B,Changements!$A:$A,A73,Changements!$C:$C,B73),""))</f>
        <v/>
      </c>
      <c r="J73" s="11" t="str">
        <f t="shared" si="6"/>
        <v/>
      </c>
      <c r="K73" s="17">
        <f t="shared" si="7"/>
        <v>0</v>
      </c>
      <c r="L73" s="17">
        <f>IF(B73="",0,COUNTIFS(Changements!$A:$A,A73,Changements!$D:$D,B73)+IF(E73="Oui",1,0))</f>
        <v>0</v>
      </c>
      <c r="M73" s="17">
        <f>IF(B73="",0,COUNTIFS(Changements!$A:$A,A73,Changements!$C:$C,B73))</f>
        <v>0</v>
      </c>
      <c r="N73" s="17">
        <f>IF(B73="",0,SUMIFS(Changements!$B:$B,Changements!$A:$A,A73,Changements!$D:$D,B73))</f>
        <v>0</v>
      </c>
      <c r="O73" s="17">
        <f>IF(B73="",0,SUMIFS(Changements!$B:$B,Changements!$A:$A,A73,Changements!$C:$C,B73)+IF(L73&gt;M73,IFERROR(INDEX(Matchs!$F$4:$F$31,MATCH(A73,Matchs!$A$4:$A$31,0)),0),0))</f>
        <v>0</v>
      </c>
      <c r="P73" s="17">
        <f t="shared" si="8"/>
        <v>0</v>
      </c>
      <c r="Q73" s="17">
        <f t="shared" si="9"/>
        <v>0</v>
      </c>
    </row>
    <row r="74" spans="1:17" ht="15" customHeight="1" x14ac:dyDescent="0.25">
      <c r="A74" s="11">
        <f t="shared" si="5"/>
        <v>3</v>
      </c>
      <c r="B74" s="10"/>
      <c r="C74" s="10"/>
      <c r="D74" s="10"/>
      <c r="E74" s="10"/>
      <c r="F74" s="19" t="str">
        <f>IF(B74="","",IF(AND(E74="Oui",COUNTIFS(Changements!$A:$A,A74,Changements!$D:$D,B74)&gt;0),"⚠ Titulaire+entrée ?",IF(ABS(L74-M74)&gt;1,"⚠ vérifier","")))</f>
        <v/>
      </c>
      <c r="G74" s="11" t="str">
        <f>IF(B74="","",IFERROR(INDEX('Effectif Saison'!$D$4:$D$51,MATCH(B74,'Effectif Saison'!$E$4:$E$51,0)),""))</f>
        <v/>
      </c>
      <c r="H74" s="19" t="str">
        <f>IF(L74=0,"",IF(E74="Oui",0,IFERROR(_xlfn.MINIFS(Changements!$B:$B,Changements!$A:$A,A74,Changements!$D:$D,B74),"")))</f>
        <v/>
      </c>
      <c r="I74" s="19" t="str">
        <f>IF(M74=0,"",IFERROR(_xlfn.MAXIFS(Changements!$B:$B,Changements!$A:$A,A74,Changements!$C:$C,B74),""))</f>
        <v/>
      </c>
      <c r="J74" s="11" t="str">
        <f t="shared" si="6"/>
        <v/>
      </c>
      <c r="K74" s="17">
        <f t="shared" si="7"/>
        <v>0</v>
      </c>
      <c r="L74" s="17">
        <f>IF(B74="",0,COUNTIFS(Changements!$A:$A,A74,Changements!$D:$D,B74)+IF(E74="Oui",1,0))</f>
        <v>0</v>
      </c>
      <c r="M74" s="17">
        <f>IF(B74="",0,COUNTIFS(Changements!$A:$A,A74,Changements!$C:$C,B74))</f>
        <v>0</v>
      </c>
      <c r="N74" s="17">
        <f>IF(B74="",0,SUMIFS(Changements!$B:$B,Changements!$A:$A,A74,Changements!$D:$D,B74))</f>
        <v>0</v>
      </c>
      <c r="O74" s="17">
        <f>IF(B74="",0,SUMIFS(Changements!$B:$B,Changements!$A:$A,A74,Changements!$C:$C,B74)+IF(L74&gt;M74,IFERROR(INDEX(Matchs!$F$4:$F$31,MATCH(A74,Matchs!$A$4:$A$31,0)),0),0))</f>
        <v>0</v>
      </c>
      <c r="P74" s="17">
        <f t="shared" si="8"/>
        <v>0</v>
      </c>
      <c r="Q74" s="17">
        <f t="shared" si="9"/>
        <v>0</v>
      </c>
    </row>
    <row r="75" spans="1:17" ht="15" customHeight="1" x14ac:dyDescent="0.25">
      <c r="A75" s="11">
        <f t="shared" si="5"/>
        <v>3</v>
      </c>
      <c r="B75" s="10"/>
      <c r="C75" s="10"/>
      <c r="D75" s="10"/>
      <c r="E75" s="10"/>
      <c r="F75" s="19" t="str">
        <f>IF(B75="","",IF(AND(E75="Oui",COUNTIFS(Changements!$A:$A,A75,Changements!$D:$D,B75)&gt;0),"⚠ Titulaire+entrée ?",IF(ABS(L75-M75)&gt;1,"⚠ vérifier","")))</f>
        <v/>
      </c>
      <c r="G75" s="11" t="str">
        <f>IF(B75="","",IFERROR(INDEX('Effectif Saison'!$D$4:$D$51,MATCH(B75,'Effectif Saison'!$E$4:$E$51,0)),""))</f>
        <v/>
      </c>
      <c r="H75" s="19" t="str">
        <f>IF(L75=0,"",IF(E75="Oui",0,IFERROR(_xlfn.MINIFS(Changements!$B:$B,Changements!$A:$A,A75,Changements!$D:$D,B75),"")))</f>
        <v/>
      </c>
      <c r="I75" s="19" t="str">
        <f>IF(M75=0,"",IFERROR(_xlfn.MAXIFS(Changements!$B:$B,Changements!$A:$A,A75,Changements!$C:$C,B75),""))</f>
        <v/>
      </c>
      <c r="J75" s="11" t="str">
        <f t="shared" si="6"/>
        <v/>
      </c>
      <c r="K75" s="17">
        <f t="shared" si="7"/>
        <v>0</v>
      </c>
      <c r="L75" s="17">
        <f>IF(B75="",0,COUNTIFS(Changements!$A:$A,A75,Changements!$D:$D,B75)+IF(E75="Oui",1,0))</f>
        <v>0</v>
      </c>
      <c r="M75" s="17">
        <f>IF(B75="",0,COUNTIFS(Changements!$A:$A,A75,Changements!$C:$C,B75))</f>
        <v>0</v>
      </c>
      <c r="N75" s="17">
        <f>IF(B75="",0,SUMIFS(Changements!$B:$B,Changements!$A:$A,A75,Changements!$D:$D,B75))</f>
        <v>0</v>
      </c>
      <c r="O75" s="17">
        <f>IF(B75="",0,SUMIFS(Changements!$B:$B,Changements!$A:$A,A75,Changements!$C:$C,B75)+IF(L75&gt;M75,IFERROR(INDEX(Matchs!$F$4:$F$31,MATCH(A75,Matchs!$A$4:$A$31,0)),0),0))</f>
        <v>0</v>
      </c>
      <c r="P75" s="17">
        <f t="shared" si="8"/>
        <v>0</v>
      </c>
      <c r="Q75" s="17">
        <f t="shared" si="9"/>
        <v>0</v>
      </c>
    </row>
    <row r="76" spans="1:17" ht="15" customHeight="1" x14ac:dyDescent="0.25">
      <c r="A76" s="11">
        <f t="shared" si="5"/>
        <v>4</v>
      </c>
      <c r="B76" s="11" t="str">
        <f>INDEX('Effectif Saison'!$E$4:$E$22,1)</f>
        <v>Alan MICHON</v>
      </c>
      <c r="C76" s="10"/>
      <c r="D76" s="10"/>
      <c r="E76" s="10"/>
      <c r="F76" s="19" t="str">
        <f>IF(B76="","",IF(AND(E76="Oui",COUNTIFS(Changements!$A:$A,A76,Changements!$D:$D,B76)&gt;0),"⚠ Titulaire+entrée ?",IF(ABS(L76-M76)&gt;1,"⚠ vérifier","")))</f>
        <v/>
      </c>
      <c r="G76" s="11" t="str">
        <f>IF(B76="","",IFERROR(INDEX('Effectif Saison'!$D$4:$D$51,MATCH(B76,'Effectif Saison'!$E$4:$E$51,0)),""))</f>
        <v>Équipe 1</v>
      </c>
      <c r="H76" s="19" t="str">
        <f>IF(L76=0,"",IF(E76="Oui",0,IFERROR(_xlfn.MINIFS(Changements!$B:$B,Changements!$A:$A,A76,Changements!$D:$D,B76),"")))</f>
        <v/>
      </c>
      <c r="I76" s="19" t="str">
        <f>IF(M76=0,"",IFERROR(_xlfn.MAXIFS(Changements!$B:$B,Changements!$A:$A,A76,Changements!$C:$C,B76),""))</f>
        <v/>
      </c>
      <c r="J76" s="11" t="str">
        <f t="shared" si="6"/>
        <v/>
      </c>
      <c r="K76" s="17">
        <f t="shared" si="7"/>
        <v>0</v>
      </c>
      <c r="L76" s="17">
        <f>IF(B76="",0,COUNTIFS(Changements!$A:$A,A76,Changements!$D:$D,B76)+IF(E76="Oui",1,0))</f>
        <v>0</v>
      </c>
      <c r="M76" s="17">
        <f>IF(B76="",0,COUNTIFS(Changements!$A:$A,A76,Changements!$C:$C,B76))</f>
        <v>0</v>
      </c>
      <c r="N76" s="17">
        <f>IF(B76="",0,SUMIFS(Changements!$B:$B,Changements!$A:$A,A76,Changements!$D:$D,B76))</f>
        <v>0</v>
      </c>
      <c r="O76" s="17">
        <f>IF(B76="",0,SUMIFS(Changements!$B:$B,Changements!$A:$A,A76,Changements!$C:$C,B76)+IF(L76&gt;M76,IFERROR(INDEX(Matchs!$F$4:$F$31,MATCH(A76,Matchs!$A$4:$A$31,0)),0),0))</f>
        <v>0</v>
      </c>
      <c r="P76" s="17">
        <f t="shared" si="8"/>
        <v>0</v>
      </c>
      <c r="Q76" s="17">
        <f t="shared" si="9"/>
        <v>0</v>
      </c>
    </row>
    <row r="77" spans="1:17" ht="15" customHeight="1" x14ac:dyDescent="0.25">
      <c r="A77" s="11">
        <f t="shared" si="5"/>
        <v>4</v>
      </c>
      <c r="B77" s="11" t="str">
        <f>INDEX('Effectif Saison'!$E$4:$E$22,2)</f>
        <v>Jean BRUNTZ</v>
      </c>
      <c r="C77" s="10"/>
      <c r="D77" s="10"/>
      <c r="E77" s="10"/>
      <c r="F77" s="19" t="str">
        <f>IF(B77="","",IF(AND(E77="Oui",COUNTIFS(Changements!$A:$A,A77,Changements!$D:$D,B77)&gt;0),"⚠ Titulaire+entrée ?",IF(ABS(L77-M77)&gt;1,"⚠ vérifier","")))</f>
        <v/>
      </c>
      <c r="G77" s="11" t="str">
        <f>IF(B77="","",IFERROR(INDEX('Effectif Saison'!$D$4:$D$51,MATCH(B77,'Effectif Saison'!$E$4:$E$51,0)),""))</f>
        <v>Équipe 1</v>
      </c>
      <c r="H77" s="19" t="str">
        <f>IF(L77=0,"",IF(E77="Oui",0,IFERROR(_xlfn.MINIFS(Changements!$B:$B,Changements!$A:$A,A77,Changements!$D:$D,B77),"")))</f>
        <v/>
      </c>
      <c r="I77" s="19" t="str">
        <f>IF(M77=0,"",IFERROR(_xlfn.MAXIFS(Changements!$B:$B,Changements!$A:$A,A77,Changements!$C:$C,B77),""))</f>
        <v/>
      </c>
      <c r="J77" s="11" t="str">
        <f t="shared" si="6"/>
        <v/>
      </c>
      <c r="K77" s="17">
        <f t="shared" si="7"/>
        <v>0</v>
      </c>
      <c r="L77" s="17">
        <f>IF(B77="",0,COUNTIFS(Changements!$A:$A,A77,Changements!$D:$D,B77)+IF(E77="Oui",1,0))</f>
        <v>0</v>
      </c>
      <c r="M77" s="17">
        <f>IF(B77="",0,COUNTIFS(Changements!$A:$A,A77,Changements!$C:$C,B77))</f>
        <v>0</v>
      </c>
      <c r="N77" s="17">
        <f>IF(B77="",0,SUMIFS(Changements!$B:$B,Changements!$A:$A,A77,Changements!$D:$D,B77))</f>
        <v>0</v>
      </c>
      <c r="O77" s="17">
        <f>IF(B77="",0,SUMIFS(Changements!$B:$B,Changements!$A:$A,A77,Changements!$C:$C,B77)+IF(L77&gt;M77,IFERROR(INDEX(Matchs!$F$4:$F$31,MATCH(A77,Matchs!$A$4:$A$31,0)),0),0))</f>
        <v>0</v>
      </c>
      <c r="P77" s="17">
        <f t="shared" si="8"/>
        <v>0</v>
      </c>
      <c r="Q77" s="17">
        <f t="shared" si="9"/>
        <v>0</v>
      </c>
    </row>
    <row r="78" spans="1:17" ht="15" customHeight="1" x14ac:dyDescent="0.25">
      <c r="A78" s="11">
        <f t="shared" si="5"/>
        <v>4</v>
      </c>
      <c r="B78" s="11" t="str">
        <f>INDEX('Effectif Saison'!$E$4:$E$22,3)</f>
        <v>Marouane SBK</v>
      </c>
      <c r="C78" s="10"/>
      <c r="D78" s="10"/>
      <c r="E78" s="10"/>
      <c r="F78" s="19" t="str">
        <f>IF(B78="","",IF(AND(E78="Oui",COUNTIFS(Changements!$A:$A,A78,Changements!$D:$D,B78)&gt;0),"⚠ Titulaire+entrée ?",IF(ABS(L78-M78)&gt;1,"⚠ vérifier","")))</f>
        <v/>
      </c>
      <c r="G78" s="11" t="str">
        <f>IF(B78="","",IFERROR(INDEX('Effectif Saison'!$D$4:$D$51,MATCH(B78,'Effectif Saison'!$E$4:$E$51,0)),""))</f>
        <v>Équipe 1</v>
      </c>
      <c r="H78" s="19" t="str">
        <f>IF(L78=0,"",IF(E78="Oui",0,IFERROR(_xlfn.MINIFS(Changements!$B:$B,Changements!$A:$A,A78,Changements!$D:$D,B78),"")))</f>
        <v/>
      </c>
      <c r="I78" s="19" t="str">
        <f>IF(M78=0,"",IFERROR(_xlfn.MAXIFS(Changements!$B:$B,Changements!$A:$A,A78,Changements!$C:$C,B78),""))</f>
        <v/>
      </c>
      <c r="J78" s="11" t="str">
        <f t="shared" si="6"/>
        <v/>
      </c>
      <c r="K78" s="17">
        <f t="shared" si="7"/>
        <v>0</v>
      </c>
      <c r="L78" s="17">
        <f>IF(B78="",0,COUNTIFS(Changements!$A:$A,A78,Changements!$D:$D,B78)+IF(E78="Oui",1,0))</f>
        <v>0</v>
      </c>
      <c r="M78" s="17">
        <f>IF(B78="",0,COUNTIFS(Changements!$A:$A,A78,Changements!$C:$C,B78))</f>
        <v>0</v>
      </c>
      <c r="N78" s="17">
        <f>IF(B78="",0,SUMIFS(Changements!$B:$B,Changements!$A:$A,A78,Changements!$D:$D,B78))</f>
        <v>0</v>
      </c>
      <c r="O78" s="17">
        <f>IF(B78="",0,SUMIFS(Changements!$B:$B,Changements!$A:$A,A78,Changements!$C:$C,B78)+IF(L78&gt;M78,IFERROR(INDEX(Matchs!$F$4:$F$31,MATCH(A78,Matchs!$A$4:$A$31,0)),0),0))</f>
        <v>0</v>
      </c>
      <c r="P78" s="17">
        <f t="shared" si="8"/>
        <v>0</v>
      </c>
      <c r="Q78" s="17">
        <f t="shared" si="9"/>
        <v>0</v>
      </c>
    </row>
    <row r="79" spans="1:17" ht="15" customHeight="1" x14ac:dyDescent="0.25">
      <c r="A79" s="11">
        <f t="shared" si="5"/>
        <v>4</v>
      </c>
      <c r="B79" s="11" t="str">
        <f>INDEX('Effectif Saison'!$E$4:$E$22,4)</f>
        <v>Noé BIHL</v>
      </c>
      <c r="C79" s="10"/>
      <c r="D79" s="10"/>
      <c r="E79" s="10"/>
      <c r="F79" s="19" t="str">
        <f>IF(B79="","",IF(AND(E79="Oui",COUNTIFS(Changements!$A:$A,A79,Changements!$D:$D,B79)&gt;0),"⚠ Titulaire+entrée ?",IF(ABS(L79-M79)&gt;1,"⚠ vérifier","")))</f>
        <v/>
      </c>
      <c r="G79" s="11" t="str">
        <f>IF(B79="","",IFERROR(INDEX('Effectif Saison'!$D$4:$D$51,MATCH(B79,'Effectif Saison'!$E$4:$E$51,0)),""))</f>
        <v>Équipe 1</v>
      </c>
      <c r="H79" s="19" t="str">
        <f>IF(L79=0,"",IF(E79="Oui",0,IFERROR(_xlfn.MINIFS(Changements!$B:$B,Changements!$A:$A,A79,Changements!$D:$D,B79),"")))</f>
        <v/>
      </c>
      <c r="I79" s="19" t="str">
        <f>IF(M79=0,"",IFERROR(_xlfn.MAXIFS(Changements!$B:$B,Changements!$A:$A,A79,Changements!$C:$C,B79),""))</f>
        <v/>
      </c>
      <c r="J79" s="11" t="str">
        <f t="shared" si="6"/>
        <v/>
      </c>
      <c r="K79" s="17">
        <f t="shared" si="7"/>
        <v>0</v>
      </c>
      <c r="L79" s="17">
        <f>IF(B79="",0,COUNTIFS(Changements!$A:$A,A79,Changements!$D:$D,B79)+IF(E79="Oui",1,0))</f>
        <v>0</v>
      </c>
      <c r="M79" s="17">
        <f>IF(B79="",0,COUNTIFS(Changements!$A:$A,A79,Changements!$C:$C,B79))</f>
        <v>0</v>
      </c>
      <c r="N79" s="17">
        <f>IF(B79="",0,SUMIFS(Changements!$B:$B,Changements!$A:$A,A79,Changements!$D:$D,B79))</f>
        <v>0</v>
      </c>
      <c r="O79" s="17">
        <f>IF(B79="",0,SUMIFS(Changements!$B:$B,Changements!$A:$A,A79,Changements!$C:$C,B79)+IF(L79&gt;M79,IFERROR(INDEX(Matchs!$F$4:$F$31,MATCH(A79,Matchs!$A$4:$A$31,0)),0),0))</f>
        <v>0</v>
      </c>
      <c r="P79" s="17">
        <f t="shared" si="8"/>
        <v>0</v>
      </c>
      <c r="Q79" s="17">
        <f t="shared" si="9"/>
        <v>0</v>
      </c>
    </row>
    <row r="80" spans="1:17" ht="15" customHeight="1" x14ac:dyDescent="0.25">
      <c r="A80" s="11">
        <f t="shared" si="5"/>
        <v>4</v>
      </c>
      <c r="B80" s="11" t="str">
        <f>INDEX('Effectif Saison'!$E$4:$E$22,5)</f>
        <v>Luca COLAIANNI</v>
      </c>
      <c r="C80" s="10"/>
      <c r="D80" s="10"/>
      <c r="E80" s="10"/>
      <c r="F80" s="19" t="str">
        <f>IF(B80="","",IF(AND(E80="Oui",COUNTIFS(Changements!$A:$A,A80,Changements!$D:$D,B80)&gt;0),"⚠ Titulaire+entrée ?",IF(ABS(L80-M80)&gt;1,"⚠ vérifier","")))</f>
        <v/>
      </c>
      <c r="G80" s="11" t="str">
        <f>IF(B80="","",IFERROR(INDEX('Effectif Saison'!$D$4:$D$51,MATCH(B80,'Effectif Saison'!$E$4:$E$51,0)),""))</f>
        <v>Équipe 1</v>
      </c>
      <c r="H80" s="19" t="str">
        <f>IF(L80=0,"",IF(E80="Oui",0,IFERROR(_xlfn.MINIFS(Changements!$B:$B,Changements!$A:$A,A80,Changements!$D:$D,B80),"")))</f>
        <v/>
      </c>
      <c r="I80" s="19" t="str">
        <f>IF(M80=0,"",IFERROR(_xlfn.MAXIFS(Changements!$B:$B,Changements!$A:$A,A80,Changements!$C:$C,B80),""))</f>
        <v/>
      </c>
      <c r="J80" s="11" t="str">
        <f t="shared" si="6"/>
        <v/>
      </c>
      <c r="K80" s="17">
        <f t="shared" si="7"/>
        <v>0</v>
      </c>
      <c r="L80" s="17">
        <f>IF(B80="",0,COUNTIFS(Changements!$A:$A,A80,Changements!$D:$D,B80)+IF(E80="Oui",1,0))</f>
        <v>0</v>
      </c>
      <c r="M80" s="17">
        <f>IF(B80="",0,COUNTIFS(Changements!$A:$A,A80,Changements!$C:$C,B80))</f>
        <v>0</v>
      </c>
      <c r="N80" s="17">
        <f>IF(B80="",0,SUMIFS(Changements!$B:$B,Changements!$A:$A,A80,Changements!$D:$D,B80))</f>
        <v>0</v>
      </c>
      <c r="O80" s="17">
        <f>IF(B80="",0,SUMIFS(Changements!$B:$B,Changements!$A:$A,A80,Changements!$C:$C,B80)+IF(L80&gt;M80,IFERROR(INDEX(Matchs!$F$4:$F$31,MATCH(A80,Matchs!$A$4:$A$31,0)),0),0))</f>
        <v>0</v>
      </c>
      <c r="P80" s="17">
        <f t="shared" si="8"/>
        <v>0</v>
      </c>
      <c r="Q80" s="17">
        <f t="shared" si="9"/>
        <v>0</v>
      </c>
    </row>
    <row r="81" spans="1:17" ht="15" customHeight="1" x14ac:dyDescent="0.25">
      <c r="A81" s="11">
        <f t="shared" si="5"/>
        <v>4</v>
      </c>
      <c r="B81" s="11" t="str">
        <f>INDEX('Effectif Saison'!$E$4:$E$22,6)</f>
        <v>Atilla ER</v>
      </c>
      <c r="C81" s="10"/>
      <c r="D81" s="10"/>
      <c r="E81" s="10"/>
      <c r="F81" s="19" t="str">
        <f>IF(B81="","",IF(AND(E81="Oui",COUNTIFS(Changements!$A:$A,A81,Changements!$D:$D,B81)&gt;0),"⚠ Titulaire+entrée ?",IF(ABS(L81-M81)&gt;1,"⚠ vérifier","")))</f>
        <v/>
      </c>
      <c r="G81" s="11" t="str">
        <f>IF(B81="","",IFERROR(INDEX('Effectif Saison'!$D$4:$D$51,MATCH(B81,'Effectif Saison'!$E$4:$E$51,0)),""))</f>
        <v>Équipe 1</v>
      </c>
      <c r="H81" s="19" t="str">
        <f>IF(L81=0,"",IF(E81="Oui",0,IFERROR(_xlfn.MINIFS(Changements!$B:$B,Changements!$A:$A,A81,Changements!$D:$D,B81),"")))</f>
        <v/>
      </c>
      <c r="I81" s="19" t="str">
        <f>IF(M81=0,"",IFERROR(_xlfn.MAXIFS(Changements!$B:$B,Changements!$A:$A,A81,Changements!$C:$C,B81),""))</f>
        <v/>
      </c>
      <c r="J81" s="11" t="str">
        <f t="shared" si="6"/>
        <v/>
      </c>
      <c r="K81" s="17">
        <f t="shared" si="7"/>
        <v>0</v>
      </c>
      <c r="L81" s="17">
        <f>IF(B81="",0,COUNTIFS(Changements!$A:$A,A81,Changements!$D:$D,B81)+IF(E81="Oui",1,0))</f>
        <v>0</v>
      </c>
      <c r="M81" s="17">
        <f>IF(B81="",0,COUNTIFS(Changements!$A:$A,A81,Changements!$C:$C,B81))</f>
        <v>0</v>
      </c>
      <c r="N81" s="17">
        <f>IF(B81="",0,SUMIFS(Changements!$B:$B,Changements!$A:$A,A81,Changements!$D:$D,B81))</f>
        <v>0</v>
      </c>
      <c r="O81" s="17">
        <f>IF(B81="",0,SUMIFS(Changements!$B:$B,Changements!$A:$A,A81,Changements!$C:$C,B81)+IF(L81&gt;M81,IFERROR(INDEX(Matchs!$F$4:$F$31,MATCH(A81,Matchs!$A$4:$A$31,0)),0),0))</f>
        <v>0</v>
      </c>
      <c r="P81" s="17">
        <f t="shared" si="8"/>
        <v>0</v>
      </c>
      <c r="Q81" s="17">
        <f t="shared" si="9"/>
        <v>0</v>
      </c>
    </row>
    <row r="82" spans="1:17" ht="15" customHeight="1" x14ac:dyDescent="0.25">
      <c r="A82" s="11">
        <f t="shared" si="5"/>
        <v>4</v>
      </c>
      <c r="B82" s="11" t="str">
        <f>INDEX('Effectif Saison'!$E$4:$E$22,7)</f>
        <v>Lucas BUHR</v>
      </c>
      <c r="C82" s="10"/>
      <c r="D82" s="10"/>
      <c r="E82" s="10"/>
      <c r="F82" s="19" t="str">
        <f>IF(B82="","",IF(AND(E82="Oui",COUNTIFS(Changements!$A:$A,A82,Changements!$D:$D,B82)&gt;0),"⚠ Titulaire+entrée ?",IF(ABS(L82-M82)&gt;1,"⚠ vérifier","")))</f>
        <v/>
      </c>
      <c r="G82" s="11" t="str">
        <f>IF(B82="","",IFERROR(INDEX('Effectif Saison'!$D$4:$D$51,MATCH(B82,'Effectif Saison'!$E$4:$E$51,0)),""))</f>
        <v>Équipe 1</v>
      </c>
      <c r="H82" s="19" t="str">
        <f>IF(L82=0,"",IF(E82="Oui",0,IFERROR(_xlfn.MINIFS(Changements!$B:$B,Changements!$A:$A,A82,Changements!$D:$D,B82),"")))</f>
        <v/>
      </c>
      <c r="I82" s="19" t="str">
        <f>IF(M82=0,"",IFERROR(_xlfn.MAXIFS(Changements!$B:$B,Changements!$A:$A,A82,Changements!$C:$C,B82),""))</f>
        <v/>
      </c>
      <c r="J82" s="11" t="str">
        <f t="shared" si="6"/>
        <v/>
      </c>
      <c r="K82" s="17">
        <f t="shared" si="7"/>
        <v>0</v>
      </c>
      <c r="L82" s="17">
        <f>IF(B82="",0,COUNTIFS(Changements!$A:$A,A82,Changements!$D:$D,B82)+IF(E82="Oui",1,0))</f>
        <v>0</v>
      </c>
      <c r="M82" s="17">
        <f>IF(B82="",0,COUNTIFS(Changements!$A:$A,A82,Changements!$C:$C,B82))</f>
        <v>0</v>
      </c>
      <c r="N82" s="17">
        <f>IF(B82="",0,SUMIFS(Changements!$B:$B,Changements!$A:$A,A82,Changements!$D:$D,B82))</f>
        <v>0</v>
      </c>
      <c r="O82" s="17">
        <f>IF(B82="",0,SUMIFS(Changements!$B:$B,Changements!$A:$A,A82,Changements!$C:$C,B82)+IF(L82&gt;M82,IFERROR(INDEX(Matchs!$F$4:$F$31,MATCH(A82,Matchs!$A$4:$A$31,0)),0),0))</f>
        <v>0</v>
      </c>
      <c r="P82" s="17">
        <f t="shared" si="8"/>
        <v>0</v>
      </c>
      <c r="Q82" s="17">
        <f t="shared" si="9"/>
        <v>0</v>
      </c>
    </row>
    <row r="83" spans="1:17" ht="15" customHeight="1" x14ac:dyDescent="0.25">
      <c r="A83" s="11">
        <f t="shared" si="5"/>
        <v>4</v>
      </c>
      <c r="B83" s="11" t="str">
        <f>INDEX('Effectif Saison'!$E$4:$E$22,8)</f>
        <v>Yanis HOUX</v>
      </c>
      <c r="C83" s="10"/>
      <c r="D83" s="10"/>
      <c r="E83" s="10"/>
      <c r="F83" s="19" t="str">
        <f>IF(B83="","",IF(AND(E83="Oui",COUNTIFS(Changements!$A:$A,A83,Changements!$D:$D,B83)&gt;0),"⚠ Titulaire+entrée ?",IF(ABS(L83-M83)&gt;1,"⚠ vérifier","")))</f>
        <v/>
      </c>
      <c r="G83" s="11" t="str">
        <f>IF(B83="","",IFERROR(INDEX('Effectif Saison'!$D$4:$D$51,MATCH(B83,'Effectif Saison'!$E$4:$E$51,0)),""))</f>
        <v>Équipe 1</v>
      </c>
      <c r="H83" s="19" t="str">
        <f>IF(L83=0,"",IF(E83="Oui",0,IFERROR(_xlfn.MINIFS(Changements!$B:$B,Changements!$A:$A,A83,Changements!$D:$D,B83),"")))</f>
        <v/>
      </c>
      <c r="I83" s="19" t="str">
        <f>IF(M83=0,"",IFERROR(_xlfn.MAXIFS(Changements!$B:$B,Changements!$A:$A,A83,Changements!$C:$C,B83),""))</f>
        <v/>
      </c>
      <c r="J83" s="11" t="str">
        <f t="shared" si="6"/>
        <v/>
      </c>
      <c r="K83" s="17">
        <f t="shared" si="7"/>
        <v>0</v>
      </c>
      <c r="L83" s="17">
        <f>IF(B83="",0,COUNTIFS(Changements!$A:$A,A83,Changements!$D:$D,B83)+IF(E83="Oui",1,0))</f>
        <v>0</v>
      </c>
      <c r="M83" s="17">
        <f>IF(B83="",0,COUNTIFS(Changements!$A:$A,A83,Changements!$C:$C,B83))</f>
        <v>0</v>
      </c>
      <c r="N83" s="17">
        <f>IF(B83="",0,SUMIFS(Changements!$B:$B,Changements!$A:$A,A83,Changements!$D:$D,B83))</f>
        <v>0</v>
      </c>
      <c r="O83" s="17">
        <f>IF(B83="",0,SUMIFS(Changements!$B:$B,Changements!$A:$A,A83,Changements!$C:$C,B83)+IF(L83&gt;M83,IFERROR(INDEX(Matchs!$F$4:$F$31,MATCH(A83,Matchs!$A$4:$A$31,0)),0),0))</f>
        <v>0</v>
      </c>
      <c r="P83" s="17">
        <f t="shared" si="8"/>
        <v>0</v>
      </c>
      <c r="Q83" s="17">
        <f t="shared" si="9"/>
        <v>0</v>
      </c>
    </row>
    <row r="84" spans="1:17" ht="15" customHeight="1" x14ac:dyDescent="0.25">
      <c r="A84" s="11">
        <f t="shared" si="5"/>
        <v>4</v>
      </c>
      <c r="B84" s="11" t="str">
        <f>INDEX('Effectif Saison'!$E$4:$E$22,9)</f>
        <v>Tino COLAIANNI</v>
      </c>
      <c r="C84" s="10"/>
      <c r="D84" s="10"/>
      <c r="E84" s="10"/>
      <c r="F84" s="19" t="str">
        <f>IF(B84="","",IF(AND(E84="Oui",COUNTIFS(Changements!$A:$A,A84,Changements!$D:$D,B84)&gt;0),"⚠ Titulaire+entrée ?",IF(ABS(L84-M84)&gt;1,"⚠ vérifier","")))</f>
        <v/>
      </c>
      <c r="G84" s="11" t="str">
        <f>IF(B84="","",IFERROR(INDEX('Effectif Saison'!$D$4:$D$51,MATCH(B84,'Effectif Saison'!$E$4:$E$51,0)),""))</f>
        <v>Équipe 1</v>
      </c>
      <c r="H84" s="19" t="str">
        <f>IF(L84=0,"",IF(E84="Oui",0,IFERROR(_xlfn.MINIFS(Changements!$B:$B,Changements!$A:$A,A84,Changements!$D:$D,B84),"")))</f>
        <v/>
      </c>
      <c r="I84" s="19" t="str">
        <f>IF(M84=0,"",IFERROR(_xlfn.MAXIFS(Changements!$B:$B,Changements!$A:$A,A84,Changements!$C:$C,B84),""))</f>
        <v/>
      </c>
      <c r="J84" s="11" t="str">
        <f t="shared" si="6"/>
        <v/>
      </c>
      <c r="K84" s="17">
        <f t="shared" si="7"/>
        <v>0</v>
      </c>
      <c r="L84" s="17">
        <f>IF(B84="",0,COUNTIFS(Changements!$A:$A,A84,Changements!$D:$D,B84)+IF(E84="Oui",1,0))</f>
        <v>0</v>
      </c>
      <c r="M84" s="17">
        <f>IF(B84="",0,COUNTIFS(Changements!$A:$A,A84,Changements!$C:$C,B84))</f>
        <v>0</v>
      </c>
      <c r="N84" s="17">
        <f>IF(B84="",0,SUMIFS(Changements!$B:$B,Changements!$A:$A,A84,Changements!$D:$D,B84))</f>
        <v>0</v>
      </c>
      <c r="O84" s="17">
        <f>IF(B84="",0,SUMIFS(Changements!$B:$B,Changements!$A:$A,A84,Changements!$C:$C,B84)+IF(L84&gt;M84,IFERROR(INDEX(Matchs!$F$4:$F$31,MATCH(A84,Matchs!$A$4:$A$31,0)),0),0))</f>
        <v>0</v>
      </c>
      <c r="P84" s="17">
        <f t="shared" si="8"/>
        <v>0</v>
      </c>
      <c r="Q84" s="17">
        <f t="shared" si="9"/>
        <v>0</v>
      </c>
    </row>
    <row r="85" spans="1:17" ht="15" customHeight="1" x14ac:dyDescent="0.25">
      <c r="A85" s="11">
        <f t="shared" si="5"/>
        <v>4</v>
      </c>
      <c r="B85" s="11" t="str">
        <f>INDEX('Effectif Saison'!$E$4:$E$22,10)</f>
        <v>Achille KELLERKNECHT</v>
      </c>
      <c r="C85" s="10"/>
      <c r="D85" s="10"/>
      <c r="E85" s="10"/>
      <c r="F85" s="19" t="str">
        <f>IF(B85="","",IF(AND(E85="Oui",COUNTIFS(Changements!$A:$A,A85,Changements!$D:$D,B85)&gt;0),"⚠ Titulaire+entrée ?",IF(ABS(L85-M85)&gt;1,"⚠ vérifier","")))</f>
        <v/>
      </c>
      <c r="G85" s="11" t="str">
        <f>IF(B85="","",IFERROR(INDEX('Effectif Saison'!$D$4:$D$51,MATCH(B85,'Effectif Saison'!$E$4:$E$51,0)),""))</f>
        <v>Équipe 1</v>
      </c>
      <c r="H85" s="19" t="str">
        <f>IF(L85=0,"",IF(E85="Oui",0,IFERROR(_xlfn.MINIFS(Changements!$B:$B,Changements!$A:$A,A85,Changements!$D:$D,B85),"")))</f>
        <v/>
      </c>
      <c r="I85" s="19" t="str">
        <f>IF(M85=0,"",IFERROR(_xlfn.MAXIFS(Changements!$B:$B,Changements!$A:$A,A85,Changements!$C:$C,B85),""))</f>
        <v/>
      </c>
      <c r="J85" s="11" t="str">
        <f t="shared" si="6"/>
        <v/>
      </c>
      <c r="K85" s="17">
        <f t="shared" si="7"/>
        <v>0</v>
      </c>
      <c r="L85" s="17">
        <f>IF(B85="",0,COUNTIFS(Changements!$A:$A,A85,Changements!$D:$D,B85)+IF(E85="Oui",1,0))</f>
        <v>0</v>
      </c>
      <c r="M85" s="17">
        <f>IF(B85="",0,COUNTIFS(Changements!$A:$A,A85,Changements!$C:$C,B85))</f>
        <v>0</v>
      </c>
      <c r="N85" s="17">
        <f>IF(B85="",0,SUMIFS(Changements!$B:$B,Changements!$A:$A,A85,Changements!$D:$D,B85))</f>
        <v>0</v>
      </c>
      <c r="O85" s="17">
        <f>IF(B85="",0,SUMIFS(Changements!$B:$B,Changements!$A:$A,A85,Changements!$C:$C,B85)+IF(L85&gt;M85,IFERROR(INDEX(Matchs!$F$4:$F$31,MATCH(A85,Matchs!$A$4:$A$31,0)),0),0))</f>
        <v>0</v>
      </c>
      <c r="P85" s="17">
        <f t="shared" si="8"/>
        <v>0</v>
      </c>
      <c r="Q85" s="17">
        <f t="shared" si="9"/>
        <v>0</v>
      </c>
    </row>
    <row r="86" spans="1:17" ht="15" customHeight="1" x14ac:dyDescent="0.25">
      <c r="A86" s="11">
        <f t="shared" si="5"/>
        <v>4</v>
      </c>
      <c r="B86" s="11" t="str">
        <f>INDEX('Effectif Saison'!$E$4:$E$22,11)</f>
        <v>Charly LEPERT</v>
      </c>
      <c r="C86" s="10"/>
      <c r="D86" s="10"/>
      <c r="E86" s="10"/>
      <c r="F86" s="19" t="str">
        <f>IF(B86="","",IF(AND(E86="Oui",COUNTIFS(Changements!$A:$A,A86,Changements!$D:$D,B86)&gt;0),"⚠ Titulaire+entrée ?",IF(ABS(L86-M86)&gt;1,"⚠ vérifier","")))</f>
        <v/>
      </c>
      <c r="G86" s="11" t="str">
        <f>IF(B86="","",IFERROR(INDEX('Effectif Saison'!$D$4:$D$51,MATCH(B86,'Effectif Saison'!$E$4:$E$51,0)),""))</f>
        <v>Équipe 1</v>
      </c>
      <c r="H86" s="19" t="str">
        <f>IF(L86=0,"",IF(E86="Oui",0,IFERROR(_xlfn.MINIFS(Changements!$B:$B,Changements!$A:$A,A86,Changements!$D:$D,B86),"")))</f>
        <v/>
      </c>
      <c r="I86" s="19" t="str">
        <f>IF(M86=0,"",IFERROR(_xlfn.MAXIFS(Changements!$B:$B,Changements!$A:$A,A86,Changements!$C:$C,B86),""))</f>
        <v/>
      </c>
      <c r="J86" s="11" t="str">
        <f t="shared" si="6"/>
        <v/>
      </c>
      <c r="K86" s="17">
        <f t="shared" si="7"/>
        <v>0</v>
      </c>
      <c r="L86" s="17">
        <f>IF(B86="",0,COUNTIFS(Changements!$A:$A,A86,Changements!$D:$D,B86)+IF(E86="Oui",1,0))</f>
        <v>0</v>
      </c>
      <c r="M86" s="17">
        <f>IF(B86="",0,COUNTIFS(Changements!$A:$A,A86,Changements!$C:$C,B86))</f>
        <v>0</v>
      </c>
      <c r="N86" s="17">
        <f>IF(B86="",0,SUMIFS(Changements!$B:$B,Changements!$A:$A,A86,Changements!$D:$D,B86))</f>
        <v>0</v>
      </c>
      <c r="O86" s="17">
        <f>IF(B86="",0,SUMIFS(Changements!$B:$B,Changements!$A:$A,A86,Changements!$C:$C,B86)+IF(L86&gt;M86,IFERROR(INDEX(Matchs!$F$4:$F$31,MATCH(A86,Matchs!$A$4:$A$31,0)),0),0))</f>
        <v>0</v>
      </c>
      <c r="P86" s="17">
        <f t="shared" si="8"/>
        <v>0</v>
      </c>
      <c r="Q86" s="17">
        <f t="shared" si="9"/>
        <v>0</v>
      </c>
    </row>
    <row r="87" spans="1:17" ht="15" customHeight="1" x14ac:dyDescent="0.25">
      <c r="A87" s="11">
        <f t="shared" si="5"/>
        <v>4</v>
      </c>
      <c r="B87" s="11" t="str">
        <f>INDEX('Effectif Saison'!$E$4:$E$22,12)</f>
        <v>Basile STANGRET</v>
      </c>
      <c r="C87" s="10"/>
      <c r="D87" s="10"/>
      <c r="E87" s="10"/>
      <c r="F87" s="19" t="str">
        <f>IF(B87="","",IF(AND(E87="Oui",COUNTIFS(Changements!$A:$A,A87,Changements!$D:$D,B87)&gt;0),"⚠ Titulaire+entrée ?",IF(ABS(L87-M87)&gt;1,"⚠ vérifier","")))</f>
        <v/>
      </c>
      <c r="G87" s="11" t="str">
        <f>IF(B87="","",IFERROR(INDEX('Effectif Saison'!$D$4:$D$51,MATCH(B87,'Effectif Saison'!$E$4:$E$51,0)),""))</f>
        <v>Équipe 1</v>
      </c>
      <c r="H87" s="19" t="str">
        <f>IF(L87=0,"",IF(E87="Oui",0,IFERROR(_xlfn.MINIFS(Changements!$B:$B,Changements!$A:$A,A87,Changements!$D:$D,B87),"")))</f>
        <v/>
      </c>
      <c r="I87" s="19" t="str">
        <f>IF(M87=0,"",IFERROR(_xlfn.MAXIFS(Changements!$B:$B,Changements!$A:$A,A87,Changements!$C:$C,B87),""))</f>
        <v/>
      </c>
      <c r="J87" s="11" t="str">
        <f t="shared" si="6"/>
        <v/>
      </c>
      <c r="K87" s="17">
        <f t="shared" si="7"/>
        <v>0</v>
      </c>
      <c r="L87" s="17">
        <f>IF(B87="",0,COUNTIFS(Changements!$A:$A,A87,Changements!$D:$D,B87)+IF(E87="Oui",1,0))</f>
        <v>0</v>
      </c>
      <c r="M87" s="17">
        <f>IF(B87="",0,COUNTIFS(Changements!$A:$A,A87,Changements!$C:$C,B87))</f>
        <v>0</v>
      </c>
      <c r="N87" s="17">
        <f>IF(B87="",0,SUMIFS(Changements!$B:$B,Changements!$A:$A,A87,Changements!$D:$D,B87))</f>
        <v>0</v>
      </c>
      <c r="O87" s="17">
        <f>IF(B87="",0,SUMIFS(Changements!$B:$B,Changements!$A:$A,A87,Changements!$C:$C,B87)+IF(L87&gt;M87,IFERROR(INDEX(Matchs!$F$4:$F$31,MATCH(A87,Matchs!$A$4:$A$31,0)),0),0))</f>
        <v>0</v>
      </c>
      <c r="P87" s="17">
        <f t="shared" si="8"/>
        <v>0</v>
      </c>
      <c r="Q87" s="17">
        <f t="shared" si="9"/>
        <v>0</v>
      </c>
    </row>
    <row r="88" spans="1:17" ht="15" customHeight="1" x14ac:dyDescent="0.25">
      <c r="A88" s="11">
        <f t="shared" si="5"/>
        <v>4</v>
      </c>
      <c r="B88" s="11" t="str">
        <f>INDEX('Effectif Saison'!$E$4:$E$22,13)</f>
        <v>Maxence KELLER</v>
      </c>
      <c r="C88" s="10"/>
      <c r="D88" s="10"/>
      <c r="E88" s="10"/>
      <c r="F88" s="19" t="str">
        <f>IF(B88="","",IF(AND(E88="Oui",COUNTIFS(Changements!$A:$A,A88,Changements!$D:$D,B88)&gt;0),"⚠ Titulaire+entrée ?",IF(ABS(L88-M88)&gt;1,"⚠ vérifier","")))</f>
        <v/>
      </c>
      <c r="G88" s="11" t="str">
        <f>IF(B88="","",IFERROR(INDEX('Effectif Saison'!$D$4:$D$51,MATCH(B88,'Effectif Saison'!$E$4:$E$51,0)),""))</f>
        <v>Équipe 1</v>
      </c>
      <c r="H88" s="19" t="str">
        <f>IF(L88=0,"",IF(E88="Oui",0,IFERROR(_xlfn.MINIFS(Changements!$B:$B,Changements!$A:$A,A88,Changements!$D:$D,B88),"")))</f>
        <v/>
      </c>
      <c r="I88" s="19" t="str">
        <f>IF(M88=0,"",IFERROR(_xlfn.MAXIFS(Changements!$B:$B,Changements!$A:$A,A88,Changements!$C:$C,B88),""))</f>
        <v/>
      </c>
      <c r="J88" s="11" t="str">
        <f t="shared" si="6"/>
        <v/>
      </c>
      <c r="K88" s="17">
        <f t="shared" si="7"/>
        <v>0</v>
      </c>
      <c r="L88" s="17">
        <f>IF(B88="",0,COUNTIFS(Changements!$A:$A,A88,Changements!$D:$D,B88)+IF(E88="Oui",1,0))</f>
        <v>0</v>
      </c>
      <c r="M88" s="17">
        <f>IF(B88="",0,COUNTIFS(Changements!$A:$A,A88,Changements!$C:$C,B88))</f>
        <v>0</v>
      </c>
      <c r="N88" s="17">
        <f>IF(B88="",0,SUMIFS(Changements!$B:$B,Changements!$A:$A,A88,Changements!$D:$D,B88))</f>
        <v>0</v>
      </c>
      <c r="O88" s="17">
        <f>IF(B88="",0,SUMIFS(Changements!$B:$B,Changements!$A:$A,A88,Changements!$C:$C,B88)+IF(L88&gt;M88,IFERROR(INDEX(Matchs!$F$4:$F$31,MATCH(A88,Matchs!$A$4:$A$31,0)),0),0))</f>
        <v>0</v>
      </c>
      <c r="P88" s="17">
        <f t="shared" si="8"/>
        <v>0</v>
      </c>
      <c r="Q88" s="17">
        <f t="shared" si="9"/>
        <v>0</v>
      </c>
    </row>
    <row r="89" spans="1:17" ht="15" customHeight="1" x14ac:dyDescent="0.25">
      <c r="A89" s="11">
        <f t="shared" si="5"/>
        <v>4</v>
      </c>
      <c r="B89" s="11" t="str">
        <f>INDEX('Effectif Saison'!$E$4:$E$22,14)</f>
        <v>Evan SCHMITT</v>
      </c>
      <c r="C89" s="10"/>
      <c r="D89" s="10"/>
      <c r="E89" s="10"/>
      <c r="F89" s="19" t="str">
        <f>IF(B89="","",IF(AND(E89="Oui",COUNTIFS(Changements!$A:$A,A89,Changements!$D:$D,B89)&gt;0),"⚠ Titulaire+entrée ?",IF(ABS(L89-M89)&gt;1,"⚠ vérifier","")))</f>
        <v/>
      </c>
      <c r="G89" s="11" t="str">
        <f>IF(B89="","",IFERROR(INDEX('Effectif Saison'!$D$4:$D$51,MATCH(B89,'Effectif Saison'!$E$4:$E$51,0)),""))</f>
        <v>Équipe 1</v>
      </c>
      <c r="H89" s="19" t="str">
        <f>IF(L89=0,"",IF(E89="Oui",0,IFERROR(_xlfn.MINIFS(Changements!$B:$B,Changements!$A:$A,A89,Changements!$D:$D,B89),"")))</f>
        <v/>
      </c>
      <c r="I89" s="19" t="str">
        <f>IF(M89=0,"",IFERROR(_xlfn.MAXIFS(Changements!$B:$B,Changements!$A:$A,A89,Changements!$C:$C,B89),""))</f>
        <v/>
      </c>
      <c r="J89" s="11" t="str">
        <f t="shared" si="6"/>
        <v/>
      </c>
      <c r="K89" s="17">
        <f t="shared" si="7"/>
        <v>0</v>
      </c>
      <c r="L89" s="17">
        <f>IF(B89="",0,COUNTIFS(Changements!$A:$A,A89,Changements!$D:$D,B89)+IF(E89="Oui",1,0))</f>
        <v>0</v>
      </c>
      <c r="M89" s="17">
        <f>IF(B89="",0,COUNTIFS(Changements!$A:$A,A89,Changements!$C:$C,B89))</f>
        <v>0</v>
      </c>
      <c r="N89" s="17">
        <f>IF(B89="",0,SUMIFS(Changements!$B:$B,Changements!$A:$A,A89,Changements!$D:$D,B89))</f>
        <v>0</v>
      </c>
      <c r="O89" s="17">
        <f>IF(B89="",0,SUMIFS(Changements!$B:$B,Changements!$A:$A,A89,Changements!$C:$C,B89)+IF(L89&gt;M89,IFERROR(INDEX(Matchs!$F$4:$F$31,MATCH(A89,Matchs!$A$4:$A$31,0)),0),0))</f>
        <v>0</v>
      </c>
      <c r="P89" s="17">
        <f t="shared" si="8"/>
        <v>0</v>
      </c>
      <c r="Q89" s="17">
        <f t="shared" si="9"/>
        <v>0</v>
      </c>
    </row>
    <row r="90" spans="1:17" ht="15" customHeight="1" x14ac:dyDescent="0.25">
      <c r="A90" s="11">
        <f t="shared" si="5"/>
        <v>4</v>
      </c>
      <c r="B90" s="11" t="str">
        <f>INDEX('Effectif Saison'!$E$4:$E$22,15)</f>
        <v>William SIMON</v>
      </c>
      <c r="C90" s="10"/>
      <c r="D90" s="10"/>
      <c r="E90" s="10"/>
      <c r="F90" s="19" t="str">
        <f>IF(B90="","",IF(AND(E90="Oui",COUNTIFS(Changements!$A:$A,A90,Changements!$D:$D,B90)&gt;0),"⚠ Titulaire+entrée ?",IF(ABS(L90-M90)&gt;1,"⚠ vérifier","")))</f>
        <v/>
      </c>
      <c r="G90" s="11" t="str">
        <f>IF(B90="","",IFERROR(INDEX('Effectif Saison'!$D$4:$D$51,MATCH(B90,'Effectif Saison'!$E$4:$E$51,0)),""))</f>
        <v>Équipe 1</v>
      </c>
      <c r="H90" s="19" t="str">
        <f>IF(L90=0,"",IF(E90="Oui",0,IFERROR(_xlfn.MINIFS(Changements!$B:$B,Changements!$A:$A,A90,Changements!$D:$D,B90),"")))</f>
        <v/>
      </c>
      <c r="I90" s="19" t="str">
        <f>IF(M90=0,"",IFERROR(_xlfn.MAXIFS(Changements!$B:$B,Changements!$A:$A,A90,Changements!$C:$C,B90),""))</f>
        <v/>
      </c>
      <c r="J90" s="11" t="str">
        <f t="shared" si="6"/>
        <v/>
      </c>
      <c r="K90" s="17">
        <f t="shared" si="7"/>
        <v>0</v>
      </c>
      <c r="L90" s="17">
        <f>IF(B90="",0,COUNTIFS(Changements!$A:$A,A90,Changements!$D:$D,B90)+IF(E90="Oui",1,0))</f>
        <v>0</v>
      </c>
      <c r="M90" s="17">
        <f>IF(B90="",0,COUNTIFS(Changements!$A:$A,A90,Changements!$C:$C,B90))</f>
        <v>0</v>
      </c>
      <c r="N90" s="17">
        <f>IF(B90="",0,SUMIFS(Changements!$B:$B,Changements!$A:$A,A90,Changements!$D:$D,B90))</f>
        <v>0</v>
      </c>
      <c r="O90" s="17">
        <f>IF(B90="",0,SUMIFS(Changements!$B:$B,Changements!$A:$A,A90,Changements!$C:$C,B90)+IF(L90&gt;M90,IFERROR(INDEX(Matchs!$F$4:$F$31,MATCH(A90,Matchs!$A$4:$A$31,0)),0),0))</f>
        <v>0</v>
      </c>
      <c r="P90" s="17">
        <f t="shared" si="8"/>
        <v>0</v>
      </c>
      <c r="Q90" s="17">
        <f t="shared" si="9"/>
        <v>0</v>
      </c>
    </row>
    <row r="91" spans="1:17" ht="15" customHeight="1" x14ac:dyDescent="0.25">
      <c r="A91" s="11">
        <f t="shared" si="5"/>
        <v>4</v>
      </c>
      <c r="B91" s="11" t="str">
        <f>INDEX('Effectif Saison'!$E$4:$E$22,16)</f>
        <v>Lenny LEPPER</v>
      </c>
      <c r="C91" s="10"/>
      <c r="D91" s="10"/>
      <c r="E91" s="10"/>
      <c r="F91" s="19" t="str">
        <f>IF(B91="","",IF(AND(E91="Oui",COUNTIFS(Changements!$A:$A,A91,Changements!$D:$D,B91)&gt;0),"⚠ Titulaire+entrée ?",IF(ABS(L91-M91)&gt;1,"⚠ vérifier","")))</f>
        <v/>
      </c>
      <c r="G91" s="11" t="str">
        <f>IF(B91="","",IFERROR(INDEX('Effectif Saison'!$D$4:$D$51,MATCH(B91,'Effectif Saison'!$E$4:$E$51,0)),""))</f>
        <v>Équipe 1</v>
      </c>
      <c r="H91" s="19" t="str">
        <f>IF(L91=0,"",IF(E91="Oui",0,IFERROR(_xlfn.MINIFS(Changements!$B:$B,Changements!$A:$A,A91,Changements!$D:$D,B91),"")))</f>
        <v/>
      </c>
      <c r="I91" s="19" t="str">
        <f>IF(M91=0,"",IFERROR(_xlfn.MAXIFS(Changements!$B:$B,Changements!$A:$A,A91,Changements!$C:$C,B91),""))</f>
        <v/>
      </c>
      <c r="J91" s="11" t="str">
        <f t="shared" si="6"/>
        <v/>
      </c>
      <c r="K91" s="17">
        <f t="shared" si="7"/>
        <v>0</v>
      </c>
      <c r="L91" s="17">
        <f>IF(B91="",0,COUNTIFS(Changements!$A:$A,A91,Changements!$D:$D,B91)+IF(E91="Oui",1,0))</f>
        <v>0</v>
      </c>
      <c r="M91" s="17">
        <f>IF(B91="",0,COUNTIFS(Changements!$A:$A,A91,Changements!$C:$C,B91))</f>
        <v>0</v>
      </c>
      <c r="N91" s="17">
        <f>IF(B91="",0,SUMIFS(Changements!$B:$B,Changements!$A:$A,A91,Changements!$D:$D,B91))</f>
        <v>0</v>
      </c>
      <c r="O91" s="17">
        <f>IF(B91="",0,SUMIFS(Changements!$B:$B,Changements!$A:$A,A91,Changements!$C:$C,B91)+IF(L91&gt;M91,IFERROR(INDEX(Matchs!$F$4:$F$31,MATCH(A91,Matchs!$A$4:$A$31,0)),0),0))</f>
        <v>0</v>
      </c>
      <c r="P91" s="17">
        <f t="shared" si="8"/>
        <v>0</v>
      </c>
      <c r="Q91" s="17">
        <f t="shared" si="9"/>
        <v>0</v>
      </c>
    </row>
    <row r="92" spans="1:17" ht="15" customHeight="1" x14ac:dyDescent="0.25">
      <c r="A92" s="11">
        <f t="shared" si="5"/>
        <v>4</v>
      </c>
      <c r="B92" s="11" t="str">
        <f>INDEX('Effectif Saison'!$E$4:$E$22,17)</f>
        <v>Malo KELLER</v>
      </c>
      <c r="C92" s="10"/>
      <c r="D92" s="10"/>
      <c r="E92" s="10"/>
      <c r="F92" s="19" t="str">
        <f>IF(B92="","",IF(AND(E92="Oui",COUNTIFS(Changements!$A:$A,A92,Changements!$D:$D,B92)&gt;0),"⚠ Titulaire+entrée ?",IF(ABS(L92-M92)&gt;1,"⚠ vérifier","")))</f>
        <v/>
      </c>
      <c r="G92" s="11" t="str">
        <f>IF(B92="","",IFERROR(INDEX('Effectif Saison'!$D$4:$D$51,MATCH(B92,'Effectif Saison'!$E$4:$E$51,0)),""))</f>
        <v>Équipe 1</v>
      </c>
      <c r="H92" s="19" t="str">
        <f>IF(L92=0,"",IF(E92="Oui",0,IFERROR(_xlfn.MINIFS(Changements!$B:$B,Changements!$A:$A,A92,Changements!$D:$D,B92),"")))</f>
        <v/>
      </c>
      <c r="I92" s="19" t="str">
        <f>IF(M92=0,"",IFERROR(_xlfn.MAXIFS(Changements!$B:$B,Changements!$A:$A,A92,Changements!$C:$C,B92),""))</f>
        <v/>
      </c>
      <c r="J92" s="11" t="str">
        <f t="shared" si="6"/>
        <v/>
      </c>
      <c r="K92" s="17">
        <f t="shared" si="7"/>
        <v>0</v>
      </c>
      <c r="L92" s="17">
        <f>IF(B92="",0,COUNTIFS(Changements!$A:$A,A92,Changements!$D:$D,B92)+IF(E92="Oui",1,0))</f>
        <v>0</v>
      </c>
      <c r="M92" s="17">
        <f>IF(B92="",0,COUNTIFS(Changements!$A:$A,A92,Changements!$C:$C,B92))</f>
        <v>0</v>
      </c>
      <c r="N92" s="17">
        <f>IF(B92="",0,SUMIFS(Changements!$B:$B,Changements!$A:$A,A92,Changements!$D:$D,B92))</f>
        <v>0</v>
      </c>
      <c r="O92" s="17">
        <f>IF(B92="",0,SUMIFS(Changements!$B:$B,Changements!$A:$A,A92,Changements!$C:$C,B92)+IF(L92&gt;M92,IFERROR(INDEX(Matchs!$F$4:$F$31,MATCH(A92,Matchs!$A$4:$A$31,0)),0),0))</f>
        <v>0</v>
      </c>
      <c r="P92" s="17">
        <f t="shared" si="8"/>
        <v>0</v>
      </c>
      <c r="Q92" s="17">
        <f t="shared" si="9"/>
        <v>0</v>
      </c>
    </row>
    <row r="93" spans="1:17" ht="15" customHeight="1" x14ac:dyDescent="0.25">
      <c r="A93" s="11">
        <f t="shared" si="5"/>
        <v>4</v>
      </c>
      <c r="B93" s="11" t="str">
        <f>INDEX('Effectif Saison'!$E$4:$E$22,18)</f>
        <v>Tom SCHILLER</v>
      </c>
      <c r="C93" s="10"/>
      <c r="D93" s="10"/>
      <c r="E93" s="10"/>
      <c r="F93" s="19" t="str">
        <f>IF(B93="","",IF(AND(E93="Oui",COUNTIFS(Changements!$A:$A,A93,Changements!$D:$D,B93)&gt;0),"⚠ Titulaire+entrée ?",IF(ABS(L93-M93)&gt;1,"⚠ vérifier","")))</f>
        <v/>
      </c>
      <c r="G93" s="11" t="str">
        <f>IF(B93="","",IFERROR(INDEX('Effectif Saison'!$D$4:$D$51,MATCH(B93,'Effectif Saison'!$E$4:$E$51,0)),""))</f>
        <v>Équipe 1</v>
      </c>
      <c r="H93" s="19" t="str">
        <f>IF(L93=0,"",IF(E93="Oui",0,IFERROR(_xlfn.MINIFS(Changements!$B:$B,Changements!$A:$A,A93,Changements!$D:$D,B93),"")))</f>
        <v/>
      </c>
      <c r="I93" s="19" t="str">
        <f>IF(M93=0,"",IFERROR(_xlfn.MAXIFS(Changements!$B:$B,Changements!$A:$A,A93,Changements!$C:$C,B93),""))</f>
        <v/>
      </c>
      <c r="J93" s="11" t="str">
        <f t="shared" si="6"/>
        <v/>
      </c>
      <c r="K93" s="17">
        <f t="shared" si="7"/>
        <v>0</v>
      </c>
      <c r="L93" s="17">
        <f>IF(B93="",0,COUNTIFS(Changements!$A:$A,A93,Changements!$D:$D,B93)+IF(E93="Oui",1,0))</f>
        <v>0</v>
      </c>
      <c r="M93" s="17">
        <f>IF(B93="",0,COUNTIFS(Changements!$A:$A,A93,Changements!$C:$C,B93))</f>
        <v>0</v>
      </c>
      <c r="N93" s="17">
        <f>IF(B93="",0,SUMIFS(Changements!$B:$B,Changements!$A:$A,A93,Changements!$D:$D,B93))</f>
        <v>0</v>
      </c>
      <c r="O93" s="17">
        <f>IF(B93="",0,SUMIFS(Changements!$B:$B,Changements!$A:$A,A93,Changements!$C:$C,B93)+IF(L93&gt;M93,IFERROR(INDEX(Matchs!$F$4:$F$31,MATCH(A93,Matchs!$A$4:$A$31,0)),0),0))</f>
        <v>0</v>
      </c>
      <c r="P93" s="17">
        <f t="shared" si="8"/>
        <v>0</v>
      </c>
      <c r="Q93" s="17">
        <f t="shared" si="9"/>
        <v>0</v>
      </c>
    </row>
    <row r="94" spans="1:17" ht="15" customHeight="1" x14ac:dyDescent="0.25">
      <c r="A94" s="11">
        <f t="shared" si="5"/>
        <v>4</v>
      </c>
      <c r="B94" s="11" t="str">
        <f>INDEX('Effectif Saison'!$E$4:$E$22,19)</f>
        <v>Eliot LEIBY</v>
      </c>
      <c r="C94" s="10"/>
      <c r="D94" s="10"/>
      <c r="E94" s="10"/>
      <c r="F94" s="19" t="str">
        <f>IF(B94="","",IF(AND(E94="Oui",COUNTIFS(Changements!$A:$A,A94,Changements!$D:$D,B94)&gt;0),"⚠ Titulaire+entrée ?",IF(ABS(L94-M94)&gt;1,"⚠ vérifier","")))</f>
        <v/>
      </c>
      <c r="G94" s="11" t="str">
        <f>IF(B94="","",IFERROR(INDEX('Effectif Saison'!$D$4:$D$51,MATCH(B94,'Effectif Saison'!$E$4:$E$51,0)),""))</f>
        <v>Équipe 1</v>
      </c>
      <c r="H94" s="19" t="str">
        <f>IF(L94=0,"",IF(E94="Oui",0,IFERROR(_xlfn.MINIFS(Changements!$B:$B,Changements!$A:$A,A94,Changements!$D:$D,B94),"")))</f>
        <v/>
      </c>
      <c r="I94" s="19" t="str">
        <f>IF(M94=0,"",IFERROR(_xlfn.MAXIFS(Changements!$B:$B,Changements!$A:$A,A94,Changements!$C:$C,B94),""))</f>
        <v/>
      </c>
      <c r="J94" s="11" t="str">
        <f t="shared" si="6"/>
        <v/>
      </c>
      <c r="K94" s="17">
        <f t="shared" si="7"/>
        <v>0</v>
      </c>
      <c r="L94" s="17">
        <f>IF(B94="",0,COUNTIFS(Changements!$A:$A,A94,Changements!$D:$D,B94)+IF(E94="Oui",1,0))</f>
        <v>0</v>
      </c>
      <c r="M94" s="17">
        <f>IF(B94="",0,COUNTIFS(Changements!$A:$A,A94,Changements!$C:$C,B94))</f>
        <v>0</v>
      </c>
      <c r="N94" s="17">
        <f>IF(B94="",0,SUMIFS(Changements!$B:$B,Changements!$A:$A,A94,Changements!$D:$D,B94))</f>
        <v>0</v>
      </c>
      <c r="O94" s="17">
        <f>IF(B94="",0,SUMIFS(Changements!$B:$B,Changements!$A:$A,A94,Changements!$C:$C,B94)+IF(L94&gt;M94,IFERROR(INDEX(Matchs!$F$4:$F$31,MATCH(A94,Matchs!$A$4:$A$31,0)),0),0))</f>
        <v>0</v>
      </c>
      <c r="P94" s="17">
        <f t="shared" si="8"/>
        <v>0</v>
      </c>
      <c r="Q94" s="17">
        <f t="shared" si="9"/>
        <v>0</v>
      </c>
    </row>
    <row r="95" spans="1:17" ht="15" customHeight="1" x14ac:dyDescent="0.25">
      <c r="A95" s="11">
        <f t="shared" si="5"/>
        <v>4</v>
      </c>
      <c r="B95" s="10"/>
      <c r="C95" s="10"/>
      <c r="D95" s="10"/>
      <c r="E95" s="10"/>
      <c r="F95" s="19" t="str">
        <f>IF(B95="","",IF(AND(E95="Oui",COUNTIFS(Changements!$A:$A,A95,Changements!$D:$D,B95)&gt;0),"⚠ Titulaire+entrée ?",IF(ABS(L95-M95)&gt;1,"⚠ vérifier","")))</f>
        <v/>
      </c>
      <c r="G95" s="11" t="str">
        <f>IF(B95="","",IFERROR(INDEX('Effectif Saison'!$D$4:$D$51,MATCH(B95,'Effectif Saison'!$E$4:$E$51,0)),""))</f>
        <v/>
      </c>
      <c r="H95" s="19" t="str">
        <f>IF(L95=0,"",IF(E95="Oui",0,IFERROR(_xlfn.MINIFS(Changements!$B:$B,Changements!$A:$A,A95,Changements!$D:$D,B95),"")))</f>
        <v/>
      </c>
      <c r="I95" s="19" t="str">
        <f>IF(M95=0,"",IFERROR(_xlfn.MAXIFS(Changements!$B:$B,Changements!$A:$A,A95,Changements!$C:$C,B95),""))</f>
        <v/>
      </c>
      <c r="J95" s="11" t="str">
        <f t="shared" si="6"/>
        <v/>
      </c>
      <c r="K95" s="17">
        <f t="shared" si="7"/>
        <v>0</v>
      </c>
      <c r="L95" s="17">
        <f>IF(B95="",0,COUNTIFS(Changements!$A:$A,A95,Changements!$D:$D,B95)+IF(E95="Oui",1,0))</f>
        <v>0</v>
      </c>
      <c r="M95" s="17">
        <f>IF(B95="",0,COUNTIFS(Changements!$A:$A,A95,Changements!$C:$C,B95))</f>
        <v>0</v>
      </c>
      <c r="N95" s="17">
        <f>IF(B95="",0,SUMIFS(Changements!$B:$B,Changements!$A:$A,A95,Changements!$D:$D,B95))</f>
        <v>0</v>
      </c>
      <c r="O95" s="17">
        <f>IF(B95="",0,SUMIFS(Changements!$B:$B,Changements!$A:$A,A95,Changements!$C:$C,B95)+IF(L95&gt;M95,IFERROR(INDEX(Matchs!$F$4:$F$31,MATCH(A95,Matchs!$A$4:$A$31,0)),0),0))</f>
        <v>0</v>
      </c>
      <c r="P95" s="17">
        <f t="shared" si="8"/>
        <v>0</v>
      </c>
      <c r="Q95" s="17">
        <f t="shared" si="9"/>
        <v>0</v>
      </c>
    </row>
    <row r="96" spans="1:17" ht="15" customHeight="1" x14ac:dyDescent="0.25">
      <c r="A96" s="11">
        <f t="shared" si="5"/>
        <v>4</v>
      </c>
      <c r="B96" s="10"/>
      <c r="C96" s="10"/>
      <c r="D96" s="10"/>
      <c r="E96" s="10"/>
      <c r="F96" s="19" t="str">
        <f>IF(B96="","",IF(AND(E96="Oui",COUNTIFS(Changements!$A:$A,A96,Changements!$D:$D,B96)&gt;0),"⚠ Titulaire+entrée ?",IF(ABS(L96-M96)&gt;1,"⚠ vérifier","")))</f>
        <v/>
      </c>
      <c r="G96" s="11" t="str">
        <f>IF(B96="","",IFERROR(INDEX('Effectif Saison'!$D$4:$D$51,MATCH(B96,'Effectif Saison'!$E$4:$E$51,0)),""))</f>
        <v/>
      </c>
      <c r="H96" s="19" t="str">
        <f>IF(L96=0,"",IF(E96="Oui",0,IFERROR(_xlfn.MINIFS(Changements!$B:$B,Changements!$A:$A,A96,Changements!$D:$D,B96),"")))</f>
        <v/>
      </c>
      <c r="I96" s="19" t="str">
        <f>IF(M96=0,"",IFERROR(_xlfn.MAXIFS(Changements!$B:$B,Changements!$A:$A,A96,Changements!$C:$C,B96),""))</f>
        <v/>
      </c>
      <c r="J96" s="11" t="str">
        <f t="shared" si="6"/>
        <v/>
      </c>
      <c r="K96" s="17">
        <f t="shared" si="7"/>
        <v>0</v>
      </c>
      <c r="L96" s="17">
        <f>IF(B96="",0,COUNTIFS(Changements!$A:$A,A96,Changements!$D:$D,B96)+IF(E96="Oui",1,0))</f>
        <v>0</v>
      </c>
      <c r="M96" s="17">
        <f>IF(B96="",0,COUNTIFS(Changements!$A:$A,A96,Changements!$C:$C,B96))</f>
        <v>0</v>
      </c>
      <c r="N96" s="17">
        <f>IF(B96="",0,SUMIFS(Changements!$B:$B,Changements!$A:$A,A96,Changements!$D:$D,B96))</f>
        <v>0</v>
      </c>
      <c r="O96" s="17">
        <f>IF(B96="",0,SUMIFS(Changements!$B:$B,Changements!$A:$A,A96,Changements!$C:$C,B96)+IF(L96&gt;M96,IFERROR(INDEX(Matchs!$F$4:$F$31,MATCH(A96,Matchs!$A$4:$A$31,0)),0),0))</f>
        <v>0</v>
      </c>
      <c r="P96" s="17">
        <f t="shared" si="8"/>
        <v>0</v>
      </c>
      <c r="Q96" s="17">
        <f t="shared" si="9"/>
        <v>0</v>
      </c>
    </row>
    <row r="97" spans="1:17" ht="15" customHeight="1" x14ac:dyDescent="0.25">
      <c r="A97" s="11">
        <f t="shared" si="5"/>
        <v>4</v>
      </c>
      <c r="B97" s="10"/>
      <c r="C97" s="10"/>
      <c r="D97" s="10"/>
      <c r="E97" s="10"/>
      <c r="F97" s="19" t="str">
        <f>IF(B97="","",IF(AND(E97="Oui",COUNTIFS(Changements!$A:$A,A97,Changements!$D:$D,B97)&gt;0),"⚠ Titulaire+entrée ?",IF(ABS(L97-M97)&gt;1,"⚠ vérifier","")))</f>
        <v/>
      </c>
      <c r="G97" s="11" t="str">
        <f>IF(B97="","",IFERROR(INDEX('Effectif Saison'!$D$4:$D$51,MATCH(B97,'Effectif Saison'!$E$4:$E$51,0)),""))</f>
        <v/>
      </c>
      <c r="H97" s="19" t="str">
        <f>IF(L97=0,"",IF(E97="Oui",0,IFERROR(_xlfn.MINIFS(Changements!$B:$B,Changements!$A:$A,A97,Changements!$D:$D,B97),"")))</f>
        <v/>
      </c>
      <c r="I97" s="19" t="str">
        <f>IF(M97=0,"",IFERROR(_xlfn.MAXIFS(Changements!$B:$B,Changements!$A:$A,A97,Changements!$C:$C,B97),""))</f>
        <v/>
      </c>
      <c r="J97" s="11" t="str">
        <f t="shared" si="6"/>
        <v/>
      </c>
      <c r="K97" s="17">
        <f t="shared" si="7"/>
        <v>0</v>
      </c>
      <c r="L97" s="17">
        <f>IF(B97="",0,COUNTIFS(Changements!$A:$A,A97,Changements!$D:$D,B97)+IF(E97="Oui",1,0))</f>
        <v>0</v>
      </c>
      <c r="M97" s="17">
        <f>IF(B97="",0,COUNTIFS(Changements!$A:$A,A97,Changements!$C:$C,B97))</f>
        <v>0</v>
      </c>
      <c r="N97" s="17">
        <f>IF(B97="",0,SUMIFS(Changements!$B:$B,Changements!$A:$A,A97,Changements!$D:$D,B97))</f>
        <v>0</v>
      </c>
      <c r="O97" s="17">
        <f>IF(B97="",0,SUMIFS(Changements!$B:$B,Changements!$A:$A,A97,Changements!$C:$C,B97)+IF(L97&gt;M97,IFERROR(INDEX(Matchs!$F$4:$F$31,MATCH(A97,Matchs!$A$4:$A$31,0)),0),0))</f>
        <v>0</v>
      </c>
      <c r="P97" s="17">
        <f t="shared" si="8"/>
        <v>0</v>
      </c>
      <c r="Q97" s="17">
        <f t="shared" si="9"/>
        <v>0</v>
      </c>
    </row>
    <row r="98" spans="1:17" ht="15" customHeight="1" x14ac:dyDescent="0.25">
      <c r="A98" s="11">
        <f t="shared" si="5"/>
        <v>4</v>
      </c>
      <c r="B98" s="10"/>
      <c r="C98" s="10"/>
      <c r="D98" s="10"/>
      <c r="E98" s="10"/>
      <c r="F98" s="19" t="str">
        <f>IF(B98="","",IF(AND(E98="Oui",COUNTIFS(Changements!$A:$A,A98,Changements!$D:$D,B98)&gt;0),"⚠ Titulaire+entrée ?",IF(ABS(L98-M98)&gt;1,"⚠ vérifier","")))</f>
        <v/>
      </c>
      <c r="G98" s="11" t="str">
        <f>IF(B98="","",IFERROR(INDEX('Effectif Saison'!$D$4:$D$51,MATCH(B98,'Effectif Saison'!$E$4:$E$51,0)),""))</f>
        <v/>
      </c>
      <c r="H98" s="19" t="str">
        <f>IF(L98=0,"",IF(E98="Oui",0,IFERROR(_xlfn.MINIFS(Changements!$B:$B,Changements!$A:$A,A98,Changements!$D:$D,B98),"")))</f>
        <v/>
      </c>
      <c r="I98" s="19" t="str">
        <f>IF(M98=0,"",IFERROR(_xlfn.MAXIFS(Changements!$B:$B,Changements!$A:$A,A98,Changements!$C:$C,B98),""))</f>
        <v/>
      </c>
      <c r="J98" s="11" t="str">
        <f t="shared" si="6"/>
        <v/>
      </c>
      <c r="K98" s="17">
        <f t="shared" si="7"/>
        <v>0</v>
      </c>
      <c r="L98" s="17">
        <f>IF(B98="",0,COUNTIFS(Changements!$A:$A,A98,Changements!$D:$D,B98)+IF(E98="Oui",1,0))</f>
        <v>0</v>
      </c>
      <c r="M98" s="17">
        <f>IF(B98="",0,COUNTIFS(Changements!$A:$A,A98,Changements!$C:$C,B98))</f>
        <v>0</v>
      </c>
      <c r="N98" s="17">
        <f>IF(B98="",0,SUMIFS(Changements!$B:$B,Changements!$A:$A,A98,Changements!$D:$D,B98))</f>
        <v>0</v>
      </c>
      <c r="O98" s="17">
        <f>IF(B98="",0,SUMIFS(Changements!$B:$B,Changements!$A:$A,A98,Changements!$C:$C,B98)+IF(L98&gt;M98,IFERROR(INDEX(Matchs!$F$4:$F$31,MATCH(A98,Matchs!$A$4:$A$31,0)),0),0))</f>
        <v>0</v>
      </c>
      <c r="P98" s="17">
        <f t="shared" si="8"/>
        <v>0</v>
      </c>
      <c r="Q98" s="17">
        <f t="shared" si="9"/>
        <v>0</v>
      </c>
    </row>
    <row r="99" spans="1:17" ht="15" customHeight="1" x14ac:dyDescent="0.25">
      <c r="A99" s="11">
        <f t="shared" si="5"/>
        <v>4</v>
      </c>
      <c r="B99" s="10"/>
      <c r="C99" s="10"/>
      <c r="D99" s="10"/>
      <c r="E99" s="10"/>
      <c r="F99" s="19" t="str">
        <f>IF(B99="","",IF(AND(E99="Oui",COUNTIFS(Changements!$A:$A,A99,Changements!$D:$D,B99)&gt;0),"⚠ Titulaire+entrée ?",IF(ABS(L99-M99)&gt;1,"⚠ vérifier","")))</f>
        <v/>
      </c>
      <c r="G99" s="11" t="str">
        <f>IF(B99="","",IFERROR(INDEX('Effectif Saison'!$D$4:$D$51,MATCH(B99,'Effectif Saison'!$E$4:$E$51,0)),""))</f>
        <v/>
      </c>
      <c r="H99" s="19" t="str">
        <f>IF(L99=0,"",IF(E99="Oui",0,IFERROR(_xlfn.MINIFS(Changements!$B:$B,Changements!$A:$A,A99,Changements!$D:$D,B99),"")))</f>
        <v/>
      </c>
      <c r="I99" s="19" t="str">
        <f>IF(M99=0,"",IFERROR(_xlfn.MAXIFS(Changements!$B:$B,Changements!$A:$A,A99,Changements!$C:$C,B99),""))</f>
        <v/>
      </c>
      <c r="J99" s="11" t="str">
        <f t="shared" si="6"/>
        <v/>
      </c>
      <c r="K99" s="17">
        <f t="shared" si="7"/>
        <v>0</v>
      </c>
      <c r="L99" s="17">
        <f>IF(B99="",0,COUNTIFS(Changements!$A:$A,A99,Changements!$D:$D,B99)+IF(E99="Oui",1,0))</f>
        <v>0</v>
      </c>
      <c r="M99" s="17">
        <f>IF(B99="",0,COUNTIFS(Changements!$A:$A,A99,Changements!$C:$C,B99))</f>
        <v>0</v>
      </c>
      <c r="N99" s="17">
        <f>IF(B99="",0,SUMIFS(Changements!$B:$B,Changements!$A:$A,A99,Changements!$D:$D,B99))</f>
        <v>0</v>
      </c>
      <c r="O99" s="17">
        <f>IF(B99="",0,SUMIFS(Changements!$B:$B,Changements!$A:$A,A99,Changements!$C:$C,B99)+IF(L99&gt;M99,IFERROR(INDEX(Matchs!$F$4:$F$31,MATCH(A99,Matchs!$A$4:$A$31,0)),0),0))</f>
        <v>0</v>
      </c>
      <c r="P99" s="17">
        <f t="shared" si="8"/>
        <v>0</v>
      </c>
      <c r="Q99" s="17">
        <f t="shared" si="9"/>
        <v>0</v>
      </c>
    </row>
    <row r="100" spans="1:17" ht="15" customHeight="1" x14ac:dyDescent="0.25">
      <c r="A100" s="11">
        <f t="shared" si="5"/>
        <v>5</v>
      </c>
      <c r="B100" s="11" t="str">
        <f>INDEX('Effectif Saison'!$E$4:$E$22,1)</f>
        <v>Alan MICHON</v>
      </c>
      <c r="C100" s="10"/>
      <c r="D100" s="10"/>
      <c r="E100" s="10"/>
      <c r="F100" s="19" t="str">
        <f>IF(B100="","",IF(AND(E100="Oui",COUNTIFS(Changements!$A:$A,A100,Changements!$D:$D,B100)&gt;0),"⚠ Titulaire+entrée ?",IF(ABS(L100-M100)&gt;1,"⚠ vérifier","")))</f>
        <v/>
      </c>
      <c r="G100" s="11" t="str">
        <f>IF(B100="","",IFERROR(INDEX('Effectif Saison'!$D$4:$D$51,MATCH(B100,'Effectif Saison'!$E$4:$E$51,0)),""))</f>
        <v>Équipe 1</v>
      </c>
      <c r="H100" s="19" t="str">
        <f>IF(L100=0,"",IF(E100="Oui",0,IFERROR(_xlfn.MINIFS(Changements!$B:$B,Changements!$A:$A,A100,Changements!$D:$D,B100),"")))</f>
        <v/>
      </c>
      <c r="I100" s="19" t="str">
        <f>IF(M100=0,"",IFERROR(_xlfn.MAXIFS(Changements!$B:$B,Changements!$A:$A,A100,Changements!$C:$C,B100),""))</f>
        <v/>
      </c>
      <c r="J100" s="11" t="str">
        <f t="shared" si="6"/>
        <v/>
      </c>
      <c r="K100" s="17">
        <f t="shared" si="7"/>
        <v>0</v>
      </c>
      <c r="L100" s="17">
        <f>IF(B100="",0,COUNTIFS(Changements!$A:$A,A100,Changements!$D:$D,B100)+IF(E100="Oui",1,0))</f>
        <v>0</v>
      </c>
      <c r="M100" s="17">
        <f>IF(B100="",0,COUNTIFS(Changements!$A:$A,A100,Changements!$C:$C,B100))</f>
        <v>0</v>
      </c>
      <c r="N100" s="17">
        <f>IF(B100="",0,SUMIFS(Changements!$B:$B,Changements!$A:$A,A100,Changements!$D:$D,B100))</f>
        <v>0</v>
      </c>
      <c r="O100" s="17">
        <f>IF(B100="",0,SUMIFS(Changements!$B:$B,Changements!$A:$A,A100,Changements!$C:$C,B100)+IF(L100&gt;M100,IFERROR(INDEX(Matchs!$F$4:$F$31,MATCH(A100,Matchs!$A$4:$A$31,0)),0),0))</f>
        <v>0</v>
      </c>
      <c r="P100" s="17">
        <f t="shared" si="8"/>
        <v>0</v>
      </c>
      <c r="Q100" s="17">
        <f t="shared" si="9"/>
        <v>0</v>
      </c>
    </row>
    <row r="101" spans="1:17" ht="15" customHeight="1" x14ac:dyDescent="0.25">
      <c r="A101" s="11">
        <f t="shared" si="5"/>
        <v>5</v>
      </c>
      <c r="B101" s="11" t="str">
        <f>INDEX('Effectif Saison'!$E$4:$E$22,2)</f>
        <v>Jean BRUNTZ</v>
      </c>
      <c r="C101" s="10"/>
      <c r="D101" s="10"/>
      <c r="E101" s="10"/>
      <c r="F101" s="19" t="str">
        <f>IF(B101="","",IF(AND(E101="Oui",COUNTIFS(Changements!$A:$A,A101,Changements!$D:$D,B101)&gt;0),"⚠ Titulaire+entrée ?",IF(ABS(L101-M101)&gt;1,"⚠ vérifier","")))</f>
        <v/>
      </c>
      <c r="G101" s="11" t="str">
        <f>IF(B101="","",IFERROR(INDEX('Effectif Saison'!$D$4:$D$51,MATCH(B101,'Effectif Saison'!$E$4:$E$51,0)),""))</f>
        <v>Équipe 1</v>
      </c>
      <c r="H101" s="19" t="str">
        <f>IF(L101=0,"",IF(E101="Oui",0,IFERROR(_xlfn.MINIFS(Changements!$B:$B,Changements!$A:$A,A101,Changements!$D:$D,B101),"")))</f>
        <v/>
      </c>
      <c r="I101" s="19" t="str">
        <f>IF(M101=0,"",IFERROR(_xlfn.MAXIFS(Changements!$B:$B,Changements!$A:$A,A101,Changements!$C:$C,B101),""))</f>
        <v/>
      </c>
      <c r="J101" s="11" t="str">
        <f t="shared" si="6"/>
        <v/>
      </c>
      <c r="K101" s="17">
        <f t="shared" si="7"/>
        <v>0</v>
      </c>
      <c r="L101" s="17">
        <f>IF(B101="",0,COUNTIFS(Changements!$A:$A,A101,Changements!$D:$D,B101)+IF(E101="Oui",1,0))</f>
        <v>0</v>
      </c>
      <c r="M101" s="17">
        <f>IF(B101="",0,COUNTIFS(Changements!$A:$A,A101,Changements!$C:$C,B101))</f>
        <v>0</v>
      </c>
      <c r="N101" s="17">
        <f>IF(B101="",0,SUMIFS(Changements!$B:$B,Changements!$A:$A,A101,Changements!$D:$D,B101))</f>
        <v>0</v>
      </c>
      <c r="O101" s="17">
        <f>IF(B101="",0,SUMIFS(Changements!$B:$B,Changements!$A:$A,A101,Changements!$C:$C,B101)+IF(L101&gt;M101,IFERROR(INDEX(Matchs!$F$4:$F$31,MATCH(A101,Matchs!$A$4:$A$31,0)),0),0))</f>
        <v>0</v>
      </c>
      <c r="P101" s="17">
        <f t="shared" si="8"/>
        <v>0</v>
      </c>
      <c r="Q101" s="17">
        <f t="shared" si="9"/>
        <v>0</v>
      </c>
    </row>
    <row r="102" spans="1:17" ht="15" customHeight="1" x14ac:dyDescent="0.25">
      <c r="A102" s="11">
        <f t="shared" si="5"/>
        <v>5</v>
      </c>
      <c r="B102" s="11" t="str">
        <f>INDEX('Effectif Saison'!$E$4:$E$22,3)</f>
        <v>Marouane SBK</v>
      </c>
      <c r="C102" s="10"/>
      <c r="D102" s="10"/>
      <c r="E102" s="10"/>
      <c r="F102" s="19" t="str">
        <f>IF(B102="","",IF(AND(E102="Oui",COUNTIFS(Changements!$A:$A,A102,Changements!$D:$D,B102)&gt;0),"⚠ Titulaire+entrée ?",IF(ABS(L102-M102)&gt;1,"⚠ vérifier","")))</f>
        <v/>
      </c>
      <c r="G102" s="11" t="str">
        <f>IF(B102="","",IFERROR(INDEX('Effectif Saison'!$D$4:$D$51,MATCH(B102,'Effectif Saison'!$E$4:$E$51,0)),""))</f>
        <v>Équipe 1</v>
      </c>
      <c r="H102" s="19" t="str">
        <f>IF(L102=0,"",IF(E102="Oui",0,IFERROR(_xlfn.MINIFS(Changements!$B:$B,Changements!$A:$A,A102,Changements!$D:$D,B102),"")))</f>
        <v/>
      </c>
      <c r="I102" s="19" t="str">
        <f>IF(M102=0,"",IFERROR(_xlfn.MAXIFS(Changements!$B:$B,Changements!$A:$A,A102,Changements!$C:$C,B102),""))</f>
        <v/>
      </c>
      <c r="J102" s="11" t="str">
        <f t="shared" si="6"/>
        <v/>
      </c>
      <c r="K102" s="17">
        <f t="shared" si="7"/>
        <v>0</v>
      </c>
      <c r="L102" s="17">
        <f>IF(B102="",0,COUNTIFS(Changements!$A:$A,A102,Changements!$D:$D,B102)+IF(E102="Oui",1,0))</f>
        <v>0</v>
      </c>
      <c r="M102" s="17">
        <f>IF(B102="",0,COUNTIFS(Changements!$A:$A,A102,Changements!$C:$C,B102))</f>
        <v>0</v>
      </c>
      <c r="N102" s="17">
        <f>IF(B102="",0,SUMIFS(Changements!$B:$B,Changements!$A:$A,A102,Changements!$D:$D,B102))</f>
        <v>0</v>
      </c>
      <c r="O102" s="17">
        <f>IF(B102="",0,SUMIFS(Changements!$B:$B,Changements!$A:$A,A102,Changements!$C:$C,B102)+IF(L102&gt;M102,IFERROR(INDEX(Matchs!$F$4:$F$31,MATCH(A102,Matchs!$A$4:$A$31,0)),0),0))</f>
        <v>0</v>
      </c>
      <c r="P102" s="17">
        <f t="shared" si="8"/>
        <v>0</v>
      </c>
      <c r="Q102" s="17">
        <f t="shared" si="9"/>
        <v>0</v>
      </c>
    </row>
    <row r="103" spans="1:17" ht="15" customHeight="1" x14ac:dyDescent="0.25">
      <c r="A103" s="11">
        <f t="shared" si="5"/>
        <v>5</v>
      </c>
      <c r="B103" s="11" t="str">
        <f>INDEX('Effectif Saison'!$E$4:$E$22,4)</f>
        <v>Noé BIHL</v>
      </c>
      <c r="C103" s="10"/>
      <c r="D103" s="10"/>
      <c r="E103" s="10"/>
      <c r="F103" s="19" t="str">
        <f>IF(B103="","",IF(AND(E103="Oui",COUNTIFS(Changements!$A:$A,A103,Changements!$D:$D,B103)&gt;0),"⚠ Titulaire+entrée ?",IF(ABS(L103-M103)&gt;1,"⚠ vérifier","")))</f>
        <v/>
      </c>
      <c r="G103" s="11" t="str">
        <f>IF(B103="","",IFERROR(INDEX('Effectif Saison'!$D$4:$D$51,MATCH(B103,'Effectif Saison'!$E$4:$E$51,0)),""))</f>
        <v>Équipe 1</v>
      </c>
      <c r="H103" s="19" t="str">
        <f>IF(L103=0,"",IF(E103="Oui",0,IFERROR(_xlfn.MINIFS(Changements!$B:$B,Changements!$A:$A,A103,Changements!$D:$D,B103),"")))</f>
        <v/>
      </c>
      <c r="I103" s="19" t="str">
        <f>IF(M103=0,"",IFERROR(_xlfn.MAXIFS(Changements!$B:$B,Changements!$A:$A,A103,Changements!$C:$C,B103),""))</f>
        <v/>
      </c>
      <c r="J103" s="11" t="str">
        <f t="shared" si="6"/>
        <v/>
      </c>
      <c r="K103" s="17">
        <f t="shared" si="7"/>
        <v>0</v>
      </c>
      <c r="L103" s="17">
        <f>IF(B103="",0,COUNTIFS(Changements!$A:$A,A103,Changements!$D:$D,B103)+IF(E103="Oui",1,0))</f>
        <v>0</v>
      </c>
      <c r="M103" s="17">
        <f>IF(B103="",0,COUNTIFS(Changements!$A:$A,A103,Changements!$C:$C,B103))</f>
        <v>0</v>
      </c>
      <c r="N103" s="17">
        <f>IF(B103="",0,SUMIFS(Changements!$B:$B,Changements!$A:$A,A103,Changements!$D:$D,B103))</f>
        <v>0</v>
      </c>
      <c r="O103" s="17">
        <f>IF(B103="",0,SUMIFS(Changements!$B:$B,Changements!$A:$A,A103,Changements!$C:$C,B103)+IF(L103&gt;M103,IFERROR(INDEX(Matchs!$F$4:$F$31,MATCH(A103,Matchs!$A$4:$A$31,0)),0),0))</f>
        <v>0</v>
      </c>
      <c r="P103" s="17">
        <f t="shared" si="8"/>
        <v>0</v>
      </c>
      <c r="Q103" s="17">
        <f t="shared" si="9"/>
        <v>0</v>
      </c>
    </row>
    <row r="104" spans="1:17" ht="15" customHeight="1" x14ac:dyDescent="0.25">
      <c r="A104" s="11">
        <f t="shared" si="5"/>
        <v>5</v>
      </c>
      <c r="B104" s="11" t="str">
        <f>INDEX('Effectif Saison'!$E$4:$E$22,5)</f>
        <v>Luca COLAIANNI</v>
      </c>
      <c r="C104" s="10"/>
      <c r="D104" s="10"/>
      <c r="E104" s="10"/>
      <c r="F104" s="19" t="str">
        <f>IF(B104="","",IF(AND(E104="Oui",COUNTIFS(Changements!$A:$A,A104,Changements!$D:$D,B104)&gt;0),"⚠ Titulaire+entrée ?",IF(ABS(L104-M104)&gt;1,"⚠ vérifier","")))</f>
        <v/>
      </c>
      <c r="G104" s="11" t="str">
        <f>IF(B104="","",IFERROR(INDEX('Effectif Saison'!$D$4:$D$51,MATCH(B104,'Effectif Saison'!$E$4:$E$51,0)),""))</f>
        <v>Équipe 1</v>
      </c>
      <c r="H104" s="19" t="str">
        <f>IF(L104=0,"",IF(E104="Oui",0,IFERROR(_xlfn.MINIFS(Changements!$B:$B,Changements!$A:$A,A104,Changements!$D:$D,B104),"")))</f>
        <v/>
      </c>
      <c r="I104" s="19" t="str">
        <f>IF(M104=0,"",IFERROR(_xlfn.MAXIFS(Changements!$B:$B,Changements!$A:$A,A104,Changements!$C:$C,B104),""))</f>
        <v/>
      </c>
      <c r="J104" s="11" t="str">
        <f t="shared" si="6"/>
        <v/>
      </c>
      <c r="K104" s="17">
        <f t="shared" si="7"/>
        <v>0</v>
      </c>
      <c r="L104" s="17">
        <f>IF(B104="",0,COUNTIFS(Changements!$A:$A,A104,Changements!$D:$D,B104)+IF(E104="Oui",1,0))</f>
        <v>0</v>
      </c>
      <c r="M104" s="17">
        <f>IF(B104="",0,COUNTIFS(Changements!$A:$A,A104,Changements!$C:$C,B104))</f>
        <v>0</v>
      </c>
      <c r="N104" s="17">
        <f>IF(B104="",0,SUMIFS(Changements!$B:$B,Changements!$A:$A,A104,Changements!$D:$D,B104))</f>
        <v>0</v>
      </c>
      <c r="O104" s="17">
        <f>IF(B104="",0,SUMIFS(Changements!$B:$B,Changements!$A:$A,A104,Changements!$C:$C,B104)+IF(L104&gt;M104,IFERROR(INDEX(Matchs!$F$4:$F$31,MATCH(A104,Matchs!$A$4:$A$31,0)),0),0))</f>
        <v>0</v>
      </c>
      <c r="P104" s="17">
        <f t="shared" si="8"/>
        <v>0</v>
      </c>
      <c r="Q104" s="17">
        <f t="shared" si="9"/>
        <v>0</v>
      </c>
    </row>
    <row r="105" spans="1:17" ht="15" customHeight="1" x14ac:dyDescent="0.25">
      <c r="A105" s="11">
        <f t="shared" si="5"/>
        <v>5</v>
      </c>
      <c r="B105" s="11" t="str">
        <f>INDEX('Effectif Saison'!$E$4:$E$22,6)</f>
        <v>Atilla ER</v>
      </c>
      <c r="C105" s="10"/>
      <c r="D105" s="10"/>
      <c r="E105" s="10"/>
      <c r="F105" s="19" t="str">
        <f>IF(B105="","",IF(AND(E105="Oui",COUNTIFS(Changements!$A:$A,A105,Changements!$D:$D,B105)&gt;0),"⚠ Titulaire+entrée ?",IF(ABS(L105-M105)&gt;1,"⚠ vérifier","")))</f>
        <v/>
      </c>
      <c r="G105" s="11" t="str">
        <f>IF(B105="","",IFERROR(INDEX('Effectif Saison'!$D$4:$D$51,MATCH(B105,'Effectif Saison'!$E$4:$E$51,0)),""))</f>
        <v>Équipe 1</v>
      </c>
      <c r="H105" s="19" t="str">
        <f>IF(L105=0,"",IF(E105="Oui",0,IFERROR(_xlfn.MINIFS(Changements!$B:$B,Changements!$A:$A,A105,Changements!$D:$D,B105),"")))</f>
        <v/>
      </c>
      <c r="I105" s="19" t="str">
        <f>IF(M105=0,"",IFERROR(_xlfn.MAXIFS(Changements!$B:$B,Changements!$A:$A,A105,Changements!$C:$C,B105),""))</f>
        <v/>
      </c>
      <c r="J105" s="11" t="str">
        <f t="shared" si="6"/>
        <v/>
      </c>
      <c r="K105" s="17">
        <f t="shared" si="7"/>
        <v>0</v>
      </c>
      <c r="L105" s="17">
        <f>IF(B105="",0,COUNTIFS(Changements!$A:$A,A105,Changements!$D:$D,B105)+IF(E105="Oui",1,0))</f>
        <v>0</v>
      </c>
      <c r="M105" s="17">
        <f>IF(B105="",0,COUNTIFS(Changements!$A:$A,A105,Changements!$C:$C,B105))</f>
        <v>0</v>
      </c>
      <c r="N105" s="17">
        <f>IF(B105="",0,SUMIFS(Changements!$B:$B,Changements!$A:$A,A105,Changements!$D:$D,B105))</f>
        <v>0</v>
      </c>
      <c r="O105" s="17">
        <f>IF(B105="",0,SUMIFS(Changements!$B:$B,Changements!$A:$A,A105,Changements!$C:$C,B105)+IF(L105&gt;M105,IFERROR(INDEX(Matchs!$F$4:$F$31,MATCH(A105,Matchs!$A$4:$A$31,0)),0),0))</f>
        <v>0</v>
      </c>
      <c r="P105" s="17">
        <f t="shared" si="8"/>
        <v>0</v>
      </c>
      <c r="Q105" s="17">
        <f t="shared" si="9"/>
        <v>0</v>
      </c>
    </row>
    <row r="106" spans="1:17" ht="15" customHeight="1" x14ac:dyDescent="0.25">
      <c r="A106" s="11">
        <f t="shared" si="5"/>
        <v>5</v>
      </c>
      <c r="B106" s="11" t="str">
        <f>INDEX('Effectif Saison'!$E$4:$E$22,7)</f>
        <v>Lucas BUHR</v>
      </c>
      <c r="C106" s="10"/>
      <c r="D106" s="10"/>
      <c r="E106" s="10"/>
      <c r="F106" s="19" t="str">
        <f>IF(B106="","",IF(AND(E106="Oui",COUNTIFS(Changements!$A:$A,A106,Changements!$D:$D,B106)&gt;0),"⚠ Titulaire+entrée ?",IF(ABS(L106-M106)&gt;1,"⚠ vérifier","")))</f>
        <v/>
      </c>
      <c r="G106" s="11" t="str">
        <f>IF(B106="","",IFERROR(INDEX('Effectif Saison'!$D$4:$D$51,MATCH(B106,'Effectif Saison'!$E$4:$E$51,0)),""))</f>
        <v>Équipe 1</v>
      </c>
      <c r="H106" s="19" t="str">
        <f>IF(L106=0,"",IF(E106="Oui",0,IFERROR(_xlfn.MINIFS(Changements!$B:$B,Changements!$A:$A,A106,Changements!$D:$D,B106),"")))</f>
        <v/>
      </c>
      <c r="I106" s="19" t="str">
        <f>IF(M106=0,"",IFERROR(_xlfn.MAXIFS(Changements!$B:$B,Changements!$A:$A,A106,Changements!$C:$C,B106),""))</f>
        <v/>
      </c>
      <c r="J106" s="11" t="str">
        <f t="shared" si="6"/>
        <v/>
      </c>
      <c r="K106" s="17">
        <f t="shared" si="7"/>
        <v>0</v>
      </c>
      <c r="L106" s="17">
        <f>IF(B106="",0,COUNTIFS(Changements!$A:$A,A106,Changements!$D:$D,B106)+IF(E106="Oui",1,0))</f>
        <v>0</v>
      </c>
      <c r="M106" s="17">
        <f>IF(B106="",0,COUNTIFS(Changements!$A:$A,A106,Changements!$C:$C,B106))</f>
        <v>0</v>
      </c>
      <c r="N106" s="17">
        <f>IF(B106="",0,SUMIFS(Changements!$B:$B,Changements!$A:$A,A106,Changements!$D:$D,B106))</f>
        <v>0</v>
      </c>
      <c r="O106" s="17">
        <f>IF(B106="",0,SUMIFS(Changements!$B:$B,Changements!$A:$A,A106,Changements!$C:$C,B106)+IF(L106&gt;M106,IFERROR(INDEX(Matchs!$F$4:$F$31,MATCH(A106,Matchs!$A$4:$A$31,0)),0),0))</f>
        <v>0</v>
      </c>
      <c r="P106" s="17">
        <f t="shared" si="8"/>
        <v>0</v>
      </c>
      <c r="Q106" s="17">
        <f t="shared" si="9"/>
        <v>0</v>
      </c>
    </row>
    <row r="107" spans="1:17" ht="15" customHeight="1" x14ac:dyDescent="0.25">
      <c r="A107" s="11">
        <f t="shared" si="5"/>
        <v>5</v>
      </c>
      <c r="B107" s="11" t="str">
        <f>INDEX('Effectif Saison'!$E$4:$E$22,8)</f>
        <v>Yanis HOUX</v>
      </c>
      <c r="C107" s="10"/>
      <c r="D107" s="10"/>
      <c r="E107" s="10"/>
      <c r="F107" s="19" t="str">
        <f>IF(B107="","",IF(AND(E107="Oui",COUNTIFS(Changements!$A:$A,A107,Changements!$D:$D,B107)&gt;0),"⚠ Titulaire+entrée ?",IF(ABS(L107-M107)&gt;1,"⚠ vérifier","")))</f>
        <v/>
      </c>
      <c r="G107" s="11" t="str">
        <f>IF(B107="","",IFERROR(INDEX('Effectif Saison'!$D$4:$D$51,MATCH(B107,'Effectif Saison'!$E$4:$E$51,0)),""))</f>
        <v>Équipe 1</v>
      </c>
      <c r="H107" s="19" t="str">
        <f>IF(L107=0,"",IF(E107="Oui",0,IFERROR(_xlfn.MINIFS(Changements!$B:$B,Changements!$A:$A,A107,Changements!$D:$D,B107),"")))</f>
        <v/>
      </c>
      <c r="I107" s="19" t="str">
        <f>IF(M107=0,"",IFERROR(_xlfn.MAXIFS(Changements!$B:$B,Changements!$A:$A,A107,Changements!$C:$C,B107),""))</f>
        <v/>
      </c>
      <c r="J107" s="11" t="str">
        <f t="shared" si="6"/>
        <v/>
      </c>
      <c r="K107" s="17">
        <f t="shared" si="7"/>
        <v>0</v>
      </c>
      <c r="L107" s="17">
        <f>IF(B107="",0,COUNTIFS(Changements!$A:$A,A107,Changements!$D:$D,B107)+IF(E107="Oui",1,0))</f>
        <v>0</v>
      </c>
      <c r="M107" s="17">
        <f>IF(B107="",0,COUNTIFS(Changements!$A:$A,A107,Changements!$C:$C,B107))</f>
        <v>0</v>
      </c>
      <c r="N107" s="17">
        <f>IF(B107="",0,SUMIFS(Changements!$B:$B,Changements!$A:$A,A107,Changements!$D:$D,B107))</f>
        <v>0</v>
      </c>
      <c r="O107" s="17">
        <f>IF(B107="",0,SUMIFS(Changements!$B:$B,Changements!$A:$A,A107,Changements!$C:$C,B107)+IF(L107&gt;M107,IFERROR(INDEX(Matchs!$F$4:$F$31,MATCH(A107,Matchs!$A$4:$A$31,0)),0),0))</f>
        <v>0</v>
      </c>
      <c r="P107" s="17">
        <f t="shared" si="8"/>
        <v>0</v>
      </c>
      <c r="Q107" s="17">
        <f t="shared" si="9"/>
        <v>0</v>
      </c>
    </row>
    <row r="108" spans="1:17" ht="15" customHeight="1" x14ac:dyDescent="0.25">
      <c r="A108" s="11">
        <f t="shared" si="5"/>
        <v>5</v>
      </c>
      <c r="B108" s="11" t="str">
        <f>INDEX('Effectif Saison'!$E$4:$E$22,9)</f>
        <v>Tino COLAIANNI</v>
      </c>
      <c r="C108" s="10"/>
      <c r="D108" s="10"/>
      <c r="E108" s="10"/>
      <c r="F108" s="19" t="str">
        <f>IF(B108="","",IF(AND(E108="Oui",COUNTIFS(Changements!$A:$A,A108,Changements!$D:$D,B108)&gt;0),"⚠ Titulaire+entrée ?",IF(ABS(L108-M108)&gt;1,"⚠ vérifier","")))</f>
        <v/>
      </c>
      <c r="G108" s="11" t="str">
        <f>IF(B108="","",IFERROR(INDEX('Effectif Saison'!$D$4:$D$51,MATCH(B108,'Effectif Saison'!$E$4:$E$51,0)),""))</f>
        <v>Équipe 1</v>
      </c>
      <c r="H108" s="19" t="str">
        <f>IF(L108=0,"",IF(E108="Oui",0,IFERROR(_xlfn.MINIFS(Changements!$B:$B,Changements!$A:$A,A108,Changements!$D:$D,B108),"")))</f>
        <v/>
      </c>
      <c r="I108" s="19" t="str">
        <f>IF(M108=0,"",IFERROR(_xlfn.MAXIFS(Changements!$B:$B,Changements!$A:$A,A108,Changements!$C:$C,B108),""))</f>
        <v/>
      </c>
      <c r="J108" s="11" t="str">
        <f t="shared" si="6"/>
        <v/>
      </c>
      <c r="K108" s="17">
        <f t="shared" si="7"/>
        <v>0</v>
      </c>
      <c r="L108" s="17">
        <f>IF(B108="",0,COUNTIFS(Changements!$A:$A,A108,Changements!$D:$D,B108)+IF(E108="Oui",1,0))</f>
        <v>0</v>
      </c>
      <c r="M108" s="17">
        <f>IF(B108="",0,COUNTIFS(Changements!$A:$A,A108,Changements!$C:$C,B108))</f>
        <v>0</v>
      </c>
      <c r="N108" s="17">
        <f>IF(B108="",0,SUMIFS(Changements!$B:$B,Changements!$A:$A,A108,Changements!$D:$D,B108))</f>
        <v>0</v>
      </c>
      <c r="O108" s="17">
        <f>IF(B108="",0,SUMIFS(Changements!$B:$B,Changements!$A:$A,A108,Changements!$C:$C,B108)+IF(L108&gt;M108,IFERROR(INDEX(Matchs!$F$4:$F$31,MATCH(A108,Matchs!$A$4:$A$31,0)),0),0))</f>
        <v>0</v>
      </c>
      <c r="P108" s="17">
        <f t="shared" si="8"/>
        <v>0</v>
      </c>
      <c r="Q108" s="17">
        <f t="shared" si="9"/>
        <v>0</v>
      </c>
    </row>
    <row r="109" spans="1:17" ht="15" customHeight="1" x14ac:dyDescent="0.25">
      <c r="A109" s="11">
        <f t="shared" si="5"/>
        <v>5</v>
      </c>
      <c r="B109" s="11" t="str">
        <f>INDEX('Effectif Saison'!$E$4:$E$22,10)</f>
        <v>Achille KELLERKNECHT</v>
      </c>
      <c r="C109" s="10"/>
      <c r="D109" s="10"/>
      <c r="E109" s="10"/>
      <c r="F109" s="19" t="str">
        <f>IF(B109="","",IF(AND(E109="Oui",COUNTIFS(Changements!$A:$A,A109,Changements!$D:$D,B109)&gt;0),"⚠ Titulaire+entrée ?",IF(ABS(L109-M109)&gt;1,"⚠ vérifier","")))</f>
        <v/>
      </c>
      <c r="G109" s="11" t="str">
        <f>IF(B109="","",IFERROR(INDEX('Effectif Saison'!$D$4:$D$51,MATCH(B109,'Effectif Saison'!$E$4:$E$51,0)),""))</f>
        <v>Équipe 1</v>
      </c>
      <c r="H109" s="19" t="str">
        <f>IF(L109=0,"",IF(E109="Oui",0,IFERROR(_xlfn.MINIFS(Changements!$B:$B,Changements!$A:$A,A109,Changements!$D:$D,B109),"")))</f>
        <v/>
      </c>
      <c r="I109" s="19" t="str">
        <f>IF(M109=0,"",IFERROR(_xlfn.MAXIFS(Changements!$B:$B,Changements!$A:$A,A109,Changements!$C:$C,B109),""))</f>
        <v/>
      </c>
      <c r="J109" s="11" t="str">
        <f t="shared" si="6"/>
        <v/>
      </c>
      <c r="K109" s="17">
        <f t="shared" si="7"/>
        <v>0</v>
      </c>
      <c r="L109" s="17">
        <f>IF(B109="",0,COUNTIFS(Changements!$A:$A,A109,Changements!$D:$D,B109)+IF(E109="Oui",1,0))</f>
        <v>0</v>
      </c>
      <c r="M109" s="17">
        <f>IF(B109="",0,COUNTIFS(Changements!$A:$A,A109,Changements!$C:$C,B109))</f>
        <v>0</v>
      </c>
      <c r="N109" s="17">
        <f>IF(B109="",0,SUMIFS(Changements!$B:$B,Changements!$A:$A,A109,Changements!$D:$D,B109))</f>
        <v>0</v>
      </c>
      <c r="O109" s="17">
        <f>IF(B109="",0,SUMIFS(Changements!$B:$B,Changements!$A:$A,A109,Changements!$C:$C,B109)+IF(L109&gt;M109,IFERROR(INDEX(Matchs!$F$4:$F$31,MATCH(A109,Matchs!$A$4:$A$31,0)),0),0))</f>
        <v>0</v>
      </c>
      <c r="P109" s="17">
        <f t="shared" si="8"/>
        <v>0</v>
      </c>
      <c r="Q109" s="17">
        <f t="shared" si="9"/>
        <v>0</v>
      </c>
    </row>
    <row r="110" spans="1:17" ht="15" customHeight="1" x14ac:dyDescent="0.25">
      <c r="A110" s="11">
        <f t="shared" si="5"/>
        <v>5</v>
      </c>
      <c r="B110" s="11" t="str">
        <f>INDEX('Effectif Saison'!$E$4:$E$22,11)</f>
        <v>Charly LEPERT</v>
      </c>
      <c r="C110" s="10"/>
      <c r="D110" s="10"/>
      <c r="E110" s="10"/>
      <c r="F110" s="19" t="str">
        <f>IF(B110="","",IF(AND(E110="Oui",COUNTIFS(Changements!$A:$A,A110,Changements!$D:$D,B110)&gt;0),"⚠ Titulaire+entrée ?",IF(ABS(L110-M110)&gt;1,"⚠ vérifier","")))</f>
        <v/>
      </c>
      <c r="G110" s="11" t="str">
        <f>IF(B110="","",IFERROR(INDEX('Effectif Saison'!$D$4:$D$51,MATCH(B110,'Effectif Saison'!$E$4:$E$51,0)),""))</f>
        <v>Équipe 1</v>
      </c>
      <c r="H110" s="19" t="str">
        <f>IF(L110=0,"",IF(E110="Oui",0,IFERROR(_xlfn.MINIFS(Changements!$B:$B,Changements!$A:$A,A110,Changements!$D:$D,B110),"")))</f>
        <v/>
      </c>
      <c r="I110" s="19" t="str">
        <f>IF(M110=0,"",IFERROR(_xlfn.MAXIFS(Changements!$B:$B,Changements!$A:$A,A110,Changements!$C:$C,B110),""))</f>
        <v/>
      </c>
      <c r="J110" s="11" t="str">
        <f t="shared" si="6"/>
        <v/>
      </c>
      <c r="K110" s="17">
        <f t="shared" si="7"/>
        <v>0</v>
      </c>
      <c r="L110" s="17">
        <f>IF(B110="",0,COUNTIFS(Changements!$A:$A,A110,Changements!$D:$D,B110)+IF(E110="Oui",1,0))</f>
        <v>0</v>
      </c>
      <c r="M110" s="17">
        <f>IF(B110="",0,COUNTIFS(Changements!$A:$A,A110,Changements!$C:$C,B110))</f>
        <v>0</v>
      </c>
      <c r="N110" s="17">
        <f>IF(B110="",0,SUMIFS(Changements!$B:$B,Changements!$A:$A,A110,Changements!$D:$D,B110))</f>
        <v>0</v>
      </c>
      <c r="O110" s="17">
        <f>IF(B110="",0,SUMIFS(Changements!$B:$B,Changements!$A:$A,A110,Changements!$C:$C,B110)+IF(L110&gt;M110,IFERROR(INDEX(Matchs!$F$4:$F$31,MATCH(A110,Matchs!$A$4:$A$31,0)),0),0))</f>
        <v>0</v>
      </c>
      <c r="P110" s="17">
        <f t="shared" si="8"/>
        <v>0</v>
      </c>
      <c r="Q110" s="17">
        <f t="shared" si="9"/>
        <v>0</v>
      </c>
    </row>
    <row r="111" spans="1:17" ht="15" customHeight="1" x14ac:dyDescent="0.25">
      <c r="A111" s="11">
        <f t="shared" si="5"/>
        <v>5</v>
      </c>
      <c r="B111" s="11" t="str">
        <f>INDEX('Effectif Saison'!$E$4:$E$22,12)</f>
        <v>Basile STANGRET</v>
      </c>
      <c r="C111" s="10"/>
      <c r="D111" s="10"/>
      <c r="E111" s="10"/>
      <c r="F111" s="19" t="str">
        <f>IF(B111="","",IF(AND(E111="Oui",COUNTIFS(Changements!$A:$A,A111,Changements!$D:$D,B111)&gt;0),"⚠ Titulaire+entrée ?",IF(ABS(L111-M111)&gt;1,"⚠ vérifier","")))</f>
        <v/>
      </c>
      <c r="G111" s="11" t="str">
        <f>IF(B111="","",IFERROR(INDEX('Effectif Saison'!$D$4:$D$51,MATCH(B111,'Effectif Saison'!$E$4:$E$51,0)),""))</f>
        <v>Équipe 1</v>
      </c>
      <c r="H111" s="19" t="str">
        <f>IF(L111=0,"",IF(E111="Oui",0,IFERROR(_xlfn.MINIFS(Changements!$B:$B,Changements!$A:$A,A111,Changements!$D:$D,B111),"")))</f>
        <v/>
      </c>
      <c r="I111" s="19" t="str">
        <f>IF(M111=0,"",IFERROR(_xlfn.MAXIFS(Changements!$B:$B,Changements!$A:$A,A111,Changements!$C:$C,B111),""))</f>
        <v/>
      </c>
      <c r="J111" s="11" t="str">
        <f t="shared" si="6"/>
        <v/>
      </c>
      <c r="K111" s="17">
        <f t="shared" si="7"/>
        <v>0</v>
      </c>
      <c r="L111" s="17">
        <f>IF(B111="",0,COUNTIFS(Changements!$A:$A,A111,Changements!$D:$D,B111)+IF(E111="Oui",1,0))</f>
        <v>0</v>
      </c>
      <c r="M111" s="17">
        <f>IF(B111="",0,COUNTIFS(Changements!$A:$A,A111,Changements!$C:$C,B111))</f>
        <v>0</v>
      </c>
      <c r="N111" s="17">
        <f>IF(B111="",0,SUMIFS(Changements!$B:$B,Changements!$A:$A,A111,Changements!$D:$D,B111))</f>
        <v>0</v>
      </c>
      <c r="O111" s="17">
        <f>IF(B111="",0,SUMIFS(Changements!$B:$B,Changements!$A:$A,A111,Changements!$C:$C,B111)+IF(L111&gt;M111,IFERROR(INDEX(Matchs!$F$4:$F$31,MATCH(A111,Matchs!$A$4:$A$31,0)),0),0))</f>
        <v>0</v>
      </c>
      <c r="P111" s="17">
        <f t="shared" si="8"/>
        <v>0</v>
      </c>
      <c r="Q111" s="17">
        <f t="shared" si="9"/>
        <v>0</v>
      </c>
    </row>
    <row r="112" spans="1:17" ht="15" customHeight="1" x14ac:dyDescent="0.25">
      <c r="A112" s="11">
        <f t="shared" si="5"/>
        <v>5</v>
      </c>
      <c r="B112" s="11" t="str">
        <f>INDEX('Effectif Saison'!$E$4:$E$22,13)</f>
        <v>Maxence KELLER</v>
      </c>
      <c r="C112" s="10"/>
      <c r="D112" s="10"/>
      <c r="E112" s="10"/>
      <c r="F112" s="19" t="str">
        <f>IF(B112="","",IF(AND(E112="Oui",COUNTIFS(Changements!$A:$A,A112,Changements!$D:$D,B112)&gt;0),"⚠ Titulaire+entrée ?",IF(ABS(L112-M112)&gt;1,"⚠ vérifier","")))</f>
        <v/>
      </c>
      <c r="G112" s="11" t="str">
        <f>IF(B112="","",IFERROR(INDEX('Effectif Saison'!$D$4:$D$51,MATCH(B112,'Effectif Saison'!$E$4:$E$51,0)),""))</f>
        <v>Équipe 1</v>
      </c>
      <c r="H112" s="19" t="str">
        <f>IF(L112=0,"",IF(E112="Oui",0,IFERROR(_xlfn.MINIFS(Changements!$B:$B,Changements!$A:$A,A112,Changements!$D:$D,B112),"")))</f>
        <v/>
      </c>
      <c r="I112" s="19" t="str">
        <f>IF(M112=0,"",IFERROR(_xlfn.MAXIFS(Changements!$B:$B,Changements!$A:$A,A112,Changements!$C:$C,B112),""))</f>
        <v/>
      </c>
      <c r="J112" s="11" t="str">
        <f t="shared" si="6"/>
        <v/>
      </c>
      <c r="K112" s="17">
        <f t="shared" si="7"/>
        <v>0</v>
      </c>
      <c r="L112" s="17">
        <f>IF(B112="",0,COUNTIFS(Changements!$A:$A,A112,Changements!$D:$D,B112)+IF(E112="Oui",1,0))</f>
        <v>0</v>
      </c>
      <c r="M112" s="17">
        <f>IF(B112="",0,COUNTIFS(Changements!$A:$A,A112,Changements!$C:$C,B112))</f>
        <v>0</v>
      </c>
      <c r="N112" s="17">
        <f>IF(B112="",0,SUMIFS(Changements!$B:$B,Changements!$A:$A,A112,Changements!$D:$D,B112))</f>
        <v>0</v>
      </c>
      <c r="O112" s="17">
        <f>IF(B112="",0,SUMIFS(Changements!$B:$B,Changements!$A:$A,A112,Changements!$C:$C,B112)+IF(L112&gt;M112,IFERROR(INDEX(Matchs!$F$4:$F$31,MATCH(A112,Matchs!$A$4:$A$31,0)),0),0))</f>
        <v>0</v>
      </c>
      <c r="P112" s="17">
        <f t="shared" si="8"/>
        <v>0</v>
      </c>
      <c r="Q112" s="17">
        <f t="shared" si="9"/>
        <v>0</v>
      </c>
    </row>
    <row r="113" spans="1:17" ht="15" customHeight="1" x14ac:dyDescent="0.25">
      <c r="A113" s="11">
        <f t="shared" si="5"/>
        <v>5</v>
      </c>
      <c r="B113" s="11" t="str">
        <f>INDEX('Effectif Saison'!$E$4:$E$22,14)</f>
        <v>Evan SCHMITT</v>
      </c>
      <c r="C113" s="10"/>
      <c r="D113" s="10"/>
      <c r="E113" s="10"/>
      <c r="F113" s="19" t="str">
        <f>IF(B113="","",IF(AND(E113="Oui",COUNTIFS(Changements!$A:$A,A113,Changements!$D:$D,B113)&gt;0),"⚠ Titulaire+entrée ?",IF(ABS(L113-M113)&gt;1,"⚠ vérifier","")))</f>
        <v/>
      </c>
      <c r="G113" s="11" t="str">
        <f>IF(B113="","",IFERROR(INDEX('Effectif Saison'!$D$4:$D$51,MATCH(B113,'Effectif Saison'!$E$4:$E$51,0)),""))</f>
        <v>Équipe 1</v>
      </c>
      <c r="H113" s="19" t="str">
        <f>IF(L113=0,"",IF(E113="Oui",0,IFERROR(_xlfn.MINIFS(Changements!$B:$B,Changements!$A:$A,A113,Changements!$D:$D,B113),"")))</f>
        <v/>
      </c>
      <c r="I113" s="19" t="str">
        <f>IF(M113=0,"",IFERROR(_xlfn.MAXIFS(Changements!$B:$B,Changements!$A:$A,A113,Changements!$C:$C,B113),""))</f>
        <v/>
      </c>
      <c r="J113" s="11" t="str">
        <f t="shared" si="6"/>
        <v/>
      </c>
      <c r="K113" s="17">
        <f t="shared" si="7"/>
        <v>0</v>
      </c>
      <c r="L113" s="17">
        <f>IF(B113="",0,COUNTIFS(Changements!$A:$A,A113,Changements!$D:$D,B113)+IF(E113="Oui",1,0))</f>
        <v>0</v>
      </c>
      <c r="M113" s="17">
        <f>IF(B113="",0,COUNTIFS(Changements!$A:$A,A113,Changements!$C:$C,B113))</f>
        <v>0</v>
      </c>
      <c r="N113" s="17">
        <f>IF(B113="",0,SUMIFS(Changements!$B:$B,Changements!$A:$A,A113,Changements!$D:$D,B113))</f>
        <v>0</v>
      </c>
      <c r="O113" s="17">
        <f>IF(B113="",0,SUMIFS(Changements!$B:$B,Changements!$A:$A,A113,Changements!$C:$C,B113)+IF(L113&gt;M113,IFERROR(INDEX(Matchs!$F$4:$F$31,MATCH(A113,Matchs!$A$4:$A$31,0)),0),0))</f>
        <v>0</v>
      </c>
      <c r="P113" s="17">
        <f t="shared" si="8"/>
        <v>0</v>
      </c>
      <c r="Q113" s="17">
        <f t="shared" si="9"/>
        <v>0</v>
      </c>
    </row>
    <row r="114" spans="1:17" ht="15" customHeight="1" x14ac:dyDescent="0.25">
      <c r="A114" s="11">
        <f t="shared" si="5"/>
        <v>5</v>
      </c>
      <c r="B114" s="11" t="str">
        <f>INDEX('Effectif Saison'!$E$4:$E$22,15)</f>
        <v>William SIMON</v>
      </c>
      <c r="C114" s="10"/>
      <c r="D114" s="10"/>
      <c r="E114" s="10"/>
      <c r="F114" s="19" t="str">
        <f>IF(B114="","",IF(AND(E114="Oui",COUNTIFS(Changements!$A:$A,A114,Changements!$D:$D,B114)&gt;0),"⚠ Titulaire+entrée ?",IF(ABS(L114-M114)&gt;1,"⚠ vérifier","")))</f>
        <v/>
      </c>
      <c r="G114" s="11" t="str">
        <f>IF(B114="","",IFERROR(INDEX('Effectif Saison'!$D$4:$D$51,MATCH(B114,'Effectif Saison'!$E$4:$E$51,0)),""))</f>
        <v>Équipe 1</v>
      </c>
      <c r="H114" s="19" t="str">
        <f>IF(L114=0,"",IF(E114="Oui",0,IFERROR(_xlfn.MINIFS(Changements!$B:$B,Changements!$A:$A,A114,Changements!$D:$D,B114),"")))</f>
        <v/>
      </c>
      <c r="I114" s="19" t="str">
        <f>IF(M114=0,"",IFERROR(_xlfn.MAXIFS(Changements!$B:$B,Changements!$A:$A,A114,Changements!$C:$C,B114),""))</f>
        <v/>
      </c>
      <c r="J114" s="11" t="str">
        <f t="shared" si="6"/>
        <v/>
      </c>
      <c r="K114" s="17">
        <f t="shared" si="7"/>
        <v>0</v>
      </c>
      <c r="L114" s="17">
        <f>IF(B114="",0,COUNTIFS(Changements!$A:$A,A114,Changements!$D:$D,B114)+IF(E114="Oui",1,0))</f>
        <v>0</v>
      </c>
      <c r="M114" s="17">
        <f>IF(B114="",0,COUNTIFS(Changements!$A:$A,A114,Changements!$C:$C,B114))</f>
        <v>0</v>
      </c>
      <c r="N114" s="17">
        <f>IF(B114="",0,SUMIFS(Changements!$B:$B,Changements!$A:$A,A114,Changements!$D:$D,B114))</f>
        <v>0</v>
      </c>
      <c r="O114" s="17">
        <f>IF(B114="",0,SUMIFS(Changements!$B:$B,Changements!$A:$A,A114,Changements!$C:$C,B114)+IF(L114&gt;M114,IFERROR(INDEX(Matchs!$F$4:$F$31,MATCH(A114,Matchs!$A$4:$A$31,0)),0),0))</f>
        <v>0</v>
      </c>
      <c r="P114" s="17">
        <f t="shared" si="8"/>
        <v>0</v>
      </c>
      <c r="Q114" s="17">
        <f t="shared" si="9"/>
        <v>0</v>
      </c>
    </row>
    <row r="115" spans="1:17" ht="15" customHeight="1" x14ac:dyDescent="0.25">
      <c r="A115" s="11">
        <f t="shared" si="5"/>
        <v>5</v>
      </c>
      <c r="B115" s="11" t="str">
        <f>INDEX('Effectif Saison'!$E$4:$E$22,16)</f>
        <v>Lenny LEPPER</v>
      </c>
      <c r="C115" s="10"/>
      <c r="D115" s="10"/>
      <c r="E115" s="10"/>
      <c r="F115" s="19" t="str">
        <f>IF(B115="","",IF(AND(E115="Oui",COUNTIFS(Changements!$A:$A,A115,Changements!$D:$D,B115)&gt;0),"⚠ Titulaire+entrée ?",IF(ABS(L115-M115)&gt;1,"⚠ vérifier","")))</f>
        <v/>
      </c>
      <c r="G115" s="11" t="str">
        <f>IF(B115="","",IFERROR(INDEX('Effectif Saison'!$D$4:$D$51,MATCH(B115,'Effectif Saison'!$E$4:$E$51,0)),""))</f>
        <v>Équipe 1</v>
      </c>
      <c r="H115" s="19" t="str">
        <f>IF(L115=0,"",IF(E115="Oui",0,IFERROR(_xlfn.MINIFS(Changements!$B:$B,Changements!$A:$A,A115,Changements!$D:$D,B115),"")))</f>
        <v/>
      </c>
      <c r="I115" s="19" t="str">
        <f>IF(M115=0,"",IFERROR(_xlfn.MAXIFS(Changements!$B:$B,Changements!$A:$A,A115,Changements!$C:$C,B115),""))</f>
        <v/>
      </c>
      <c r="J115" s="11" t="str">
        <f t="shared" si="6"/>
        <v/>
      </c>
      <c r="K115" s="17">
        <f t="shared" si="7"/>
        <v>0</v>
      </c>
      <c r="L115" s="17">
        <f>IF(B115="",0,COUNTIFS(Changements!$A:$A,A115,Changements!$D:$D,B115)+IF(E115="Oui",1,0))</f>
        <v>0</v>
      </c>
      <c r="M115" s="17">
        <f>IF(B115="",0,COUNTIFS(Changements!$A:$A,A115,Changements!$C:$C,B115))</f>
        <v>0</v>
      </c>
      <c r="N115" s="17">
        <f>IF(B115="",0,SUMIFS(Changements!$B:$B,Changements!$A:$A,A115,Changements!$D:$D,B115))</f>
        <v>0</v>
      </c>
      <c r="O115" s="17">
        <f>IF(B115="",0,SUMIFS(Changements!$B:$B,Changements!$A:$A,A115,Changements!$C:$C,B115)+IF(L115&gt;M115,IFERROR(INDEX(Matchs!$F$4:$F$31,MATCH(A115,Matchs!$A$4:$A$31,0)),0),0))</f>
        <v>0</v>
      </c>
      <c r="P115" s="17">
        <f t="shared" si="8"/>
        <v>0</v>
      </c>
      <c r="Q115" s="17">
        <f t="shared" si="9"/>
        <v>0</v>
      </c>
    </row>
    <row r="116" spans="1:17" ht="15" customHeight="1" x14ac:dyDescent="0.25">
      <c r="A116" s="11">
        <f t="shared" si="5"/>
        <v>5</v>
      </c>
      <c r="B116" s="11" t="str">
        <f>INDEX('Effectif Saison'!$E$4:$E$22,17)</f>
        <v>Malo KELLER</v>
      </c>
      <c r="C116" s="10"/>
      <c r="D116" s="10"/>
      <c r="E116" s="10"/>
      <c r="F116" s="19" t="str">
        <f>IF(B116="","",IF(AND(E116="Oui",COUNTIFS(Changements!$A:$A,A116,Changements!$D:$D,B116)&gt;0),"⚠ Titulaire+entrée ?",IF(ABS(L116-M116)&gt;1,"⚠ vérifier","")))</f>
        <v/>
      </c>
      <c r="G116" s="11" t="str">
        <f>IF(B116="","",IFERROR(INDEX('Effectif Saison'!$D$4:$D$51,MATCH(B116,'Effectif Saison'!$E$4:$E$51,0)),""))</f>
        <v>Équipe 1</v>
      </c>
      <c r="H116" s="19" t="str">
        <f>IF(L116=0,"",IF(E116="Oui",0,IFERROR(_xlfn.MINIFS(Changements!$B:$B,Changements!$A:$A,A116,Changements!$D:$D,B116),"")))</f>
        <v/>
      </c>
      <c r="I116" s="19" t="str">
        <f>IF(M116=0,"",IFERROR(_xlfn.MAXIFS(Changements!$B:$B,Changements!$A:$A,A116,Changements!$C:$C,B116),""))</f>
        <v/>
      </c>
      <c r="J116" s="11" t="str">
        <f t="shared" si="6"/>
        <v/>
      </c>
      <c r="K116" s="17">
        <f t="shared" si="7"/>
        <v>0</v>
      </c>
      <c r="L116" s="17">
        <f>IF(B116="",0,COUNTIFS(Changements!$A:$A,A116,Changements!$D:$D,B116)+IF(E116="Oui",1,0))</f>
        <v>0</v>
      </c>
      <c r="M116" s="17">
        <f>IF(B116="",0,COUNTIFS(Changements!$A:$A,A116,Changements!$C:$C,B116))</f>
        <v>0</v>
      </c>
      <c r="N116" s="17">
        <f>IF(B116="",0,SUMIFS(Changements!$B:$B,Changements!$A:$A,A116,Changements!$D:$D,B116))</f>
        <v>0</v>
      </c>
      <c r="O116" s="17">
        <f>IF(B116="",0,SUMIFS(Changements!$B:$B,Changements!$A:$A,A116,Changements!$C:$C,B116)+IF(L116&gt;M116,IFERROR(INDEX(Matchs!$F$4:$F$31,MATCH(A116,Matchs!$A$4:$A$31,0)),0),0))</f>
        <v>0</v>
      </c>
      <c r="P116" s="17">
        <f t="shared" si="8"/>
        <v>0</v>
      </c>
      <c r="Q116" s="17">
        <f t="shared" si="9"/>
        <v>0</v>
      </c>
    </row>
    <row r="117" spans="1:17" ht="15" customHeight="1" x14ac:dyDescent="0.25">
      <c r="A117" s="11">
        <f t="shared" si="5"/>
        <v>5</v>
      </c>
      <c r="B117" s="11" t="str">
        <f>INDEX('Effectif Saison'!$E$4:$E$22,18)</f>
        <v>Tom SCHILLER</v>
      </c>
      <c r="C117" s="10"/>
      <c r="D117" s="10"/>
      <c r="E117" s="10"/>
      <c r="F117" s="19" t="str">
        <f>IF(B117="","",IF(AND(E117="Oui",COUNTIFS(Changements!$A:$A,A117,Changements!$D:$D,B117)&gt;0),"⚠ Titulaire+entrée ?",IF(ABS(L117-M117)&gt;1,"⚠ vérifier","")))</f>
        <v/>
      </c>
      <c r="G117" s="11" t="str">
        <f>IF(B117="","",IFERROR(INDEX('Effectif Saison'!$D$4:$D$51,MATCH(B117,'Effectif Saison'!$E$4:$E$51,0)),""))</f>
        <v>Équipe 1</v>
      </c>
      <c r="H117" s="19" t="str">
        <f>IF(L117=0,"",IF(E117="Oui",0,IFERROR(_xlfn.MINIFS(Changements!$B:$B,Changements!$A:$A,A117,Changements!$D:$D,B117),"")))</f>
        <v/>
      </c>
      <c r="I117" s="19" t="str">
        <f>IF(M117=0,"",IFERROR(_xlfn.MAXIFS(Changements!$B:$B,Changements!$A:$A,A117,Changements!$C:$C,B117),""))</f>
        <v/>
      </c>
      <c r="J117" s="11" t="str">
        <f t="shared" si="6"/>
        <v/>
      </c>
      <c r="K117" s="17">
        <f t="shared" si="7"/>
        <v>0</v>
      </c>
      <c r="L117" s="17">
        <f>IF(B117="",0,COUNTIFS(Changements!$A:$A,A117,Changements!$D:$D,B117)+IF(E117="Oui",1,0))</f>
        <v>0</v>
      </c>
      <c r="M117" s="17">
        <f>IF(B117="",0,COUNTIFS(Changements!$A:$A,A117,Changements!$C:$C,B117))</f>
        <v>0</v>
      </c>
      <c r="N117" s="17">
        <f>IF(B117="",0,SUMIFS(Changements!$B:$B,Changements!$A:$A,A117,Changements!$D:$D,B117))</f>
        <v>0</v>
      </c>
      <c r="O117" s="17">
        <f>IF(B117="",0,SUMIFS(Changements!$B:$B,Changements!$A:$A,A117,Changements!$C:$C,B117)+IF(L117&gt;M117,IFERROR(INDEX(Matchs!$F$4:$F$31,MATCH(A117,Matchs!$A$4:$A$31,0)),0),0))</f>
        <v>0</v>
      </c>
      <c r="P117" s="17">
        <f t="shared" si="8"/>
        <v>0</v>
      </c>
      <c r="Q117" s="17">
        <f t="shared" si="9"/>
        <v>0</v>
      </c>
    </row>
    <row r="118" spans="1:17" ht="15" customHeight="1" x14ac:dyDescent="0.25">
      <c r="A118" s="11">
        <f t="shared" si="5"/>
        <v>5</v>
      </c>
      <c r="B118" s="11" t="str">
        <f>INDEX('Effectif Saison'!$E$4:$E$22,19)</f>
        <v>Eliot LEIBY</v>
      </c>
      <c r="C118" s="10"/>
      <c r="D118" s="10"/>
      <c r="E118" s="10"/>
      <c r="F118" s="19" t="str">
        <f>IF(B118="","",IF(AND(E118="Oui",COUNTIFS(Changements!$A:$A,A118,Changements!$D:$D,B118)&gt;0),"⚠ Titulaire+entrée ?",IF(ABS(L118-M118)&gt;1,"⚠ vérifier","")))</f>
        <v/>
      </c>
      <c r="G118" s="11" t="str">
        <f>IF(B118="","",IFERROR(INDEX('Effectif Saison'!$D$4:$D$51,MATCH(B118,'Effectif Saison'!$E$4:$E$51,0)),""))</f>
        <v>Équipe 1</v>
      </c>
      <c r="H118" s="19" t="str">
        <f>IF(L118=0,"",IF(E118="Oui",0,IFERROR(_xlfn.MINIFS(Changements!$B:$B,Changements!$A:$A,A118,Changements!$D:$D,B118),"")))</f>
        <v/>
      </c>
      <c r="I118" s="19" t="str">
        <f>IF(M118=0,"",IFERROR(_xlfn.MAXIFS(Changements!$B:$B,Changements!$A:$A,A118,Changements!$C:$C,B118),""))</f>
        <v/>
      </c>
      <c r="J118" s="11" t="str">
        <f t="shared" si="6"/>
        <v/>
      </c>
      <c r="K118" s="17">
        <f t="shared" si="7"/>
        <v>0</v>
      </c>
      <c r="L118" s="17">
        <f>IF(B118="",0,COUNTIFS(Changements!$A:$A,A118,Changements!$D:$D,B118)+IF(E118="Oui",1,0))</f>
        <v>0</v>
      </c>
      <c r="M118" s="17">
        <f>IF(B118="",0,COUNTIFS(Changements!$A:$A,A118,Changements!$C:$C,B118))</f>
        <v>0</v>
      </c>
      <c r="N118" s="17">
        <f>IF(B118="",0,SUMIFS(Changements!$B:$B,Changements!$A:$A,A118,Changements!$D:$D,B118))</f>
        <v>0</v>
      </c>
      <c r="O118" s="17">
        <f>IF(B118="",0,SUMIFS(Changements!$B:$B,Changements!$A:$A,A118,Changements!$C:$C,B118)+IF(L118&gt;M118,IFERROR(INDEX(Matchs!$F$4:$F$31,MATCH(A118,Matchs!$A$4:$A$31,0)),0),0))</f>
        <v>0</v>
      </c>
      <c r="P118" s="17">
        <f t="shared" si="8"/>
        <v>0</v>
      </c>
      <c r="Q118" s="17">
        <f t="shared" si="9"/>
        <v>0</v>
      </c>
    </row>
    <row r="119" spans="1:17" ht="15" customHeight="1" x14ac:dyDescent="0.25">
      <c r="A119" s="11">
        <f t="shared" si="5"/>
        <v>5</v>
      </c>
      <c r="B119" s="10"/>
      <c r="C119" s="10"/>
      <c r="D119" s="10"/>
      <c r="E119" s="10"/>
      <c r="F119" s="19" t="str">
        <f>IF(B119="","",IF(AND(E119="Oui",COUNTIFS(Changements!$A:$A,A119,Changements!$D:$D,B119)&gt;0),"⚠ Titulaire+entrée ?",IF(ABS(L119-M119)&gt;1,"⚠ vérifier","")))</f>
        <v/>
      </c>
      <c r="G119" s="11" t="str">
        <f>IF(B119="","",IFERROR(INDEX('Effectif Saison'!$D$4:$D$51,MATCH(B119,'Effectif Saison'!$E$4:$E$51,0)),""))</f>
        <v/>
      </c>
      <c r="H119" s="19" t="str">
        <f>IF(L119=0,"",IF(E119="Oui",0,IFERROR(_xlfn.MINIFS(Changements!$B:$B,Changements!$A:$A,A119,Changements!$D:$D,B119),"")))</f>
        <v/>
      </c>
      <c r="I119" s="19" t="str">
        <f>IF(M119=0,"",IFERROR(_xlfn.MAXIFS(Changements!$B:$B,Changements!$A:$A,A119,Changements!$C:$C,B119),""))</f>
        <v/>
      </c>
      <c r="J119" s="11" t="str">
        <f t="shared" si="6"/>
        <v/>
      </c>
      <c r="K119" s="17">
        <f t="shared" si="7"/>
        <v>0</v>
      </c>
      <c r="L119" s="17">
        <f>IF(B119="",0,COUNTIFS(Changements!$A:$A,A119,Changements!$D:$D,B119)+IF(E119="Oui",1,0))</f>
        <v>0</v>
      </c>
      <c r="M119" s="17">
        <f>IF(B119="",0,COUNTIFS(Changements!$A:$A,A119,Changements!$C:$C,B119))</f>
        <v>0</v>
      </c>
      <c r="N119" s="17">
        <f>IF(B119="",0,SUMIFS(Changements!$B:$B,Changements!$A:$A,A119,Changements!$D:$D,B119))</f>
        <v>0</v>
      </c>
      <c r="O119" s="17">
        <f>IF(B119="",0,SUMIFS(Changements!$B:$B,Changements!$A:$A,A119,Changements!$C:$C,B119)+IF(L119&gt;M119,IFERROR(INDEX(Matchs!$F$4:$F$31,MATCH(A119,Matchs!$A$4:$A$31,0)),0),0))</f>
        <v>0</v>
      </c>
      <c r="P119" s="17">
        <f t="shared" si="8"/>
        <v>0</v>
      </c>
      <c r="Q119" s="17">
        <f t="shared" si="9"/>
        <v>0</v>
      </c>
    </row>
    <row r="120" spans="1:17" ht="15" customHeight="1" x14ac:dyDescent="0.25">
      <c r="A120" s="11">
        <f t="shared" si="5"/>
        <v>5</v>
      </c>
      <c r="B120" s="10"/>
      <c r="C120" s="10"/>
      <c r="D120" s="10"/>
      <c r="E120" s="10"/>
      <c r="F120" s="19" t="str">
        <f>IF(B120="","",IF(AND(E120="Oui",COUNTIFS(Changements!$A:$A,A120,Changements!$D:$D,B120)&gt;0),"⚠ Titulaire+entrée ?",IF(ABS(L120-M120)&gt;1,"⚠ vérifier","")))</f>
        <v/>
      </c>
      <c r="G120" s="11" t="str">
        <f>IF(B120="","",IFERROR(INDEX('Effectif Saison'!$D$4:$D$51,MATCH(B120,'Effectif Saison'!$E$4:$E$51,0)),""))</f>
        <v/>
      </c>
      <c r="H120" s="19" t="str">
        <f>IF(L120=0,"",IF(E120="Oui",0,IFERROR(_xlfn.MINIFS(Changements!$B:$B,Changements!$A:$A,A120,Changements!$D:$D,B120),"")))</f>
        <v/>
      </c>
      <c r="I120" s="19" t="str">
        <f>IF(M120=0,"",IFERROR(_xlfn.MAXIFS(Changements!$B:$B,Changements!$A:$A,A120,Changements!$C:$C,B120),""))</f>
        <v/>
      </c>
      <c r="J120" s="11" t="str">
        <f t="shared" si="6"/>
        <v/>
      </c>
      <c r="K120" s="17">
        <f t="shared" si="7"/>
        <v>0</v>
      </c>
      <c r="L120" s="17">
        <f>IF(B120="",0,COUNTIFS(Changements!$A:$A,A120,Changements!$D:$D,B120)+IF(E120="Oui",1,0))</f>
        <v>0</v>
      </c>
      <c r="M120" s="17">
        <f>IF(B120="",0,COUNTIFS(Changements!$A:$A,A120,Changements!$C:$C,B120))</f>
        <v>0</v>
      </c>
      <c r="N120" s="17">
        <f>IF(B120="",0,SUMIFS(Changements!$B:$B,Changements!$A:$A,A120,Changements!$D:$D,B120))</f>
        <v>0</v>
      </c>
      <c r="O120" s="17">
        <f>IF(B120="",0,SUMIFS(Changements!$B:$B,Changements!$A:$A,A120,Changements!$C:$C,B120)+IF(L120&gt;M120,IFERROR(INDEX(Matchs!$F$4:$F$31,MATCH(A120,Matchs!$A$4:$A$31,0)),0),0))</f>
        <v>0</v>
      </c>
      <c r="P120" s="17">
        <f t="shared" si="8"/>
        <v>0</v>
      </c>
      <c r="Q120" s="17">
        <f t="shared" si="9"/>
        <v>0</v>
      </c>
    </row>
    <row r="121" spans="1:17" ht="15" customHeight="1" x14ac:dyDescent="0.25">
      <c r="A121" s="11">
        <f t="shared" si="5"/>
        <v>5</v>
      </c>
      <c r="B121" s="10"/>
      <c r="C121" s="10"/>
      <c r="D121" s="10"/>
      <c r="E121" s="10"/>
      <c r="F121" s="19" t="str">
        <f>IF(B121="","",IF(AND(E121="Oui",COUNTIFS(Changements!$A:$A,A121,Changements!$D:$D,B121)&gt;0),"⚠ Titulaire+entrée ?",IF(ABS(L121-M121)&gt;1,"⚠ vérifier","")))</f>
        <v/>
      </c>
      <c r="G121" s="11" t="str">
        <f>IF(B121="","",IFERROR(INDEX('Effectif Saison'!$D$4:$D$51,MATCH(B121,'Effectif Saison'!$E$4:$E$51,0)),""))</f>
        <v/>
      </c>
      <c r="H121" s="19" t="str">
        <f>IF(L121=0,"",IF(E121="Oui",0,IFERROR(_xlfn.MINIFS(Changements!$B:$B,Changements!$A:$A,A121,Changements!$D:$D,B121),"")))</f>
        <v/>
      </c>
      <c r="I121" s="19" t="str">
        <f>IF(M121=0,"",IFERROR(_xlfn.MAXIFS(Changements!$B:$B,Changements!$A:$A,A121,Changements!$C:$C,B121),""))</f>
        <v/>
      </c>
      <c r="J121" s="11" t="str">
        <f t="shared" si="6"/>
        <v/>
      </c>
      <c r="K121" s="17">
        <f t="shared" si="7"/>
        <v>0</v>
      </c>
      <c r="L121" s="17">
        <f>IF(B121="",0,COUNTIFS(Changements!$A:$A,A121,Changements!$D:$D,B121)+IF(E121="Oui",1,0))</f>
        <v>0</v>
      </c>
      <c r="M121" s="17">
        <f>IF(B121="",0,COUNTIFS(Changements!$A:$A,A121,Changements!$C:$C,B121))</f>
        <v>0</v>
      </c>
      <c r="N121" s="17">
        <f>IF(B121="",0,SUMIFS(Changements!$B:$B,Changements!$A:$A,A121,Changements!$D:$D,B121))</f>
        <v>0</v>
      </c>
      <c r="O121" s="17">
        <f>IF(B121="",0,SUMIFS(Changements!$B:$B,Changements!$A:$A,A121,Changements!$C:$C,B121)+IF(L121&gt;M121,IFERROR(INDEX(Matchs!$F$4:$F$31,MATCH(A121,Matchs!$A$4:$A$31,0)),0),0))</f>
        <v>0</v>
      </c>
      <c r="P121" s="17">
        <f t="shared" si="8"/>
        <v>0</v>
      </c>
      <c r="Q121" s="17">
        <f t="shared" si="9"/>
        <v>0</v>
      </c>
    </row>
    <row r="122" spans="1:17" ht="15" customHeight="1" x14ac:dyDescent="0.25">
      <c r="A122" s="11">
        <f t="shared" si="5"/>
        <v>5</v>
      </c>
      <c r="B122" s="10"/>
      <c r="C122" s="10"/>
      <c r="D122" s="10"/>
      <c r="E122" s="10"/>
      <c r="F122" s="19" t="str">
        <f>IF(B122="","",IF(AND(E122="Oui",COUNTIFS(Changements!$A:$A,A122,Changements!$D:$D,B122)&gt;0),"⚠ Titulaire+entrée ?",IF(ABS(L122-M122)&gt;1,"⚠ vérifier","")))</f>
        <v/>
      </c>
      <c r="G122" s="11" t="str">
        <f>IF(B122="","",IFERROR(INDEX('Effectif Saison'!$D$4:$D$51,MATCH(B122,'Effectif Saison'!$E$4:$E$51,0)),""))</f>
        <v/>
      </c>
      <c r="H122" s="19" t="str">
        <f>IF(L122=0,"",IF(E122="Oui",0,IFERROR(_xlfn.MINIFS(Changements!$B:$B,Changements!$A:$A,A122,Changements!$D:$D,B122),"")))</f>
        <v/>
      </c>
      <c r="I122" s="19" t="str">
        <f>IF(M122=0,"",IFERROR(_xlfn.MAXIFS(Changements!$B:$B,Changements!$A:$A,A122,Changements!$C:$C,B122),""))</f>
        <v/>
      </c>
      <c r="J122" s="11" t="str">
        <f t="shared" si="6"/>
        <v/>
      </c>
      <c r="K122" s="17">
        <f t="shared" si="7"/>
        <v>0</v>
      </c>
      <c r="L122" s="17">
        <f>IF(B122="",0,COUNTIFS(Changements!$A:$A,A122,Changements!$D:$D,B122)+IF(E122="Oui",1,0))</f>
        <v>0</v>
      </c>
      <c r="M122" s="17">
        <f>IF(B122="",0,COUNTIFS(Changements!$A:$A,A122,Changements!$C:$C,B122))</f>
        <v>0</v>
      </c>
      <c r="N122" s="17">
        <f>IF(B122="",0,SUMIFS(Changements!$B:$B,Changements!$A:$A,A122,Changements!$D:$D,B122))</f>
        <v>0</v>
      </c>
      <c r="O122" s="17">
        <f>IF(B122="",0,SUMIFS(Changements!$B:$B,Changements!$A:$A,A122,Changements!$C:$C,B122)+IF(L122&gt;M122,IFERROR(INDEX(Matchs!$F$4:$F$31,MATCH(A122,Matchs!$A$4:$A$31,0)),0),0))</f>
        <v>0</v>
      </c>
      <c r="P122" s="17">
        <f t="shared" si="8"/>
        <v>0</v>
      </c>
      <c r="Q122" s="17">
        <f t="shared" si="9"/>
        <v>0</v>
      </c>
    </row>
    <row r="123" spans="1:17" ht="15" customHeight="1" x14ac:dyDescent="0.25">
      <c r="A123" s="11">
        <f t="shared" si="5"/>
        <v>5</v>
      </c>
      <c r="B123" s="10"/>
      <c r="C123" s="10"/>
      <c r="D123" s="10"/>
      <c r="E123" s="10"/>
      <c r="F123" s="19" t="str">
        <f>IF(B123="","",IF(AND(E123="Oui",COUNTIFS(Changements!$A:$A,A123,Changements!$D:$D,B123)&gt;0),"⚠ Titulaire+entrée ?",IF(ABS(L123-M123)&gt;1,"⚠ vérifier","")))</f>
        <v/>
      </c>
      <c r="G123" s="11" t="str">
        <f>IF(B123="","",IFERROR(INDEX('Effectif Saison'!$D$4:$D$51,MATCH(B123,'Effectif Saison'!$E$4:$E$51,0)),""))</f>
        <v/>
      </c>
      <c r="H123" s="19" t="str">
        <f>IF(L123=0,"",IF(E123="Oui",0,IFERROR(_xlfn.MINIFS(Changements!$B:$B,Changements!$A:$A,A123,Changements!$D:$D,B123),"")))</f>
        <v/>
      </c>
      <c r="I123" s="19" t="str">
        <f>IF(M123=0,"",IFERROR(_xlfn.MAXIFS(Changements!$B:$B,Changements!$A:$A,A123,Changements!$C:$C,B123),""))</f>
        <v/>
      </c>
      <c r="J123" s="11" t="str">
        <f t="shared" si="6"/>
        <v/>
      </c>
      <c r="K123" s="17">
        <f t="shared" si="7"/>
        <v>0</v>
      </c>
      <c r="L123" s="17">
        <f>IF(B123="",0,COUNTIFS(Changements!$A:$A,A123,Changements!$D:$D,B123)+IF(E123="Oui",1,0))</f>
        <v>0</v>
      </c>
      <c r="M123" s="17">
        <f>IF(B123="",0,COUNTIFS(Changements!$A:$A,A123,Changements!$C:$C,B123))</f>
        <v>0</v>
      </c>
      <c r="N123" s="17">
        <f>IF(B123="",0,SUMIFS(Changements!$B:$B,Changements!$A:$A,A123,Changements!$D:$D,B123))</f>
        <v>0</v>
      </c>
      <c r="O123" s="17">
        <f>IF(B123="",0,SUMIFS(Changements!$B:$B,Changements!$A:$A,A123,Changements!$C:$C,B123)+IF(L123&gt;M123,IFERROR(INDEX(Matchs!$F$4:$F$31,MATCH(A123,Matchs!$A$4:$A$31,0)),0),0))</f>
        <v>0</v>
      </c>
      <c r="P123" s="17">
        <f t="shared" si="8"/>
        <v>0</v>
      </c>
      <c r="Q123" s="17">
        <f t="shared" si="9"/>
        <v>0</v>
      </c>
    </row>
    <row r="124" spans="1:17" ht="15" customHeight="1" x14ac:dyDescent="0.25">
      <c r="A124" s="11">
        <f t="shared" si="5"/>
        <v>6</v>
      </c>
      <c r="B124" s="11" t="str">
        <f>INDEX('Effectif Saison'!$E$4:$E$22,1)</f>
        <v>Alan MICHON</v>
      </c>
      <c r="C124" s="10"/>
      <c r="D124" s="10"/>
      <c r="E124" s="10"/>
      <c r="F124" s="19" t="str">
        <f>IF(B124="","",IF(AND(E124="Oui",COUNTIFS(Changements!$A:$A,A124,Changements!$D:$D,B124)&gt;0),"⚠ Titulaire+entrée ?",IF(ABS(L124-M124)&gt;1,"⚠ vérifier","")))</f>
        <v/>
      </c>
      <c r="G124" s="11" t="str">
        <f>IF(B124="","",IFERROR(INDEX('Effectif Saison'!$D$4:$D$51,MATCH(B124,'Effectif Saison'!$E$4:$E$51,0)),""))</f>
        <v>Équipe 1</v>
      </c>
      <c r="H124" s="19" t="str">
        <f>IF(L124=0,"",IF(E124="Oui",0,IFERROR(_xlfn.MINIFS(Changements!$B:$B,Changements!$A:$A,A124,Changements!$D:$D,B124),"")))</f>
        <v/>
      </c>
      <c r="I124" s="19" t="str">
        <f>IF(M124=0,"",IFERROR(_xlfn.MAXIFS(Changements!$B:$B,Changements!$A:$A,A124,Changements!$C:$C,B124),""))</f>
        <v/>
      </c>
      <c r="J124" s="11" t="str">
        <f t="shared" si="6"/>
        <v/>
      </c>
      <c r="K124" s="17">
        <f t="shared" si="7"/>
        <v>0</v>
      </c>
      <c r="L124" s="17">
        <f>IF(B124="",0,COUNTIFS(Changements!$A:$A,A124,Changements!$D:$D,B124)+IF(E124="Oui",1,0))</f>
        <v>0</v>
      </c>
      <c r="M124" s="17">
        <f>IF(B124="",0,COUNTIFS(Changements!$A:$A,A124,Changements!$C:$C,B124))</f>
        <v>0</v>
      </c>
      <c r="N124" s="17">
        <f>IF(B124="",0,SUMIFS(Changements!$B:$B,Changements!$A:$A,A124,Changements!$D:$D,B124))</f>
        <v>0</v>
      </c>
      <c r="O124" s="17">
        <f>IF(B124="",0,SUMIFS(Changements!$B:$B,Changements!$A:$A,A124,Changements!$C:$C,B124)+IF(L124&gt;M124,IFERROR(INDEX(Matchs!$F$4:$F$31,MATCH(A124,Matchs!$A$4:$A$31,0)),0),0))</f>
        <v>0</v>
      </c>
      <c r="P124" s="17">
        <f t="shared" si="8"/>
        <v>0</v>
      </c>
      <c r="Q124" s="17">
        <f t="shared" si="9"/>
        <v>0</v>
      </c>
    </row>
    <row r="125" spans="1:17" ht="15" customHeight="1" x14ac:dyDescent="0.25">
      <c r="A125" s="11">
        <f t="shared" si="5"/>
        <v>6</v>
      </c>
      <c r="B125" s="11" t="str">
        <f>INDEX('Effectif Saison'!$E$4:$E$22,2)</f>
        <v>Jean BRUNTZ</v>
      </c>
      <c r="C125" s="10"/>
      <c r="D125" s="10"/>
      <c r="E125" s="10"/>
      <c r="F125" s="19" t="str">
        <f>IF(B125="","",IF(AND(E125="Oui",COUNTIFS(Changements!$A:$A,A125,Changements!$D:$D,B125)&gt;0),"⚠ Titulaire+entrée ?",IF(ABS(L125-M125)&gt;1,"⚠ vérifier","")))</f>
        <v/>
      </c>
      <c r="G125" s="11" t="str">
        <f>IF(B125="","",IFERROR(INDEX('Effectif Saison'!$D$4:$D$51,MATCH(B125,'Effectif Saison'!$E$4:$E$51,0)),""))</f>
        <v>Équipe 1</v>
      </c>
      <c r="H125" s="19" t="str">
        <f>IF(L125=0,"",IF(E125="Oui",0,IFERROR(_xlfn.MINIFS(Changements!$B:$B,Changements!$A:$A,A125,Changements!$D:$D,B125),"")))</f>
        <v/>
      </c>
      <c r="I125" s="19" t="str">
        <f>IF(M125=0,"",IFERROR(_xlfn.MAXIFS(Changements!$B:$B,Changements!$A:$A,A125,Changements!$C:$C,B125),""))</f>
        <v/>
      </c>
      <c r="J125" s="11" t="str">
        <f t="shared" si="6"/>
        <v/>
      </c>
      <c r="K125" s="17">
        <f t="shared" si="7"/>
        <v>0</v>
      </c>
      <c r="L125" s="17">
        <f>IF(B125="",0,COUNTIFS(Changements!$A:$A,A125,Changements!$D:$D,B125)+IF(E125="Oui",1,0))</f>
        <v>0</v>
      </c>
      <c r="M125" s="17">
        <f>IF(B125="",0,COUNTIFS(Changements!$A:$A,A125,Changements!$C:$C,B125))</f>
        <v>0</v>
      </c>
      <c r="N125" s="17">
        <f>IF(B125="",0,SUMIFS(Changements!$B:$B,Changements!$A:$A,A125,Changements!$D:$D,B125))</f>
        <v>0</v>
      </c>
      <c r="O125" s="17">
        <f>IF(B125="",0,SUMIFS(Changements!$B:$B,Changements!$A:$A,A125,Changements!$C:$C,B125)+IF(L125&gt;M125,IFERROR(INDEX(Matchs!$F$4:$F$31,MATCH(A125,Matchs!$A$4:$A$31,0)),0),0))</f>
        <v>0</v>
      </c>
      <c r="P125" s="17">
        <f t="shared" si="8"/>
        <v>0</v>
      </c>
      <c r="Q125" s="17">
        <f t="shared" si="9"/>
        <v>0</v>
      </c>
    </row>
    <row r="126" spans="1:17" ht="15" customHeight="1" x14ac:dyDescent="0.25">
      <c r="A126" s="11">
        <f t="shared" si="5"/>
        <v>6</v>
      </c>
      <c r="B126" s="11" t="str">
        <f>INDEX('Effectif Saison'!$E$4:$E$22,3)</f>
        <v>Marouane SBK</v>
      </c>
      <c r="C126" s="10"/>
      <c r="D126" s="10"/>
      <c r="E126" s="10"/>
      <c r="F126" s="19" t="str">
        <f>IF(B126="","",IF(AND(E126="Oui",COUNTIFS(Changements!$A:$A,A126,Changements!$D:$D,B126)&gt;0),"⚠ Titulaire+entrée ?",IF(ABS(L126-M126)&gt;1,"⚠ vérifier","")))</f>
        <v/>
      </c>
      <c r="G126" s="11" t="str">
        <f>IF(B126="","",IFERROR(INDEX('Effectif Saison'!$D$4:$D$51,MATCH(B126,'Effectif Saison'!$E$4:$E$51,0)),""))</f>
        <v>Équipe 1</v>
      </c>
      <c r="H126" s="19" t="str">
        <f>IF(L126=0,"",IF(E126="Oui",0,IFERROR(_xlfn.MINIFS(Changements!$B:$B,Changements!$A:$A,A126,Changements!$D:$D,B126),"")))</f>
        <v/>
      </c>
      <c r="I126" s="19" t="str">
        <f>IF(M126=0,"",IFERROR(_xlfn.MAXIFS(Changements!$B:$B,Changements!$A:$A,A126,Changements!$C:$C,B126),""))</f>
        <v/>
      </c>
      <c r="J126" s="11" t="str">
        <f t="shared" si="6"/>
        <v/>
      </c>
      <c r="K126" s="17">
        <f t="shared" si="7"/>
        <v>0</v>
      </c>
      <c r="L126" s="17">
        <f>IF(B126="",0,COUNTIFS(Changements!$A:$A,A126,Changements!$D:$D,B126)+IF(E126="Oui",1,0))</f>
        <v>0</v>
      </c>
      <c r="M126" s="17">
        <f>IF(B126="",0,COUNTIFS(Changements!$A:$A,A126,Changements!$C:$C,B126))</f>
        <v>0</v>
      </c>
      <c r="N126" s="17">
        <f>IF(B126="",0,SUMIFS(Changements!$B:$B,Changements!$A:$A,A126,Changements!$D:$D,B126))</f>
        <v>0</v>
      </c>
      <c r="O126" s="17">
        <f>IF(B126="",0,SUMIFS(Changements!$B:$B,Changements!$A:$A,A126,Changements!$C:$C,B126)+IF(L126&gt;M126,IFERROR(INDEX(Matchs!$F$4:$F$31,MATCH(A126,Matchs!$A$4:$A$31,0)),0),0))</f>
        <v>0</v>
      </c>
      <c r="P126" s="17">
        <f t="shared" si="8"/>
        <v>0</v>
      </c>
      <c r="Q126" s="17">
        <f t="shared" si="9"/>
        <v>0</v>
      </c>
    </row>
    <row r="127" spans="1:17" ht="15" customHeight="1" x14ac:dyDescent="0.25">
      <c r="A127" s="11">
        <f t="shared" si="5"/>
        <v>6</v>
      </c>
      <c r="B127" s="11" t="str">
        <f>INDEX('Effectif Saison'!$E$4:$E$22,4)</f>
        <v>Noé BIHL</v>
      </c>
      <c r="C127" s="10"/>
      <c r="D127" s="10"/>
      <c r="E127" s="10"/>
      <c r="F127" s="19" t="str">
        <f>IF(B127="","",IF(AND(E127="Oui",COUNTIFS(Changements!$A:$A,A127,Changements!$D:$D,B127)&gt;0),"⚠ Titulaire+entrée ?",IF(ABS(L127-M127)&gt;1,"⚠ vérifier","")))</f>
        <v/>
      </c>
      <c r="G127" s="11" t="str">
        <f>IF(B127="","",IFERROR(INDEX('Effectif Saison'!$D$4:$D$51,MATCH(B127,'Effectif Saison'!$E$4:$E$51,0)),""))</f>
        <v>Équipe 1</v>
      </c>
      <c r="H127" s="19" t="str">
        <f>IF(L127=0,"",IF(E127="Oui",0,IFERROR(_xlfn.MINIFS(Changements!$B:$B,Changements!$A:$A,A127,Changements!$D:$D,B127),"")))</f>
        <v/>
      </c>
      <c r="I127" s="19" t="str">
        <f>IF(M127=0,"",IFERROR(_xlfn.MAXIFS(Changements!$B:$B,Changements!$A:$A,A127,Changements!$C:$C,B127),""))</f>
        <v/>
      </c>
      <c r="J127" s="11" t="str">
        <f t="shared" si="6"/>
        <v/>
      </c>
      <c r="K127" s="17">
        <f t="shared" si="7"/>
        <v>0</v>
      </c>
      <c r="L127" s="17">
        <f>IF(B127="",0,COUNTIFS(Changements!$A:$A,A127,Changements!$D:$D,B127)+IF(E127="Oui",1,0))</f>
        <v>0</v>
      </c>
      <c r="M127" s="17">
        <f>IF(B127="",0,COUNTIFS(Changements!$A:$A,A127,Changements!$C:$C,B127))</f>
        <v>0</v>
      </c>
      <c r="N127" s="17">
        <f>IF(B127="",0,SUMIFS(Changements!$B:$B,Changements!$A:$A,A127,Changements!$D:$D,B127))</f>
        <v>0</v>
      </c>
      <c r="O127" s="17">
        <f>IF(B127="",0,SUMIFS(Changements!$B:$B,Changements!$A:$A,A127,Changements!$C:$C,B127)+IF(L127&gt;M127,IFERROR(INDEX(Matchs!$F$4:$F$31,MATCH(A127,Matchs!$A$4:$A$31,0)),0),0))</f>
        <v>0</v>
      </c>
      <c r="P127" s="17">
        <f t="shared" si="8"/>
        <v>0</v>
      </c>
      <c r="Q127" s="17">
        <f t="shared" si="9"/>
        <v>0</v>
      </c>
    </row>
    <row r="128" spans="1:17" ht="15" customHeight="1" x14ac:dyDescent="0.25">
      <c r="A128" s="11">
        <f t="shared" si="5"/>
        <v>6</v>
      </c>
      <c r="B128" s="11" t="str">
        <f>INDEX('Effectif Saison'!$E$4:$E$22,5)</f>
        <v>Luca COLAIANNI</v>
      </c>
      <c r="C128" s="10"/>
      <c r="D128" s="10"/>
      <c r="E128" s="10"/>
      <c r="F128" s="19" t="str">
        <f>IF(B128="","",IF(AND(E128="Oui",COUNTIFS(Changements!$A:$A,A128,Changements!$D:$D,B128)&gt;0),"⚠ Titulaire+entrée ?",IF(ABS(L128-M128)&gt;1,"⚠ vérifier","")))</f>
        <v/>
      </c>
      <c r="G128" s="11" t="str">
        <f>IF(B128="","",IFERROR(INDEX('Effectif Saison'!$D$4:$D$51,MATCH(B128,'Effectif Saison'!$E$4:$E$51,0)),""))</f>
        <v>Équipe 1</v>
      </c>
      <c r="H128" s="19" t="str">
        <f>IF(L128=0,"",IF(E128="Oui",0,IFERROR(_xlfn.MINIFS(Changements!$B:$B,Changements!$A:$A,A128,Changements!$D:$D,B128),"")))</f>
        <v/>
      </c>
      <c r="I128" s="19" t="str">
        <f>IF(M128=0,"",IFERROR(_xlfn.MAXIFS(Changements!$B:$B,Changements!$A:$A,A128,Changements!$C:$C,B128),""))</f>
        <v/>
      </c>
      <c r="J128" s="11" t="str">
        <f t="shared" si="6"/>
        <v/>
      </c>
      <c r="K128" s="17">
        <f t="shared" si="7"/>
        <v>0</v>
      </c>
      <c r="L128" s="17">
        <f>IF(B128="",0,COUNTIFS(Changements!$A:$A,A128,Changements!$D:$D,B128)+IF(E128="Oui",1,0))</f>
        <v>0</v>
      </c>
      <c r="M128" s="17">
        <f>IF(B128="",0,COUNTIFS(Changements!$A:$A,A128,Changements!$C:$C,B128))</f>
        <v>0</v>
      </c>
      <c r="N128" s="17">
        <f>IF(B128="",0,SUMIFS(Changements!$B:$B,Changements!$A:$A,A128,Changements!$D:$D,B128))</f>
        <v>0</v>
      </c>
      <c r="O128" s="17">
        <f>IF(B128="",0,SUMIFS(Changements!$B:$B,Changements!$A:$A,A128,Changements!$C:$C,B128)+IF(L128&gt;M128,IFERROR(INDEX(Matchs!$F$4:$F$31,MATCH(A128,Matchs!$A$4:$A$31,0)),0),0))</f>
        <v>0</v>
      </c>
      <c r="P128" s="17">
        <f t="shared" si="8"/>
        <v>0</v>
      </c>
      <c r="Q128" s="17">
        <f t="shared" si="9"/>
        <v>0</v>
      </c>
    </row>
    <row r="129" spans="1:17" ht="15" customHeight="1" x14ac:dyDescent="0.25">
      <c r="A129" s="11">
        <f t="shared" si="5"/>
        <v>6</v>
      </c>
      <c r="B129" s="11" t="str">
        <f>INDEX('Effectif Saison'!$E$4:$E$22,6)</f>
        <v>Atilla ER</v>
      </c>
      <c r="C129" s="10"/>
      <c r="D129" s="10"/>
      <c r="E129" s="10"/>
      <c r="F129" s="19" t="str">
        <f>IF(B129="","",IF(AND(E129="Oui",COUNTIFS(Changements!$A:$A,A129,Changements!$D:$D,B129)&gt;0),"⚠ Titulaire+entrée ?",IF(ABS(L129-M129)&gt;1,"⚠ vérifier","")))</f>
        <v/>
      </c>
      <c r="G129" s="11" t="str">
        <f>IF(B129="","",IFERROR(INDEX('Effectif Saison'!$D$4:$D$51,MATCH(B129,'Effectif Saison'!$E$4:$E$51,0)),""))</f>
        <v>Équipe 1</v>
      </c>
      <c r="H129" s="19" t="str">
        <f>IF(L129=0,"",IF(E129="Oui",0,IFERROR(_xlfn.MINIFS(Changements!$B:$B,Changements!$A:$A,A129,Changements!$D:$D,B129),"")))</f>
        <v/>
      </c>
      <c r="I129" s="19" t="str">
        <f>IF(M129=0,"",IFERROR(_xlfn.MAXIFS(Changements!$B:$B,Changements!$A:$A,A129,Changements!$C:$C,B129),""))</f>
        <v/>
      </c>
      <c r="J129" s="11" t="str">
        <f t="shared" si="6"/>
        <v/>
      </c>
      <c r="K129" s="17">
        <f t="shared" si="7"/>
        <v>0</v>
      </c>
      <c r="L129" s="17">
        <f>IF(B129="",0,COUNTIFS(Changements!$A:$A,A129,Changements!$D:$D,B129)+IF(E129="Oui",1,0))</f>
        <v>0</v>
      </c>
      <c r="M129" s="17">
        <f>IF(B129="",0,COUNTIFS(Changements!$A:$A,A129,Changements!$C:$C,B129))</f>
        <v>0</v>
      </c>
      <c r="N129" s="17">
        <f>IF(B129="",0,SUMIFS(Changements!$B:$B,Changements!$A:$A,A129,Changements!$D:$D,B129))</f>
        <v>0</v>
      </c>
      <c r="O129" s="17">
        <f>IF(B129="",0,SUMIFS(Changements!$B:$B,Changements!$A:$A,A129,Changements!$C:$C,B129)+IF(L129&gt;M129,IFERROR(INDEX(Matchs!$F$4:$F$31,MATCH(A129,Matchs!$A$4:$A$31,0)),0),0))</f>
        <v>0</v>
      </c>
      <c r="P129" s="17">
        <f t="shared" si="8"/>
        <v>0</v>
      </c>
      <c r="Q129" s="17">
        <f t="shared" si="9"/>
        <v>0</v>
      </c>
    </row>
    <row r="130" spans="1:17" ht="15" customHeight="1" x14ac:dyDescent="0.25">
      <c r="A130" s="11">
        <f t="shared" si="5"/>
        <v>6</v>
      </c>
      <c r="B130" s="11" t="str">
        <f>INDEX('Effectif Saison'!$E$4:$E$22,7)</f>
        <v>Lucas BUHR</v>
      </c>
      <c r="C130" s="10"/>
      <c r="D130" s="10"/>
      <c r="E130" s="10"/>
      <c r="F130" s="19" t="str">
        <f>IF(B130="","",IF(AND(E130="Oui",COUNTIFS(Changements!$A:$A,A130,Changements!$D:$D,B130)&gt;0),"⚠ Titulaire+entrée ?",IF(ABS(L130-M130)&gt;1,"⚠ vérifier","")))</f>
        <v/>
      </c>
      <c r="G130" s="11" t="str">
        <f>IF(B130="","",IFERROR(INDEX('Effectif Saison'!$D$4:$D$51,MATCH(B130,'Effectif Saison'!$E$4:$E$51,0)),""))</f>
        <v>Équipe 1</v>
      </c>
      <c r="H130" s="19" t="str">
        <f>IF(L130=0,"",IF(E130="Oui",0,IFERROR(_xlfn.MINIFS(Changements!$B:$B,Changements!$A:$A,A130,Changements!$D:$D,B130),"")))</f>
        <v/>
      </c>
      <c r="I130" s="19" t="str">
        <f>IF(M130=0,"",IFERROR(_xlfn.MAXIFS(Changements!$B:$B,Changements!$A:$A,A130,Changements!$C:$C,B130),""))</f>
        <v/>
      </c>
      <c r="J130" s="11" t="str">
        <f t="shared" si="6"/>
        <v/>
      </c>
      <c r="K130" s="17">
        <f t="shared" si="7"/>
        <v>0</v>
      </c>
      <c r="L130" s="17">
        <f>IF(B130="",0,COUNTIFS(Changements!$A:$A,A130,Changements!$D:$D,B130)+IF(E130="Oui",1,0))</f>
        <v>0</v>
      </c>
      <c r="M130" s="17">
        <f>IF(B130="",0,COUNTIFS(Changements!$A:$A,A130,Changements!$C:$C,B130))</f>
        <v>0</v>
      </c>
      <c r="N130" s="17">
        <f>IF(B130="",0,SUMIFS(Changements!$B:$B,Changements!$A:$A,A130,Changements!$D:$D,B130))</f>
        <v>0</v>
      </c>
      <c r="O130" s="17">
        <f>IF(B130="",0,SUMIFS(Changements!$B:$B,Changements!$A:$A,A130,Changements!$C:$C,B130)+IF(L130&gt;M130,IFERROR(INDEX(Matchs!$F$4:$F$31,MATCH(A130,Matchs!$A$4:$A$31,0)),0),0))</f>
        <v>0</v>
      </c>
      <c r="P130" s="17">
        <f t="shared" si="8"/>
        <v>0</v>
      </c>
      <c r="Q130" s="17">
        <f t="shared" si="9"/>
        <v>0</v>
      </c>
    </row>
    <row r="131" spans="1:17" ht="15" customHeight="1" x14ac:dyDescent="0.25">
      <c r="A131" s="11">
        <f t="shared" si="5"/>
        <v>6</v>
      </c>
      <c r="B131" s="11" t="str">
        <f>INDEX('Effectif Saison'!$E$4:$E$22,8)</f>
        <v>Yanis HOUX</v>
      </c>
      <c r="C131" s="10"/>
      <c r="D131" s="10"/>
      <c r="E131" s="10"/>
      <c r="F131" s="19" t="str">
        <f>IF(B131="","",IF(AND(E131="Oui",COUNTIFS(Changements!$A:$A,A131,Changements!$D:$D,B131)&gt;0),"⚠ Titulaire+entrée ?",IF(ABS(L131-M131)&gt;1,"⚠ vérifier","")))</f>
        <v/>
      </c>
      <c r="G131" s="11" t="str">
        <f>IF(B131="","",IFERROR(INDEX('Effectif Saison'!$D$4:$D$51,MATCH(B131,'Effectif Saison'!$E$4:$E$51,0)),""))</f>
        <v>Équipe 1</v>
      </c>
      <c r="H131" s="19" t="str">
        <f>IF(L131=0,"",IF(E131="Oui",0,IFERROR(_xlfn.MINIFS(Changements!$B:$B,Changements!$A:$A,A131,Changements!$D:$D,B131),"")))</f>
        <v/>
      </c>
      <c r="I131" s="19" t="str">
        <f>IF(M131=0,"",IFERROR(_xlfn.MAXIFS(Changements!$B:$B,Changements!$A:$A,A131,Changements!$C:$C,B131),""))</f>
        <v/>
      </c>
      <c r="J131" s="11" t="str">
        <f t="shared" si="6"/>
        <v/>
      </c>
      <c r="K131" s="17">
        <f t="shared" si="7"/>
        <v>0</v>
      </c>
      <c r="L131" s="17">
        <f>IF(B131="",0,COUNTIFS(Changements!$A:$A,A131,Changements!$D:$D,B131)+IF(E131="Oui",1,0))</f>
        <v>0</v>
      </c>
      <c r="M131" s="17">
        <f>IF(B131="",0,COUNTIFS(Changements!$A:$A,A131,Changements!$C:$C,B131))</f>
        <v>0</v>
      </c>
      <c r="N131" s="17">
        <f>IF(B131="",0,SUMIFS(Changements!$B:$B,Changements!$A:$A,A131,Changements!$D:$D,B131))</f>
        <v>0</v>
      </c>
      <c r="O131" s="17">
        <f>IF(B131="",0,SUMIFS(Changements!$B:$B,Changements!$A:$A,A131,Changements!$C:$C,B131)+IF(L131&gt;M131,IFERROR(INDEX(Matchs!$F$4:$F$31,MATCH(A131,Matchs!$A$4:$A$31,0)),0),0))</f>
        <v>0</v>
      </c>
      <c r="P131" s="17">
        <f t="shared" si="8"/>
        <v>0</v>
      </c>
      <c r="Q131" s="17">
        <f t="shared" si="9"/>
        <v>0</v>
      </c>
    </row>
    <row r="132" spans="1:17" ht="15" customHeight="1" x14ac:dyDescent="0.25">
      <c r="A132" s="11">
        <f t="shared" ref="A132:A195" si="10">INT((ROW()-4)/24)+1</f>
        <v>6</v>
      </c>
      <c r="B132" s="11" t="str">
        <f>INDEX('Effectif Saison'!$E$4:$E$22,9)</f>
        <v>Tino COLAIANNI</v>
      </c>
      <c r="C132" s="10"/>
      <c r="D132" s="10"/>
      <c r="E132" s="10"/>
      <c r="F132" s="19" t="str">
        <f>IF(B132="","",IF(AND(E132="Oui",COUNTIFS(Changements!$A:$A,A132,Changements!$D:$D,B132)&gt;0),"⚠ Titulaire+entrée ?",IF(ABS(L132-M132)&gt;1,"⚠ vérifier","")))</f>
        <v/>
      </c>
      <c r="G132" s="11" t="str">
        <f>IF(B132="","",IFERROR(INDEX('Effectif Saison'!$D$4:$D$51,MATCH(B132,'Effectif Saison'!$E$4:$E$51,0)),""))</f>
        <v>Équipe 1</v>
      </c>
      <c r="H132" s="19" t="str">
        <f>IF(L132=0,"",IF(E132="Oui",0,IFERROR(_xlfn.MINIFS(Changements!$B:$B,Changements!$A:$A,A132,Changements!$D:$D,B132),"")))</f>
        <v/>
      </c>
      <c r="I132" s="19" t="str">
        <f>IF(M132=0,"",IFERROR(_xlfn.MAXIFS(Changements!$B:$B,Changements!$A:$A,A132,Changements!$C:$C,B132),""))</f>
        <v/>
      </c>
      <c r="J132" s="11" t="str">
        <f t="shared" ref="J132:J195" si="11">IF(OR(B132="",C132&lt;&gt;"Oui"),"",O132-N132)</f>
        <v/>
      </c>
      <c r="K132" s="17">
        <f t="shared" ref="K132:K195" si="12">IF(AND(B132&lt;&gt;"",ISNUMBER(J132)),1,0)</f>
        <v>0</v>
      </c>
      <c r="L132" s="17">
        <f>IF(B132="",0,COUNTIFS(Changements!$A:$A,A132,Changements!$D:$D,B132)+IF(E132="Oui",1,0))</f>
        <v>0</v>
      </c>
      <c r="M132" s="17">
        <f>IF(B132="",0,COUNTIFS(Changements!$A:$A,A132,Changements!$C:$C,B132))</f>
        <v>0</v>
      </c>
      <c r="N132" s="17">
        <f>IF(B132="",0,SUMIFS(Changements!$B:$B,Changements!$A:$A,A132,Changements!$D:$D,B132))</f>
        <v>0</v>
      </c>
      <c r="O132" s="17">
        <f>IF(B132="",0,SUMIFS(Changements!$B:$B,Changements!$A:$A,A132,Changements!$C:$C,B132)+IF(L132&gt;M132,IFERROR(INDEX(Matchs!$F$4:$F$31,MATCH(A132,Matchs!$A$4:$A$31,0)),0),0))</f>
        <v>0</v>
      </c>
      <c r="P132" s="17">
        <f t="shared" ref="P132:P195" si="13">IF(AND(B132&lt;&gt;"",C132="Oui"),1,0)</f>
        <v>0</v>
      </c>
      <c r="Q132" s="17">
        <f t="shared" ref="Q132:Q195" si="14">IF(AND(B132&lt;&gt;"",E132="Oui"),1,0)</f>
        <v>0</v>
      </c>
    </row>
    <row r="133" spans="1:17" ht="15" customHeight="1" x14ac:dyDescent="0.25">
      <c r="A133" s="11">
        <f t="shared" si="10"/>
        <v>6</v>
      </c>
      <c r="B133" s="11" t="str">
        <f>INDEX('Effectif Saison'!$E$4:$E$22,10)</f>
        <v>Achille KELLERKNECHT</v>
      </c>
      <c r="C133" s="10"/>
      <c r="D133" s="10"/>
      <c r="E133" s="10"/>
      <c r="F133" s="19" t="str">
        <f>IF(B133="","",IF(AND(E133="Oui",COUNTIFS(Changements!$A:$A,A133,Changements!$D:$D,B133)&gt;0),"⚠ Titulaire+entrée ?",IF(ABS(L133-M133)&gt;1,"⚠ vérifier","")))</f>
        <v/>
      </c>
      <c r="G133" s="11" t="str">
        <f>IF(B133="","",IFERROR(INDEX('Effectif Saison'!$D$4:$D$51,MATCH(B133,'Effectif Saison'!$E$4:$E$51,0)),""))</f>
        <v>Équipe 1</v>
      </c>
      <c r="H133" s="19" t="str">
        <f>IF(L133=0,"",IF(E133="Oui",0,IFERROR(_xlfn.MINIFS(Changements!$B:$B,Changements!$A:$A,A133,Changements!$D:$D,B133),"")))</f>
        <v/>
      </c>
      <c r="I133" s="19" t="str">
        <f>IF(M133=0,"",IFERROR(_xlfn.MAXIFS(Changements!$B:$B,Changements!$A:$A,A133,Changements!$C:$C,B133),""))</f>
        <v/>
      </c>
      <c r="J133" s="11" t="str">
        <f t="shared" si="11"/>
        <v/>
      </c>
      <c r="K133" s="17">
        <f t="shared" si="12"/>
        <v>0</v>
      </c>
      <c r="L133" s="17">
        <f>IF(B133="",0,COUNTIFS(Changements!$A:$A,A133,Changements!$D:$D,B133)+IF(E133="Oui",1,0))</f>
        <v>0</v>
      </c>
      <c r="M133" s="17">
        <f>IF(B133="",0,COUNTIFS(Changements!$A:$A,A133,Changements!$C:$C,B133))</f>
        <v>0</v>
      </c>
      <c r="N133" s="17">
        <f>IF(B133="",0,SUMIFS(Changements!$B:$B,Changements!$A:$A,A133,Changements!$D:$D,B133))</f>
        <v>0</v>
      </c>
      <c r="O133" s="17">
        <f>IF(B133="",0,SUMIFS(Changements!$B:$B,Changements!$A:$A,A133,Changements!$C:$C,B133)+IF(L133&gt;M133,IFERROR(INDEX(Matchs!$F$4:$F$31,MATCH(A133,Matchs!$A$4:$A$31,0)),0),0))</f>
        <v>0</v>
      </c>
      <c r="P133" s="17">
        <f t="shared" si="13"/>
        <v>0</v>
      </c>
      <c r="Q133" s="17">
        <f t="shared" si="14"/>
        <v>0</v>
      </c>
    </row>
    <row r="134" spans="1:17" ht="15" customHeight="1" x14ac:dyDescent="0.25">
      <c r="A134" s="11">
        <f t="shared" si="10"/>
        <v>6</v>
      </c>
      <c r="B134" s="11" t="str">
        <f>INDEX('Effectif Saison'!$E$4:$E$22,11)</f>
        <v>Charly LEPERT</v>
      </c>
      <c r="C134" s="10"/>
      <c r="D134" s="10"/>
      <c r="E134" s="10"/>
      <c r="F134" s="19" t="str">
        <f>IF(B134="","",IF(AND(E134="Oui",COUNTIFS(Changements!$A:$A,A134,Changements!$D:$D,B134)&gt;0),"⚠ Titulaire+entrée ?",IF(ABS(L134-M134)&gt;1,"⚠ vérifier","")))</f>
        <v/>
      </c>
      <c r="G134" s="11" t="str">
        <f>IF(B134="","",IFERROR(INDEX('Effectif Saison'!$D$4:$D$51,MATCH(B134,'Effectif Saison'!$E$4:$E$51,0)),""))</f>
        <v>Équipe 1</v>
      </c>
      <c r="H134" s="19" t="str">
        <f>IF(L134=0,"",IF(E134="Oui",0,IFERROR(_xlfn.MINIFS(Changements!$B:$B,Changements!$A:$A,A134,Changements!$D:$D,B134),"")))</f>
        <v/>
      </c>
      <c r="I134" s="19" t="str">
        <f>IF(M134=0,"",IFERROR(_xlfn.MAXIFS(Changements!$B:$B,Changements!$A:$A,A134,Changements!$C:$C,B134),""))</f>
        <v/>
      </c>
      <c r="J134" s="11" t="str">
        <f t="shared" si="11"/>
        <v/>
      </c>
      <c r="K134" s="17">
        <f t="shared" si="12"/>
        <v>0</v>
      </c>
      <c r="L134" s="17">
        <f>IF(B134="",0,COUNTIFS(Changements!$A:$A,A134,Changements!$D:$D,B134)+IF(E134="Oui",1,0))</f>
        <v>0</v>
      </c>
      <c r="M134" s="17">
        <f>IF(B134="",0,COUNTIFS(Changements!$A:$A,A134,Changements!$C:$C,B134))</f>
        <v>0</v>
      </c>
      <c r="N134" s="17">
        <f>IF(B134="",0,SUMIFS(Changements!$B:$B,Changements!$A:$A,A134,Changements!$D:$D,B134))</f>
        <v>0</v>
      </c>
      <c r="O134" s="17">
        <f>IF(B134="",0,SUMIFS(Changements!$B:$B,Changements!$A:$A,A134,Changements!$C:$C,B134)+IF(L134&gt;M134,IFERROR(INDEX(Matchs!$F$4:$F$31,MATCH(A134,Matchs!$A$4:$A$31,0)),0),0))</f>
        <v>0</v>
      </c>
      <c r="P134" s="17">
        <f t="shared" si="13"/>
        <v>0</v>
      </c>
      <c r="Q134" s="17">
        <f t="shared" si="14"/>
        <v>0</v>
      </c>
    </row>
    <row r="135" spans="1:17" ht="15" customHeight="1" x14ac:dyDescent="0.25">
      <c r="A135" s="11">
        <f t="shared" si="10"/>
        <v>6</v>
      </c>
      <c r="B135" s="11" t="str">
        <f>INDEX('Effectif Saison'!$E$4:$E$22,12)</f>
        <v>Basile STANGRET</v>
      </c>
      <c r="C135" s="10"/>
      <c r="D135" s="10"/>
      <c r="E135" s="10"/>
      <c r="F135" s="19" t="str">
        <f>IF(B135="","",IF(AND(E135="Oui",COUNTIFS(Changements!$A:$A,A135,Changements!$D:$D,B135)&gt;0),"⚠ Titulaire+entrée ?",IF(ABS(L135-M135)&gt;1,"⚠ vérifier","")))</f>
        <v/>
      </c>
      <c r="G135" s="11" t="str">
        <f>IF(B135="","",IFERROR(INDEX('Effectif Saison'!$D$4:$D$51,MATCH(B135,'Effectif Saison'!$E$4:$E$51,0)),""))</f>
        <v>Équipe 1</v>
      </c>
      <c r="H135" s="19" t="str">
        <f>IF(L135=0,"",IF(E135="Oui",0,IFERROR(_xlfn.MINIFS(Changements!$B:$B,Changements!$A:$A,A135,Changements!$D:$D,B135),"")))</f>
        <v/>
      </c>
      <c r="I135" s="19" t="str">
        <f>IF(M135=0,"",IFERROR(_xlfn.MAXIFS(Changements!$B:$B,Changements!$A:$A,A135,Changements!$C:$C,B135),""))</f>
        <v/>
      </c>
      <c r="J135" s="11" t="str">
        <f t="shared" si="11"/>
        <v/>
      </c>
      <c r="K135" s="17">
        <f t="shared" si="12"/>
        <v>0</v>
      </c>
      <c r="L135" s="17">
        <f>IF(B135="",0,COUNTIFS(Changements!$A:$A,A135,Changements!$D:$D,B135)+IF(E135="Oui",1,0))</f>
        <v>0</v>
      </c>
      <c r="M135" s="17">
        <f>IF(B135="",0,COUNTIFS(Changements!$A:$A,A135,Changements!$C:$C,B135))</f>
        <v>0</v>
      </c>
      <c r="N135" s="17">
        <f>IF(B135="",0,SUMIFS(Changements!$B:$B,Changements!$A:$A,A135,Changements!$D:$D,B135))</f>
        <v>0</v>
      </c>
      <c r="O135" s="17">
        <f>IF(B135="",0,SUMIFS(Changements!$B:$B,Changements!$A:$A,A135,Changements!$C:$C,B135)+IF(L135&gt;M135,IFERROR(INDEX(Matchs!$F$4:$F$31,MATCH(A135,Matchs!$A$4:$A$31,0)),0),0))</f>
        <v>0</v>
      </c>
      <c r="P135" s="17">
        <f t="shared" si="13"/>
        <v>0</v>
      </c>
      <c r="Q135" s="17">
        <f t="shared" si="14"/>
        <v>0</v>
      </c>
    </row>
    <row r="136" spans="1:17" ht="15" customHeight="1" x14ac:dyDescent="0.25">
      <c r="A136" s="11">
        <f t="shared" si="10"/>
        <v>6</v>
      </c>
      <c r="B136" s="11" t="str">
        <f>INDEX('Effectif Saison'!$E$4:$E$22,13)</f>
        <v>Maxence KELLER</v>
      </c>
      <c r="C136" s="10"/>
      <c r="D136" s="10"/>
      <c r="E136" s="10"/>
      <c r="F136" s="19" t="str">
        <f>IF(B136="","",IF(AND(E136="Oui",COUNTIFS(Changements!$A:$A,A136,Changements!$D:$D,B136)&gt;0),"⚠ Titulaire+entrée ?",IF(ABS(L136-M136)&gt;1,"⚠ vérifier","")))</f>
        <v/>
      </c>
      <c r="G136" s="11" t="str">
        <f>IF(B136="","",IFERROR(INDEX('Effectif Saison'!$D$4:$D$51,MATCH(B136,'Effectif Saison'!$E$4:$E$51,0)),""))</f>
        <v>Équipe 1</v>
      </c>
      <c r="H136" s="19" t="str">
        <f>IF(L136=0,"",IF(E136="Oui",0,IFERROR(_xlfn.MINIFS(Changements!$B:$B,Changements!$A:$A,A136,Changements!$D:$D,B136),"")))</f>
        <v/>
      </c>
      <c r="I136" s="19" t="str">
        <f>IF(M136=0,"",IFERROR(_xlfn.MAXIFS(Changements!$B:$B,Changements!$A:$A,A136,Changements!$C:$C,B136),""))</f>
        <v/>
      </c>
      <c r="J136" s="11" t="str">
        <f t="shared" si="11"/>
        <v/>
      </c>
      <c r="K136" s="17">
        <f t="shared" si="12"/>
        <v>0</v>
      </c>
      <c r="L136" s="17">
        <f>IF(B136="",0,COUNTIFS(Changements!$A:$A,A136,Changements!$D:$D,B136)+IF(E136="Oui",1,0))</f>
        <v>0</v>
      </c>
      <c r="M136" s="17">
        <f>IF(B136="",0,COUNTIFS(Changements!$A:$A,A136,Changements!$C:$C,B136))</f>
        <v>0</v>
      </c>
      <c r="N136" s="17">
        <f>IF(B136="",0,SUMIFS(Changements!$B:$B,Changements!$A:$A,A136,Changements!$D:$D,B136))</f>
        <v>0</v>
      </c>
      <c r="O136" s="17">
        <f>IF(B136="",0,SUMIFS(Changements!$B:$B,Changements!$A:$A,A136,Changements!$C:$C,B136)+IF(L136&gt;M136,IFERROR(INDEX(Matchs!$F$4:$F$31,MATCH(A136,Matchs!$A$4:$A$31,0)),0),0))</f>
        <v>0</v>
      </c>
      <c r="P136" s="17">
        <f t="shared" si="13"/>
        <v>0</v>
      </c>
      <c r="Q136" s="17">
        <f t="shared" si="14"/>
        <v>0</v>
      </c>
    </row>
    <row r="137" spans="1:17" ht="15" customHeight="1" x14ac:dyDescent="0.25">
      <c r="A137" s="11">
        <f t="shared" si="10"/>
        <v>6</v>
      </c>
      <c r="B137" s="11" t="str">
        <f>INDEX('Effectif Saison'!$E$4:$E$22,14)</f>
        <v>Evan SCHMITT</v>
      </c>
      <c r="C137" s="10"/>
      <c r="D137" s="10"/>
      <c r="E137" s="10"/>
      <c r="F137" s="19" t="str">
        <f>IF(B137="","",IF(AND(E137="Oui",COUNTIFS(Changements!$A:$A,A137,Changements!$D:$D,B137)&gt;0),"⚠ Titulaire+entrée ?",IF(ABS(L137-M137)&gt;1,"⚠ vérifier","")))</f>
        <v/>
      </c>
      <c r="G137" s="11" t="str">
        <f>IF(B137="","",IFERROR(INDEX('Effectif Saison'!$D$4:$D$51,MATCH(B137,'Effectif Saison'!$E$4:$E$51,0)),""))</f>
        <v>Équipe 1</v>
      </c>
      <c r="H137" s="19" t="str">
        <f>IF(L137=0,"",IF(E137="Oui",0,IFERROR(_xlfn.MINIFS(Changements!$B:$B,Changements!$A:$A,A137,Changements!$D:$D,B137),"")))</f>
        <v/>
      </c>
      <c r="I137" s="19" t="str">
        <f>IF(M137=0,"",IFERROR(_xlfn.MAXIFS(Changements!$B:$B,Changements!$A:$A,A137,Changements!$C:$C,B137),""))</f>
        <v/>
      </c>
      <c r="J137" s="11" t="str">
        <f t="shared" si="11"/>
        <v/>
      </c>
      <c r="K137" s="17">
        <f t="shared" si="12"/>
        <v>0</v>
      </c>
      <c r="L137" s="17">
        <f>IF(B137="",0,COUNTIFS(Changements!$A:$A,A137,Changements!$D:$D,B137)+IF(E137="Oui",1,0))</f>
        <v>0</v>
      </c>
      <c r="M137" s="17">
        <f>IF(B137="",0,COUNTIFS(Changements!$A:$A,A137,Changements!$C:$C,B137))</f>
        <v>0</v>
      </c>
      <c r="N137" s="17">
        <f>IF(B137="",0,SUMIFS(Changements!$B:$B,Changements!$A:$A,A137,Changements!$D:$D,B137))</f>
        <v>0</v>
      </c>
      <c r="O137" s="17">
        <f>IF(B137="",0,SUMIFS(Changements!$B:$B,Changements!$A:$A,A137,Changements!$C:$C,B137)+IF(L137&gt;M137,IFERROR(INDEX(Matchs!$F$4:$F$31,MATCH(A137,Matchs!$A$4:$A$31,0)),0),0))</f>
        <v>0</v>
      </c>
      <c r="P137" s="17">
        <f t="shared" si="13"/>
        <v>0</v>
      </c>
      <c r="Q137" s="17">
        <f t="shared" si="14"/>
        <v>0</v>
      </c>
    </row>
    <row r="138" spans="1:17" ht="15" customHeight="1" x14ac:dyDescent="0.25">
      <c r="A138" s="11">
        <f t="shared" si="10"/>
        <v>6</v>
      </c>
      <c r="B138" s="11" t="str">
        <f>INDEX('Effectif Saison'!$E$4:$E$22,15)</f>
        <v>William SIMON</v>
      </c>
      <c r="C138" s="10"/>
      <c r="D138" s="10"/>
      <c r="E138" s="10"/>
      <c r="F138" s="19" t="str">
        <f>IF(B138="","",IF(AND(E138="Oui",COUNTIFS(Changements!$A:$A,A138,Changements!$D:$D,B138)&gt;0),"⚠ Titulaire+entrée ?",IF(ABS(L138-M138)&gt;1,"⚠ vérifier","")))</f>
        <v/>
      </c>
      <c r="G138" s="11" t="str">
        <f>IF(B138="","",IFERROR(INDEX('Effectif Saison'!$D$4:$D$51,MATCH(B138,'Effectif Saison'!$E$4:$E$51,0)),""))</f>
        <v>Équipe 1</v>
      </c>
      <c r="H138" s="19" t="str">
        <f>IF(L138=0,"",IF(E138="Oui",0,IFERROR(_xlfn.MINIFS(Changements!$B:$B,Changements!$A:$A,A138,Changements!$D:$D,B138),"")))</f>
        <v/>
      </c>
      <c r="I138" s="19" t="str">
        <f>IF(M138=0,"",IFERROR(_xlfn.MAXIFS(Changements!$B:$B,Changements!$A:$A,A138,Changements!$C:$C,B138),""))</f>
        <v/>
      </c>
      <c r="J138" s="11" t="str">
        <f t="shared" si="11"/>
        <v/>
      </c>
      <c r="K138" s="17">
        <f t="shared" si="12"/>
        <v>0</v>
      </c>
      <c r="L138" s="17">
        <f>IF(B138="",0,COUNTIFS(Changements!$A:$A,A138,Changements!$D:$D,B138)+IF(E138="Oui",1,0))</f>
        <v>0</v>
      </c>
      <c r="M138" s="17">
        <f>IF(B138="",0,COUNTIFS(Changements!$A:$A,A138,Changements!$C:$C,B138))</f>
        <v>0</v>
      </c>
      <c r="N138" s="17">
        <f>IF(B138="",0,SUMIFS(Changements!$B:$B,Changements!$A:$A,A138,Changements!$D:$D,B138))</f>
        <v>0</v>
      </c>
      <c r="O138" s="17">
        <f>IF(B138="",0,SUMIFS(Changements!$B:$B,Changements!$A:$A,A138,Changements!$C:$C,B138)+IF(L138&gt;M138,IFERROR(INDEX(Matchs!$F$4:$F$31,MATCH(A138,Matchs!$A$4:$A$31,0)),0),0))</f>
        <v>0</v>
      </c>
      <c r="P138" s="17">
        <f t="shared" si="13"/>
        <v>0</v>
      </c>
      <c r="Q138" s="17">
        <f t="shared" si="14"/>
        <v>0</v>
      </c>
    </row>
    <row r="139" spans="1:17" ht="15" customHeight="1" x14ac:dyDescent="0.25">
      <c r="A139" s="11">
        <f t="shared" si="10"/>
        <v>6</v>
      </c>
      <c r="B139" s="11" t="str">
        <f>INDEX('Effectif Saison'!$E$4:$E$22,16)</f>
        <v>Lenny LEPPER</v>
      </c>
      <c r="C139" s="10"/>
      <c r="D139" s="10"/>
      <c r="E139" s="10"/>
      <c r="F139" s="19" t="str">
        <f>IF(B139="","",IF(AND(E139="Oui",COUNTIFS(Changements!$A:$A,A139,Changements!$D:$D,B139)&gt;0),"⚠ Titulaire+entrée ?",IF(ABS(L139-M139)&gt;1,"⚠ vérifier","")))</f>
        <v/>
      </c>
      <c r="G139" s="11" t="str">
        <f>IF(B139="","",IFERROR(INDEX('Effectif Saison'!$D$4:$D$51,MATCH(B139,'Effectif Saison'!$E$4:$E$51,0)),""))</f>
        <v>Équipe 1</v>
      </c>
      <c r="H139" s="19" t="str">
        <f>IF(L139=0,"",IF(E139="Oui",0,IFERROR(_xlfn.MINIFS(Changements!$B:$B,Changements!$A:$A,A139,Changements!$D:$D,B139),"")))</f>
        <v/>
      </c>
      <c r="I139" s="19" t="str">
        <f>IF(M139=0,"",IFERROR(_xlfn.MAXIFS(Changements!$B:$B,Changements!$A:$A,A139,Changements!$C:$C,B139),""))</f>
        <v/>
      </c>
      <c r="J139" s="11" t="str">
        <f t="shared" si="11"/>
        <v/>
      </c>
      <c r="K139" s="17">
        <f t="shared" si="12"/>
        <v>0</v>
      </c>
      <c r="L139" s="17">
        <f>IF(B139="",0,COUNTIFS(Changements!$A:$A,A139,Changements!$D:$D,B139)+IF(E139="Oui",1,0))</f>
        <v>0</v>
      </c>
      <c r="M139" s="17">
        <f>IF(B139="",0,COUNTIFS(Changements!$A:$A,A139,Changements!$C:$C,B139))</f>
        <v>0</v>
      </c>
      <c r="N139" s="17">
        <f>IF(B139="",0,SUMIFS(Changements!$B:$B,Changements!$A:$A,A139,Changements!$D:$D,B139))</f>
        <v>0</v>
      </c>
      <c r="O139" s="17">
        <f>IF(B139="",0,SUMIFS(Changements!$B:$B,Changements!$A:$A,A139,Changements!$C:$C,B139)+IF(L139&gt;M139,IFERROR(INDEX(Matchs!$F$4:$F$31,MATCH(A139,Matchs!$A$4:$A$31,0)),0),0))</f>
        <v>0</v>
      </c>
      <c r="P139" s="17">
        <f t="shared" si="13"/>
        <v>0</v>
      </c>
      <c r="Q139" s="17">
        <f t="shared" si="14"/>
        <v>0</v>
      </c>
    </row>
    <row r="140" spans="1:17" ht="15" customHeight="1" x14ac:dyDescent="0.25">
      <c r="A140" s="11">
        <f t="shared" si="10"/>
        <v>6</v>
      </c>
      <c r="B140" s="11" t="str">
        <f>INDEX('Effectif Saison'!$E$4:$E$22,17)</f>
        <v>Malo KELLER</v>
      </c>
      <c r="C140" s="10"/>
      <c r="D140" s="10"/>
      <c r="E140" s="10"/>
      <c r="F140" s="19" t="str">
        <f>IF(B140="","",IF(AND(E140="Oui",COUNTIFS(Changements!$A:$A,A140,Changements!$D:$D,B140)&gt;0),"⚠ Titulaire+entrée ?",IF(ABS(L140-M140)&gt;1,"⚠ vérifier","")))</f>
        <v/>
      </c>
      <c r="G140" s="11" t="str">
        <f>IF(B140="","",IFERROR(INDEX('Effectif Saison'!$D$4:$D$51,MATCH(B140,'Effectif Saison'!$E$4:$E$51,0)),""))</f>
        <v>Équipe 1</v>
      </c>
      <c r="H140" s="19" t="str">
        <f>IF(L140=0,"",IF(E140="Oui",0,IFERROR(_xlfn.MINIFS(Changements!$B:$B,Changements!$A:$A,A140,Changements!$D:$D,B140),"")))</f>
        <v/>
      </c>
      <c r="I140" s="19" t="str">
        <f>IF(M140=0,"",IFERROR(_xlfn.MAXIFS(Changements!$B:$B,Changements!$A:$A,A140,Changements!$C:$C,B140),""))</f>
        <v/>
      </c>
      <c r="J140" s="11" t="str">
        <f t="shared" si="11"/>
        <v/>
      </c>
      <c r="K140" s="17">
        <f t="shared" si="12"/>
        <v>0</v>
      </c>
      <c r="L140" s="17">
        <f>IF(B140="",0,COUNTIFS(Changements!$A:$A,A140,Changements!$D:$D,B140)+IF(E140="Oui",1,0))</f>
        <v>0</v>
      </c>
      <c r="M140" s="17">
        <f>IF(B140="",0,COUNTIFS(Changements!$A:$A,A140,Changements!$C:$C,B140))</f>
        <v>0</v>
      </c>
      <c r="N140" s="17">
        <f>IF(B140="",0,SUMIFS(Changements!$B:$B,Changements!$A:$A,A140,Changements!$D:$D,B140))</f>
        <v>0</v>
      </c>
      <c r="O140" s="17">
        <f>IF(B140="",0,SUMIFS(Changements!$B:$B,Changements!$A:$A,A140,Changements!$C:$C,B140)+IF(L140&gt;M140,IFERROR(INDEX(Matchs!$F$4:$F$31,MATCH(A140,Matchs!$A$4:$A$31,0)),0),0))</f>
        <v>0</v>
      </c>
      <c r="P140" s="17">
        <f t="shared" si="13"/>
        <v>0</v>
      </c>
      <c r="Q140" s="17">
        <f t="shared" si="14"/>
        <v>0</v>
      </c>
    </row>
    <row r="141" spans="1:17" ht="15" customHeight="1" x14ac:dyDescent="0.25">
      <c r="A141" s="11">
        <f t="shared" si="10"/>
        <v>6</v>
      </c>
      <c r="B141" s="11" t="str">
        <f>INDEX('Effectif Saison'!$E$4:$E$22,18)</f>
        <v>Tom SCHILLER</v>
      </c>
      <c r="C141" s="10"/>
      <c r="D141" s="10"/>
      <c r="E141" s="10"/>
      <c r="F141" s="19" t="str">
        <f>IF(B141="","",IF(AND(E141="Oui",COUNTIFS(Changements!$A:$A,A141,Changements!$D:$D,B141)&gt;0),"⚠ Titulaire+entrée ?",IF(ABS(L141-M141)&gt;1,"⚠ vérifier","")))</f>
        <v/>
      </c>
      <c r="G141" s="11" t="str">
        <f>IF(B141="","",IFERROR(INDEX('Effectif Saison'!$D$4:$D$51,MATCH(B141,'Effectif Saison'!$E$4:$E$51,0)),""))</f>
        <v>Équipe 1</v>
      </c>
      <c r="H141" s="19" t="str">
        <f>IF(L141=0,"",IF(E141="Oui",0,IFERROR(_xlfn.MINIFS(Changements!$B:$B,Changements!$A:$A,A141,Changements!$D:$D,B141),"")))</f>
        <v/>
      </c>
      <c r="I141" s="19" t="str">
        <f>IF(M141=0,"",IFERROR(_xlfn.MAXIFS(Changements!$B:$B,Changements!$A:$A,A141,Changements!$C:$C,B141),""))</f>
        <v/>
      </c>
      <c r="J141" s="11" t="str">
        <f t="shared" si="11"/>
        <v/>
      </c>
      <c r="K141" s="17">
        <f t="shared" si="12"/>
        <v>0</v>
      </c>
      <c r="L141" s="17">
        <f>IF(B141="",0,COUNTIFS(Changements!$A:$A,A141,Changements!$D:$D,B141)+IF(E141="Oui",1,0))</f>
        <v>0</v>
      </c>
      <c r="M141" s="17">
        <f>IF(B141="",0,COUNTIFS(Changements!$A:$A,A141,Changements!$C:$C,B141))</f>
        <v>0</v>
      </c>
      <c r="N141" s="17">
        <f>IF(B141="",0,SUMIFS(Changements!$B:$B,Changements!$A:$A,A141,Changements!$D:$D,B141))</f>
        <v>0</v>
      </c>
      <c r="O141" s="17">
        <f>IF(B141="",0,SUMIFS(Changements!$B:$B,Changements!$A:$A,A141,Changements!$C:$C,B141)+IF(L141&gt;M141,IFERROR(INDEX(Matchs!$F$4:$F$31,MATCH(A141,Matchs!$A$4:$A$31,0)),0),0))</f>
        <v>0</v>
      </c>
      <c r="P141" s="17">
        <f t="shared" si="13"/>
        <v>0</v>
      </c>
      <c r="Q141" s="17">
        <f t="shared" si="14"/>
        <v>0</v>
      </c>
    </row>
    <row r="142" spans="1:17" ht="15" customHeight="1" x14ac:dyDescent="0.25">
      <c r="A142" s="11">
        <f t="shared" si="10"/>
        <v>6</v>
      </c>
      <c r="B142" s="11" t="str">
        <f>INDEX('Effectif Saison'!$E$4:$E$22,19)</f>
        <v>Eliot LEIBY</v>
      </c>
      <c r="C142" s="10"/>
      <c r="D142" s="10"/>
      <c r="E142" s="10"/>
      <c r="F142" s="19" t="str">
        <f>IF(B142="","",IF(AND(E142="Oui",COUNTIFS(Changements!$A:$A,A142,Changements!$D:$D,B142)&gt;0),"⚠ Titulaire+entrée ?",IF(ABS(L142-M142)&gt;1,"⚠ vérifier","")))</f>
        <v/>
      </c>
      <c r="G142" s="11" t="str">
        <f>IF(B142="","",IFERROR(INDEX('Effectif Saison'!$D$4:$D$51,MATCH(B142,'Effectif Saison'!$E$4:$E$51,0)),""))</f>
        <v>Équipe 1</v>
      </c>
      <c r="H142" s="19" t="str">
        <f>IF(L142=0,"",IF(E142="Oui",0,IFERROR(_xlfn.MINIFS(Changements!$B:$B,Changements!$A:$A,A142,Changements!$D:$D,B142),"")))</f>
        <v/>
      </c>
      <c r="I142" s="19" t="str">
        <f>IF(M142=0,"",IFERROR(_xlfn.MAXIFS(Changements!$B:$B,Changements!$A:$A,A142,Changements!$C:$C,B142),""))</f>
        <v/>
      </c>
      <c r="J142" s="11" t="str">
        <f t="shared" si="11"/>
        <v/>
      </c>
      <c r="K142" s="17">
        <f t="shared" si="12"/>
        <v>0</v>
      </c>
      <c r="L142" s="17">
        <f>IF(B142="",0,COUNTIFS(Changements!$A:$A,A142,Changements!$D:$D,B142)+IF(E142="Oui",1,0))</f>
        <v>0</v>
      </c>
      <c r="M142" s="17">
        <f>IF(B142="",0,COUNTIFS(Changements!$A:$A,A142,Changements!$C:$C,B142))</f>
        <v>0</v>
      </c>
      <c r="N142" s="17">
        <f>IF(B142="",0,SUMIFS(Changements!$B:$B,Changements!$A:$A,A142,Changements!$D:$D,B142))</f>
        <v>0</v>
      </c>
      <c r="O142" s="17">
        <f>IF(B142="",0,SUMIFS(Changements!$B:$B,Changements!$A:$A,A142,Changements!$C:$C,B142)+IF(L142&gt;M142,IFERROR(INDEX(Matchs!$F$4:$F$31,MATCH(A142,Matchs!$A$4:$A$31,0)),0),0))</f>
        <v>0</v>
      </c>
      <c r="P142" s="17">
        <f t="shared" si="13"/>
        <v>0</v>
      </c>
      <c r="Q142" s="17">
        <f t="shared" si="14"/>
        <v>0</v>
      </c>
    </row>
    <row r="143" spans="1:17" ht="15" customHeight="1" x14ac:dyDescent="0.25">
      <c r="A143" s="11">
        <f t="shared" si="10"/>
        <v>6</v>
      </c>
      <c r="B143" s="10"/>
      <c r="C143" s="10"/>
      <c r="D143" s="10"/>
      <c r="E143" s="10"/>
      <c r="F143" s="19" t="str">
        <f>IF(B143="","",IF(AND(E143="Oui",COUNTIFS(Changements!$A:$A,A143,Changements!$D:$D,B143)&gt;0),"⚠ Titulaire+entrée ?",IF(ABS(L143-M143)&gt;1,"⚠ vérifier","")))</f>
        <v/>
      </c>
      <c r="G143" s="11" t="str">
        <f>IF(B143="","",IFERROR(INDEX('Effectif Saison'!$D$4:$D$51,MATCH(B143,'Effectif Saison'!$E$4:$E$51,0)),""))</f>
        <v/>
      </c>
      <c r="H143" s="19" t="str">
        <f>IF(L143=0,"",IF(E143="Oui",0,IFERROR(_xlfn.MINIFS(Changements!$B:$B,Changements!$A:$A,A143,Changements!$D:$D,B143),"")))</f>
        <v/>
      </c>
      <c r="I143" s="19" t="str">
        <f>IF(M143=0,"",IFERROR(_xlfn.MAXIFS(Changements!$B:$B,Changements!$A:$A,A143,Changements!$C:$C,B143),""))</f>
        <v/>
      </c>
      <c r="J143" s="11" t="str">
        <f t="shared" si="11"/>
        <v/>
      </c>
      <c r="K143" s="17">
        <f t="shared" si="12"/>
        <v>0</v>
      </c>
      <c r="L143" s="17">
        <f>IF(B143="",0,COUNTIFS(Changements!$A:$A,A143,Changements!$D:$D,B143)+IF(E143="Oui",1,0))</f>
        <v>0</v>
      </c>
      <c r="M143" s="17">
        <f>IF(B143="",0,COUNTIFS(Changements!$A:$A,A143,Changements!$C:$C,B143))</f>
        <v>0</v>
      </c>
      <c r="N143" s="17">
        <f>IF(B143="",0,SUMIFS(Changements!$B:$B,Changements!$A:$A,A143,Changements!$D:$D,B143))</f>
        <v>0</v>
      </c>
      <c r="O143" s="17">
        <f>IF(B143="",0,SUMIFS(Changements!$B:$B,Changements!$A:$A,A143,Changements!$C:$C,B143)+IF(L143&gt;M143,IFERROR(INDEX(Matchs!$F$4:$F$31,MATCH(A143,Matchs!$A$4:$A$31,0)),0),0))</f>
        <v>0</v>
      </c>
      <c r="P143" s="17">
        <f t="shared" si="13"/>
        <v>0</v>
      </c>
      <c r="Q143" s="17">
        <f t="shared" si="14"/>
        <v>0</v>
      </c>
    </row>
    <row r="144" spans="1:17" ht="15" customHeight="1" x14ac:dyDescent="0.25">
      <c r="A144" s="11">
        <f t="shared" si="10"/>
        <v>6</v>
      </c>
      <c r="B144" s="10"/>
      <c r="C144" s="10"/>
      <c r="D144" s="10"/>
      <c r="E144" s="10"/>
      <c r="F144" s="19" t="str">
        <f>IF(B144="","",IF(AND(E144="Oui",COUNTIFS(Changements!$A:$A,A144,Changements!$D:$D,B144)&gt;0),"⚠ Titulaire+entrée ?",IF(ABS(L144-M144)&gt;1,"⚠ vérifier","")))</f>
        <v/>
      </c>
      <c r="G144" s="11" t="str">
        <f>IF(B144="","",IFERROR(INDEX('Effectif Saison'!$D$4:$D$51,MATCH(B144,'Effectif Saison'!$E$4:$E$51,0)),""))</f>
        <v/>
      </c>
      <c r="H144" s="19" t="str">
        <f>IF(L144=0,"",IF(E144="Oui",0,IFERROR(_xlfn.MINIFS(Changements!$B:$B,Changements!$A:$A,A144,Changements!$D:$D,B144),"")))</f>
        <v/>
      </c>
      <c r="I144" s="19" t="str">
        <f>IF(M144=0,"",IFERROR(_xlfn.MAXIFS(Changements!$B:$B,Changements!$A:$A,A144,Changements!$C:$C,B144),""))</f>
        <v/>
      </c>
      <c r="J144" s="11" t="str">
        <f t="shared" si="11"/>
        <v/>
      </c>
      <c r="K144" s="17">
        <f t="shared" si="12"/>
        <v>0</v>
      </c>
      <c r="L144" s="17">
        <f>IF(B144="",0,COUNTIFS(Changements!$A:$A,A144,Changements!$D:$D,B144)+IF(E144="Oui",1,0))</f>
        <v>0</v>
      </c>
      <c r="M144" s="17">
        <f>IF(B144="",0,COUNTIFS(Changements!$A:$A,A144,Changements!$C:$C,B144))</f>
        <v>0</v>
      </c>
      <c r="N144" s="17">
        <f>IF(B144="",0,SUMIFS(Changements!$B:$B,Changements!$A:$A,A144,Changements!$D:$D,B144))</f>
        <v>0</v>
      </c>
      <c r="O144" s="17">
        <f>IF(B144="",0,SUMIFS(Changements!$B:$B,Changements!$A:$A,A144,Changements!$C:$C,B144)+IF(L144&gt;M144,IFERROR(INDEX(Matchs!$F$4:$F$31,MATCH(A144,Matchs!$A$4:$A$31,0)),0),0))</f>
        <v>0</v>
      </c>
      <c r="P144" s="17">
        <f t="shared" si="13"/>
        <v>0</v>
      </c>
      <c r="Q144" s="17">
        <f t="shared" si="14"/>
        <v>0</v>
      </c>
    </row>
    <row r="145" spans="1:17" ht="15" customHeight="1" x14ac:dyDescent="0.25">
      <c r="A145" s="11">
        <f t="shared" si="10"/>
        <v>6</v>
      </c>
      <c r="B145" s="10"/>
      <c r="C145" s="10"/>
      <c r="D145" s="10"/>
      <c r="E145" s="10"/>
      <c r="F145" s="19" t="str">
        <f>IF(B145="","",IF(AND(E145="Oui",COUNTIFS(Changements!$A:$A,A145,Changements!$D:$D,B145)&gt;0),"⚠ Titulaire+entrée ?",IF(ABS(L145-M145)&gt;1,"⚠ vérifier","")))</f>
        <v/>
      </c>
      <c r="G145" s="11" t="str">
        <f>IF(B145="","",IFERROR(INDEX('Effectif Saison'!$D$4:$D$51,MATCH(B145,'Effectif Saison'!$E$4:$E$51,0)),""))</f>
        <v/>
      </c>
      <c r="H145" s="19" t="str">
        <f>IF(L145=0,"",IF(E145="Oui",0,IFERROR(_xlfn.MINIFS(Changements!$B:$B,Changements!$A:$A,A145,Changements!$D:$D,B145),"")))</f>
        <v/>
      </c>
      <c r="I145" s="19" t="str">
        <f>IF(M145=0,"",IFERROR(_xlfn.MAXIFS(Changements!$B:$B,Changements!$A:$A,A145,Changements!$C:$C,B145),""))</f>
        <v/>
      </c>
      <c r="J145" s="11" t="str">
        <f t="shared" si="11"/>
        <v/>
      </c>
      <c r="K145" s="17">
        <f t="shared" si="12"/>
        <v>0</v>
      </c>
      <c r="L145" s="17">
        <f>IF(B145="",0,COUNTIFS(Changements!$A:$A,A145,Changements!$D:$D,B145)+IF(E145="Oui",1,0))</f>
        <v>0</v>
      </c>
      <c r="M145" s="17">
        <f>IF(B145="",0,COUNTIFS(Changements!$A:$A,A145,Changements!$C:$C,B145))</f>
        <v>0</v>
      </c>
      <c r="N145" s="17">
        <f>IF(B145="",0,SUMIFS(Changements!$B:$B,Changements!$A:$A,A145,Changements!$D:$D,B145))</f>
        <v>0</v>
      </c>
      <c r="O145" s="17">
        <f>IF(B145="",0,SUMIFS(Changements!$B:$B,Changements!$A:$A,A145,Changements!$C:$C,B145)+IF(L145&gt;M145,IFERROR(INDEX(Matchs!$F$4:$F$31,MATCH(A145,Matchs!$A$4:$A$31,0)),0),0))</f>
        <v>0</v>
      </c>
      <c r="P145" s="17">
        <f t="shared" si="13"/>
        <v>0</v>
      </c>
      <c r="Q145" s="17">
        <f t="shared" si="14"/>
        <v>0</v>
      </c>
    </row>
    <row r="146" spans="1:17" ht="15" customHeight="1" x14ac:dyDescent="0.25">
      <c r="A146" s="11">
        <f t="shared" si="10"/>
        <v>6</v>
      </c>
      <c r="B146" s="10"/>
      <c r="C146" s="10"/>
      <c r="D146" s="10"/>
      <c r="E146" s="10"/>
      <c r="F146" s="19" t="str">
        <f>IF(B146="","",IF(AND(E146="Oui",COUNTIFS(Changements!$A:$A,A146,Changements!$D:$D,B146)&gt;0),"⚠ Titulaire+entrée ?",IF(ABS(L146-M146)&gt;1,"⚠ vérifier","")))</f>
        <v/>
      </c>
      <c r="G146" s="11" t="str">
        <f>IF(B146="","",IFERROR(INDEX('Effectif Saison'!$D$4:$D$51,MATCH(B146,'Effectif Saison'!$E$4:$E$51,0)),""))</f>
        <v/>
      </c>
      <c r="H146" s="19" t="str">
        <f>IF(L146=0,"",IF(E146="Oui",0,IFERROR(_xlfn.MINIFS(Changements!$B:$B,Changements!$A:$A,A146,Changements!$D:$D,B146),"")))</f>
        <v/>
      </c>
      <c r="I146" s="19" t="str">
        <f>IF(M146=0,"",IFERROR(_xlfn.MAXIFS(Changements!$B:$B,Changements!$A:$A,A146,Changements!$C:$C,B146),""))</f>
        <v/>
      </c>
      <c r="J146" s="11" t="str">
        <f t="shared" si="11"/>
        <v/>
      </c>
      <c r="K146" s="17">
        <f t="shared" si="12"/>
        <v>0</v>
      </c>
      <c r="L146" s="17">
        <f>IF(B146="",0,COUNTIFS(Changements!$A:$A,A146,Changements!$D:$D,B146)+IF(E146="Oui",1,0))</f>
        <v>0</v>
      </c>
      <c r="M146" s="17">
        <f>IF(B146="",0,COUNTIFS(Changements!$A:$A,A146,Changements!$C:$C,B146))</f>
        <v>0</v>
      </c>
      <c r="N146" s="17">
        <f>IF(B146="",0,SUMIFS(Changements!$B:$B,Changements!$A:$A,A146,Changements!$D:$D,B146))</f>
        <v>0</v>
      </c>
      <c r="O146" s="17">
        <f>IF(B146="",0,SUMIFS(Changements!$B:$B,Changements!$A:$A,A146,Changements!$C:$C,B146)+IF(L146&gt;M146,IFERROR(INDEX(Matchs!$F$4:$F$31,MATCH(A146,Matchs!$A$4:$A$31,0)),0),0))</f>
        <v>0</v>
      </c>
      <c r="P146" s="17">
        <f t="shared" si="13"/>
        <v>0</v>
      </c>
      <c r="Q146" s="17">
        <f t="shared" si="14"/>
        <v>0</v>
      </c>
    </row>
    <row r="147" spans="1:17" ht="15" customHeight="1" x14ac:dyDescent="0.25">
      <c r="A147" s="11">
        <f t="shared" si="10"/>
        <v>6</v>
      </c>
      <c r="B147" s="10"/>
      <c r="C147" s="10"/>
      <c r="D147" s="10"/>
      <c r="E147" s="10"/>
      <c r="F147" s="19" t="str">
        <f>IF(B147="","",IF(AND(E147="Oui",COUNTIFS(Changements!$A:$A,A147,Changements!$D:$D,B147)&gt;0),"⚠ Titulaire+entrée ?",IF(ABS(L147-M147)&gt;1,"⚠ vérifier","")))</f>
        <v/>
      </c>
      <c r="G147" s="11" t="str">
        <f>IF(B147="","",IFERROR(INDEX('Effectif Saison'!$D$4:$D$51,MATCH(B147,'Effectif Saison'!$E$4:$E$51,0)),""))</f>
        <v/>
      </c>
      <c r="H147" s="19" t="str">
        <f>IF(L147=0,"",IF(E147="Oui",0,IFERROR(_xlfn.MINIFS(Changements!$B:$B,Changements!$A:$A,A147,Changements!$D:$D,B147),"")))</f>
        <v/>
      </c>
      <c r="I147" s="19" t="str">
        <f>IF(M147=0,"",IFERROR(_xlfn.MAXIFS(Changements!$B:$B,Changements!$A:$A,A147,Changements!$C:$C,B147),""))</f>
        <v/>
      </c>
      <c r="J147" s="11" t="str">
        <f t="shared" si="11"/>
        <v/>
      </c>
      <c r="K147" s="17">
        <f t="shared" si="12"/>
        <v>0</v>
      </c>
      <c r="L147" s="17">
        <f>IF(B147="",0,COUNTIFS(Changements!$A:$A,A147,Changements!$D:$D,B147)+IF(E147="Oui",1,0))</f>
        <v>0</v>
      </c>
      <c r="M147" s="17">
        <f>IF(B147="",0,COUNTIFS(Changements!$A:$A,A147,Changements!$C:$C,B147))</f>
        <v>0</v>
      </c>
      <c r="N147" s="17">
        <f>IF(B147="",0,SUMIFS(Changements!$B:$B,Changements!$A:$A,A147,Changements!$D:$D,B147))</f>
        <v>0</v>
      </c>
      <c r="O147" s="17">
        <f>IF(B147="",0,SUMIFS(Changements!$B:$B,Changements!$A:$A,A147,Changements!$C:$C,B147)+IF(L147&gt;M147,IFERROR(INDEX(Matchs!$F$4:$F$31,MATCH(A147,Matchs!$A$4:$A$31,0)),0),0))</f>
        <v>0</v>
      </c>
      <c r="P147" s="17">
        <f t="shared" si="13"/>
        <v>0</v>
      </c>
      <c r="Q147" s="17">
        <f t="shared" si="14"/>
        <v>0</v>
      </c>
    </row>
    <row r="148" spans="1:17" ht="15" customHeight="1" x14ac:dyDescent="0.25">
      <c r="A148" s="11">
        <f t="shared" si="10"/>
        <v>7</v>
      </c>
      <c r="B148" s="11" t="str">
        <f>INDEX('Effectif Saison'!$E$4:$E$22,1)</f>
        <v>Alan MICHON</v>
      </c>
      <c r="C148" s="10"/>
      <c r="D148" s="10"/>
      <c r="E148" s="10"/>
      <c r="F148" s="19" t="str">
        <f>IF(B148="","",IF(AND(E148="Oui",COUNTIFS(Changements!$A:$A,A148,Changements!$D:$D,B148)&gt;0),"⚠ Titulaire+entrée ?",IF(ABS(L148-M148)&gt;1,"⚠ vérifier","")))</f>
        <v/>
      </c>
      <c r="G148" s="11" t="str">
        <f>IF(B148="","",IFERROR(INDEX('Effectif Saison'!$D$4:$D$51,MATCH(B148,'Effectif Saison'!$E$4:$E$51,0)),""))</f>
        <v>Équipe 1</v>
      </c>
      <c r="H148" s="19" t="str">
        <f>IF(L148=0,"",IF(E148="Oui",0,IFERROR(_xlfn.MINIFS(Changements!$B:$B,Changements!$A:$A,A148,Changements!$D:$D,B148),"")))</f>
        <v/>
      </c>
      <c r="I148" s="19" t="str">
        <f>IF(M148=0,"",IFERROR(_xlfn.MAXIFS(Changements!$B:$B,Changements!$A:$A,A148,Changements!$C:$C,B148),""))</f>
        <v/>
      </c>
      <c r="J148" s="11" t="str">
        <f t="shared" si="11"/>
        <v/>
      </c>
      <c r="K148" s="17">
        <f t="shared" si="12"/>
        <v>0</v>
      </c>
      <c r="L148" s="17">
        <f>IF(B148="",0,COUNTIFS(Changements!$A:$A,A148,Changements!$D:$D,B148)+IF(E148="Oui",1,0))</f>
        <v>0</v>
      </c>
      <c r="M148" s="17">
        <f>IF(B148="",0,COUNTIFS(Changements!$A:$A,A148,Changements!$C:$C,B148))</f>
        <v>0</v>
      </c>
      <c r="N148" s="17">
        <f>IF(B148="",0,SUMIFS(Changements!$B:$B,Changements!$A:$A,A148,Changements!$D:$D,B148))</f>
        <v>0</v>
      </c>
      <c r="O148" s="17">
        <f>IF(B148="",0,SUMIFS(Changements!$B:$B,Changements!$A:$A,A148,Changements!$C:$C,B148)+IF(L148&gt;M148,IFERROR(INDEX(Matchs!$F$4:$F$31,MATCH(A148,Matchs!$A$4:$A$31,0)),0),0))</f>
        <v>0</v>
      </c>
      <c r="P148" s="17">
        <f t="shared" si="13"/>
        <v>0</v>
      </c>
      <c r="Q148" s="17">
        <f t="shared" si="14"/>
        <v>0</v>
      </c>
    </row>
    <row r="149" spans="1:17" ht="15" customHeight="1" x14ac:dyDescent="0.25">
      <c r="A149" s="11">
        <f t="shared" si="10"/>
        <v>7</v>
      </c>
      <c r="B149" s="11" t="str">
        <f>INDEX('Effectif Saison'!$E$4:$E$22,2)</f>
        <v>Jean BRUNTZ</v>
      </c>
      <c r="C149" s="10"/>
      <c r="D149" s="10"/>
      <c r="E149" s="10"/>
      <c r="F149" s="19" t="str">
        <f>IF(B149="","",IF(AND(E149="Oui",COUNTIFS(Changements!$A:$A,A149,Changements!$D:$D,B149)&gt;0),"⚠ Titulaire+entrée ?",IF(ABS(L149-M149)&gt;1,"⚠ vérifier","")))</f>
        <v/>
      </c>
      <c r="G149" s="11" t="str">
        <f>IF(B149="","",IFERROR(INDEX('Effectif Saison'!$D$4:$D$51,MATCH(B149,'Effectif Saison'!$E$4:$E$51,0)),""))</f>
        <v>Équipe 1</v>
      </c>
      <c r="H149" s="19" t="str">
        <f>IF(L149=0,"",IF(E149="Oui",0,IFERROR(_xlfn.MINIFS(Changements!$B:$B,Changements!$A:$A,A149,Changements!$D:$D,B149),"")))</f>
        <v/>
      </c>
      <c r="I149" s="19" t="str">
        <f>IF(M149=0,"",IFERROR(_xlfn.MAXIFS(Changements!$B:$B,Changements!$A:$A,A149,Changements!$C:$C,B149),""))</f>
        <v/>
      </c>
      <c r="J149" s="11" t="str">
        <f t="shared" si="11"/>
        <v/>
      </c>
      <c r="K149" s="17">
        <f t="shared" si="12"/>
        <v>0</v>
      </c>
      <c r="L149" s="17">
        <f>IF(B149="",0,COUNTIFS(Changements!$A:$A,A149,Changements!$D:$D,B149)+IF(E149="Oui",1,0))</f>
        <v>0</v>
      </c>
      <c r="M149" s="17">
        <f>IF(B149="",0,COUNTIFS(Changements!$A:$A,A149,Changements!$C:$C,B149))</f>
        <v>0</v>
      </c>
      <c r="N149" s="17">
        <f>IF(B149="",0,SUMIFS(Changements!$B:$B,Changements!$A:$A,A149,Changements!$D:$D,B149))</f>
        <v>0</v>
      </c>
      <c r="O149" s="17">
        <f>IF(B149="",0,SUMIFS(Changements!$B:$B,Changements!$A:$A,A149,Changements!$C:$C,B149)+IF(L149&gt;M149,IFERROR(INDEX(Matchs!$F$4:$F$31,MATCH(A149,Matchs!$A$4:$A$31,0)),0),0))</f>
        <v>0</v>
      </c>
      <c r="P149" s="17">
        <f t="shared" si="13"/>
        <v>0</v>
      </c>
      <c r="Q149" s="17">
        <f t="shared" si="14"/>
        <v>0</v>
      </c>
    </row>
    <row r="150" spans="1:17" ht="15" customHeight="1" x14ac:dyDescent="0.25">
      <c r="A150" s="11">
        <f t="shared" si="10"/>
        <v>7</v>
      </c>
      <c r="B150" s="11" t="str">
        <f>INDEX('Effectif Saison'!$E$4:$E$22,3)</f>
        <v>Marouane SBK</v>
      </c>
      <c r="C150" s="10"/>
      <c r="D150" s="10"/>
      <c r="E150" s="10"/>
      <c r="F150" s="19" t="str">
        <f>IF(B150="","",IF(AND(E150="Oui",COUNTIFS(Changements!$A:$A,A150,Changements!$D:$D,B150)&gt;0),"⚠ Titulaire+entrée ?",IF(ABS(L150-M150)&gt;1,"⚠ vérifier","")))</f>
        <v/>
      </c>
      <c r="G150" s="11" t="str">
        <f>IF(B150="","",IFERROR(INDEX('Effectif Saison'!$D$4:$D$51,MATCH(B150,'Effectif Saison'!$E$4:$E$51,0)),""))</f>
        <v>Équipe 1</v>
      </c>
      <c r="H150" s="19" t="str">
        <f>IF(L150=0,"",IF(E150="Oui",0,IFERROR(_xlfn.MINIFS(Changements!$B:$B,Changements!$A:$A,A150,Changements!$D:$D,B150),"")))</f>
        <v/>
      </c>
      <c r="I150" s="19" t="str">
        <f>IF(M150=0,"",IFERROR(_xlfn.MAXIFS(Changements!$B:$B,Changements!$A:$A,A150,Changements!$C:$C,B150),""))</f>
        <v/>
      </c>
      <c r="J150" s="11" t="str">
        <f t="shared" si="11"/>
        <v/>
      </c>
      <c r="K150" s="17">
        <f t="shared" si="12"/>
        <v>0</v>
      </c>
      <c r="L150" s="17">
        <f>IF(B150="",0,COUNTIFS(Changements!$A:$A,A150,Changements!$D:$D,B150)+IF(E150="Oui",1,0))</f>
        <v>0</v>
      </c>
      <c r="M150" s="17">
        <f>IF(B150="",0,COUNTIFS(Changements!$A:$A,A150,Changements!$C:$C,B150))</f>
        <v>0</v>
      </c>
      <c r="N150" s="17">
        <f>IF(B150="",0,SUMIFS(Changements!$B:$B,Changements!$A:$A,A150,Changements!$D:$D,B150))</f>
        <v>0</v>
      </c>
      <c r="O150" s="17">
        <f>IF(B150="",0,SUMIFS(Changements!$B:$B,Changements!$A:$A,A150,Changements!$C:$C,B150)+IF(L150&gt;M150,IFERROR(INDEX(Matchs!$F$4:$F$31,MATCH(A150,Matchs!$A$4:$A$31,0)),0),0))</f>
        <v>0</v>
      </c>
      <c r="P150" s="17">
        <f t="shared" si="13"/>
        <v>0</v>
      </c>
      <c r="Q150" s="17">
        <f t="shared" si="14"/>
        <v>0</v>
      </c>
    </row>
    <row r="151" spans="1:17" ht="15" customHeight="1" x14ac:dyDescent="0.25">
      <c r="A151" s="11">
        <f t="shared" si="10"/>
        <v>7</v>
      </c>
      <c r="B151" s="11" t="str">
        <f>INDEX('Effectif Saison'!$E$4:$E$22,4)</f>
        <v>Noé BIHL</v>
      </c>
      <c r="C151" s="10"/>
      <c r="D151" s="10"/>
      <c r="E151" s="10"/>
      <c r="F151" s="19" t="str">
        <f>IF(B151="","",IF(AND(E151="Oui",COUNTIFS(Changements!$A:$A,A151,Changements!$D:$D,B151)&gt;0),"⚠ Titulaire+entrée ?",IF(ABS(L151-M151)&gt;1,"⚠ vérifier","")))</f>
        <v/>
      </c>
      <c r="G151" s="11" t="str">
        <f>IF(B151="","",IFERROR(INDEX('Effectif Saison'!$D$4:$D$51,MATCH(B151,'Effectif Saison'!$E$4:$E$51,0)),""))</f>
        <v>Équipe 1</v>
      </c>
      <c r="H151" s="19" t="str">
        <f>IF(L151=0,"",IF(E151="Oui",0,IFERROR(_xlfn.MINIFS(Changements!$B:$B,Changements!$A:$A,A151,Changements!$D:$D,B151),"")))</f>
        <v/>
      </c>
      <c r="I151" s="19" t="str">
        <f>IF(M151=0,"",IFERROR(_xlfn.MAXIFS(Changements!$B:$B,Changements!$A:$A,A151,Changements!$C:$C,B151),""))</f>
        <v/>
      </c>
      <c r="J151" s="11" t="str">
        <f t="shared" si="11"/>
        <v/>
      </c>
      <c r="K151" s="17">
        <f t="shared" si="12"/>
        <v>0</v>
      </c>
      <c r="L151" s="17">
        <f>IF(B151="",0,COUNTIFS(Changements!$A:$A,A151,Changements!$D:$D,B151)+IF(E151="Oui",1,0))</f>
        <v>0</v>
      </c>
      <c r="M151" s="17">
        <f>IF(B151="",0,COUNTIFS(Changements!$A:$A,A151,Changements!$C:$C,B151))</f>
        <v>0</v>
      </c>
      <c r="N151" s="17">
        <f>IF(B151="",0,SUMIFS(Changements!$B:$B,Changements!$A:$A,A151,Changements!$D:$D,B151))</f>
        <v>0</v>
      </c>
      <c r="O151" s="17">
        <f>IF(B151="",0,SUMIFS(Changements!$B:$B,Changements!$A:$A,A151,Changements!$C:$C,B151)+IF(L151&gt;M151,IFERROR(INDEX(Matchs!$F$4:$F$31,MATCH(A151,Matchs!$A$4:$A$31,0)),0),0))</f>
        <v>0</v>
      </c>
      <c r="P151" s="17">
        <f t="shared" si="13"/>
        <v>0</v>
      </c>
      <c r="Q151" s="17">
        <f t="shared" si="14"/>
        <v>0</v>
      </c>
    </row>
    <row r="152" spans="1:17" ht="15" customHeight="1" x14ac:dyDescent="0.25">
      <c r="A152" s="11">
        <f t="shared" si="10"/>
        <v>7</v>
      </c>
      <c r="B152" s="11" t="str">
        <f>INDEX('Effectif Saison'!$E$4:$E$22,5)</f>
        <v>Luca COLAIANNI</v>
      </c>
      <c r="C152" s="10"/>
      <c r="D152" s="10"/>
      <c r="E152" s="10"/>
      <c r="F152" s="19" t="str">
        <f>IF(B152="","",IF(AND(E152="Oui",COUNTIFS(Changements!$A:$A,A152,Changements!$D:$D,B152)&gt;0),"⚠ Titulaire+entrée ?",IF(ABS(L152-M152)&gt;1,"⚠ vérifier","")))</f>
        <v/>
      </c>
      <c r="G152" s="11" t="str">
        <f>IF(B152="","",IFERROR(INDEX('Effectif Saison'!$D$4:$D$51,MATCH(B152,'Effectif Saison'!$E$4:$E$51,0)),""))</f>
        <v>Équipe 1</v>
      </c>
      <c r="H152" s="19" t="str">
        <f>IF(L152=0,"",IF(E152="Oui",0,IFERROR(_xlfn.MINIFS(Changements!$B:$B,Changements!$A:$A,A152,Changements!$D:$D,B152),"")))</f>
        <v/>
      </c>
      <c r="I152" s="19" t="str">
        <f>IF(M152=0,"",IFERROR(_xlfn.MAXIFS(Changements!$B:$B,Changements!$A:$A,A152,Changements!$C:$C,B152),""))</f>
        <v/>
      </c>
      <c r="J152" s="11" t="str">
        <f t="shared" si="11"/>
        <v/>
      </c>
      <c r="K152" s="17">
        <f t="shared" si="12"/>
        <v>0</v>
      </c>
      <c r="L152" s="17">
        <f>IF(B152="",0,COUNTIFS(Changements!$A:$A,A152,Changements!$D:$D,B152)+IF(E152="Oui",1,0))</f>
        <v>0</v>
      </c>
      <c r="M152" s="17">
        <f>IF(B152="",0,COUNTIFS(Changements!$A:$A,A152,Changements!$C:$C,B152))</f>
        <v>0</v>
      </c>
      <c r="N152" s="17">
        <f>IF(B152="",0,SUMIFS(Changements!$B:$B,Changements!$A:$A,A152,Changements!$D:$D,B152))</f>
        <v>0</v>
      </c>
      <c r="O152" s="17">
        <f>IF(B152="",0,SUMIFS(Changements!$B:$B,Changements!$A:$A,A152,Changements!$C:$C,B152)+IF(L152&gt;M152,IFERROR(INDEX(Matchs!$F$4:$F$31,MATCH(A152,Matchs!$A$4:$A$31,0)),0),0))</f>
        <v>0</v>
      </c>
      <c r="P152" s="17">
        <f t="shared" si="13"/>
        <v>0</v>
      </c>
      <c r="Q152" s="17">
        <f t="shared" si="14"/>
        <v>0</v>
      </c>
    </row>
    <row r="153" spans="1:17" ht="15" customHeight="1" x14ac:dyDescent="0.25">
      <c r="A153" s="11">
        <f t="shared" si="10"/>
        <v>7</v>
      </c>
      <c r="B153" s="11" t="str">
        <f>INDEX('Effectif Saison'!$E$4:$E$22,6)</f>
        <v>Atilla ER</v>
      </c>
      <c r="C153" s="10"/>
      <c r="D153" s="10"/>
      <c r="E153" s="10"/>
      <c r="F153" s="19" t="str">
        <f>IF(B153="","",IF(AND(E153="Oui",COUNTIFS(Changements!$A:$A,A153,Changements!$D:$D,B153)&gt;0),"⚠ Titulaire+entrée ?",IF(ABS(L153-M153)&gt;1,"⚠ vérifier","")))</f>
        <v/>
      </c>
      <c r="G153" s="11" t="str">
        <f>IF(B153="","",IFERROR(INDEX('Effectif Saison'!$D$4:$D$51,MATCH(B153,'Effectif Saison'!$E$4:$E$51,0)),""))</f>
        <v>Équipe 1</v>
      </c>
      <c r="H153" s="19" t="str">
        <f>IF(L153=0,"",IF(E153="Oui",0,IFERROR(_xlfn.MINIFS(Changements!$B:$B,Changements!$A:$A,A153,Changements!$D:$D,B153),"")))</f>
        <v/>
      </c>
      <c r="I153" s="19" t="str">
        <f>IF(M153=0,"",IFERROR(_xlfn.MAXIFS(Changements!$B:$B,Changements!$A:$A,A153,Changements!$C:$C,B153),""))</f>
        <v/>
      </c>
      <c r="J153" s="11" t="str">
        <f t="shared" si="11"/>
        <v/>
      </c>
      <c r="K153" s="17">
        <f t="shared" si="12"/>
        <v>0</v>
      </c>
      <c r="L153" s="17">
        <f>IF(B153="",0,COUNTIFS(Changements!$A:$A,A153,Changements!$D:$D,B153)+IF(E153="Oui",1,0))</f>
        <v>0</v>
      </c>
      <c r="M153" s="17">
        <f>IF(B153="",0,COUNTIFS(Changements!$A:$A,A153,Changements!$C:$C,B153))</f>
        <v>0</v>
      </c>
      <c r="N153" s="17">
        <f>IF(B153="",0,SUMIFS(Changements!$B:$B,Changements!$A:$A,A153,Changements!$D:$D,B153))</f>
        <v>0</v>
      </c>
      <c r="O153" s="17">
        <f>IF(B153="",0,SUMIFS(Changements!$B:$B,Changements!$A:$A,A153,Changements!$C:$C,B153)+IF(L153&gt;M153,IFERROR(INDEX(Matchs!$F$4:$F$31,MATCH(A153,Matchs!$A$4:$A$31,0)),0),0))</f>
        <v>0</v>
      </c>
      <c r="P153" s="17">
        <f t="shared" si="13"/>
        <v>0</v>
      </c>
      <c r="Q153" s="17">
        <f t="shared" si="14"/>
        <v>0</v>
      </c>
    </row>
    <row r="154" spans="1:17" ht="15" customHeight="1" x14ac:dyDescent="0.25">
      <c r="A154" s="11">
        <f t="shared" si="10"/>
        <v>7</v>
      </c>
      <c r="B154" s="11" t="str">
        <f>INDEX('Effectif Saison'!$E$4:$E$22,7)</f>
        <v>Lucas BUHR</v>
      </c>
      <c r="C154" s="10"/>
      <c r="D154" s="10"/>
      <c r="E154" s="10"/>
      <c r="F154" s="19" t="str">
        <f>IF(B154="","",IF(AND(E154="Oui",COUNTIFS(Changements!$A:$A,A154,Changements!$D:$D,B154)&gt;0),"⚠ Titulaire+entrée ?",IF(ABS(L154-M154)&gt;1,"⚠ vérifier","")))</f>
        <v/>
      </c>
      <c r="G154" s="11" t="str">
        <f>IF(B154="","",IFERROR(INDEX('Effectif Saison'!$D$4:$D$51,MATCH(B154,'Effectif Saison'!$E$4:$E$51,0)),""))</f>
        <v>Équipe 1</v>
      </c>
      <c r="H154" s="19" t="str">
        <f>IF(L154=0,"",IF(E154="Oui",0,IFERROR(_xlfn.MINIFS(Changements!$B:$B,Changements!$A:$A,A154,Changements!$D:$D,B154),"")))</f>
        <v/>
      </c>
      <c r="I154" s="19" t="str">
        <f>IF(M154=0,"",IFERROR(_xlfn.MAXIFS(Changements!$B:$B,Changements!$A:$A,A154,Changements!$C:$C,B154),""))</f>
        <v/>
      </c>
      <c r="J154" s="11" t="str">
        <f t="shared" si="11"/>
        <v/>
      </c>
      <c r="K154" s="17">
        <f t="shared" si="12"/>
        <v>0</v>
      </c>
      <c r="L154" s="17">
        <f>IF(B154="",0,COUNTIFS(Changements!$A:$A,A154,Changements!$D:$D,B154)+IF(E154="Oui",1,0))</f>
        <v>0</v>
      </c>
      <c r="M154" s="17">
        <f>IF(B154="",0,COUNTIFS(Changements!$A:$A,A154,Changements!$C:$C,B154))</f>
        <v>0</v>
      </c>
      <c r="N154" s="17">
        <f>IF(B154="",0,SUMIFS(Changements!$B:$B,Changements!$A:$A,A154,Changements!$D:$D,B154))</f>
        <v>0</v>
      </c>
      <c r="O154" s="17">
        <f>IF(B154="",0,SUMIFS(Changements!$B:$B,Changements!$A:$A,A154,Changements!$C:$C,B154)+IF(L154&gt;M154,IFERROR(INDEX(Matchs!$F$4:$F$31,MATCH(A154,Matchs!$A$4:$A$31,0)),0),0))</f>
        <v>0</v>
      </c>
      <c r="P154" s="17">
        <f t="shared" si="13"/>
        <v>0</v>
      </c>
      <c r="Q154" s="17">
        <f t="shared" si="14"/>
        <v>0</v>
      </c>
    </row>
    <row r="155" spans="1:17" ht="15" customHeight="1" x14ac:dyDescent="0.25">
      <c r="A155" s="11">
        <f t="shared" si="10"/>
        <v>7</v>
      </c>
      <c r="B155" s="11" t="str">
        <f>INDEX('Effectif Saison'!$E$4:$E$22,8)</f>
        <v>Yanis HOUX</v>
      </c>
      <c r="C155" s="10"/>
      <c r="D155" s="10"/>
      <c r="E155" s="10"/>
      <c r="F155" s="19" t="str">
        <f>IF(B155="","",IF(AND(E155="Oui",COUNTIFS(Changements!$A:$A,A155,Changements!$D:$D,B155)&gt;0),"⚠ Titulaire+entrée ?",IF(ABS(L155-M155)&gt;1,"⚠ vérifier","")))</f>
        <v/>
      </c>
      <c r="G155" s="11" t="str">
        <f>IF(B155="","",IFERROR(INDEX('Effectif Saison'!$D$4:$D$51,MATCH(B155,'Effectif Saison'!$E$4:$E$51,0)),""))</f>
        <v>Équipe 1</v>
      </c>
      <c r="H155" s="19" t="str">
        <f>IF(L155=0,"",IF(E155="Oui",0,IFERROR(_xlfn.MINIFS(Changements!$B:$B,Changements!$A:$A,A155,Changements!$D:$D,B155),"")))</f>
        <v/>
      </c>
      <c r="I155" s="19" t="str">
        <f>IF(M155=0,"",IFERROR(_xlfn.MAXIFS(Changements!$B:$B,Changements!$A:$A,A155,Changements!$C:$C,B155),""))</f>
        <v/>
      </c>
      <c r="J155" s="11" t="str">
        <f t="shared" si="11"/>
        <v/>
      </c>
      <c r="K155" s="17">
        <f t="shared" si="12"/>
        <v>0</v>
      </c>
      <c r="L155" s="17">
        <f>IF(B155="",0,COUNTIFS(Changements!$A:$A,A155,Changements!$D:$D,B155)+IF(E155="Oui",1,0))</f>
        <v>0</v>
      </c>
      <c r="M155" s="17">
        <f>IF(B155="",0,COUNTIFS(Changements!$A:$A,A155,Changements!$C:$C,B155))</f>
        <v>0</v>
      </c>
      <c r="N155" s="17">
        <f>IF(B155="",0,SUMIFS(Changements!$B:$B,Changements!$A:$A,A155,Changements!$D:$D,B155))</f>
        <v>0</v>
      </c>
      <c r="O155" s="17">
        <f>IF(B155="",0,SUMIFS(Changements!$B:$B,Changements!$A:$A,A155,Changements!$C:$C,B155)+IF(L155&gt;M155,IFERROR(INDEX(Matchs!$F$4:$F$31,MATCH(A155,Matchs!$A$4:$A$31,0)),0),0))</f>
        <v>0</v>
      </c>
      <c r="P155" s="17">
        <f t="shared" si="13"/>
        <v>0</v>
      </c>
      <c r="Q155" s="17">
        <f t="shared" si="14"/>
        <v>0</v>
      </c>
    </row>
    <row r="156" spans="1:17" ht="15" customHeight="1" x14ac:dyDescent="0.25">
      <c r="A156" s="11">
        <f t="shared" si="10"/>
        <v>7</v>
      </c>
      <c r="B156" s="11" t="str">
        <f>INDEX('Effectif Saison'!$E$4:$E$22,9)</f>
        <v>Tino COLAIANNI</v>
      </c>
      <c r="C156" s="10"/>
      <c r="D156" s="10"/>
      <c r="E156" s="10"/>
      <c r="F156" s="19" t="str">
        <f>IF(B156="","",IF(AND(E156="Oui",COUNTIFS(Changements!$A:$A,A156,Changements!$D:$D,B156)&gt;0),"⚠ Titulaire+entrée ?",IF(ABS(L156-M156)&gt;1,"⚠ vérifier","")))</f>
        <v/>
      </c>
      <c r="G156" s="11" t="str">
        <f>IF(B156="","",IFERROR(INDEX('Effectif Saison'!$D$4:$D$51,MATCH(B156,'Effectif Saison'!$E$4:$E$51,0)),""))</f>
        <v>Équipe 1</v>
      </c>
      <c r="H156" s="19" t="str">
        <f>IF(L156=0,"",IF(E156="Oui",0,IFERROR(_xlfn.MINIFS(Changements!$B:$B,Changements!$A:$A,A156,Changements!$D:$D,B156),"")))</f>
        <v/>
      </c>
      <c r="I156" s="19" t="str">
        <f>IF(M156=0,"",IFERROR(_xlfn.MAXIFS(Changements!$B:$B,Changements!$A:$A,A156,Changements!$C:$C,B156),""))</f>
        <v/>
      </c>
      <c r="J156" s="11" t="str">
        <f t="shared" si="11"/>
        <v/>
      </c>
      <c r="K156" s="17">
        <f t="shared" si="12"/>
        <v>0</v>
      </c>
      <c r="L156" s="17">
        <f>IF(B156="",0,COUNTIFS(Changements!$A:$A,A156,Changements!$D:$D,B156)+IF(E156="Oui",1,0))</f>
        <v>0</v>
      </c>
      <c r="M156" s="17">
        <f>IF(B156="",0,COUNTIFS(Changements!$A:$A,A156,Changements!$C:$C,B156))</f>
        <v>0</v>
      </c>
      <c r="N156" s="17">
        <f>IF(B156="",0,SUMIFS(Changements!$B:$B,Changements!$A:$A,A156,Changements!$D:$D,B156))</f>
        <v>0</v>
      </c>
      <c r="O156" s="17">
        <f>IF(B156="",0,SUMIFS(Changements!$B:$B,Changements!$A:$A,A156,Changements!$C:$C,B156)+IF(L156&gt;M156,IFERROR(INDEX(Matchs!$F$4:$F$31,MATCH(A156,Matchs!$A$4:$A$31,0)),0),0))</f>
        <v>0</v>
      </c>
      <c r="P156" s="17">
        <f t="shared" si="13"/>
        <v>0</v>
      </c>
      <c r="Q156" s="17">
        <f t="shared" si="14"/>
        <v>0</v>
      </c>
    </row>
    <row r="157" spans="1:17" ht="15" customHeight="1" x14ac:dyDescent="0.25">
      <c r="A157" s="11">
        <f t="shared" si="10"/>
        <v>7</v>
      </c>
      <c r="B157" s="11" t="str">
        <f>INDEX('Effectif Saison'!$E$4:$E$22,10)</f>
        <v>Achille KELLERKNECHT</v>
      </c>
      <c r="C157" s="10"/>
      <c r="D157" s="10"/>
      <c r="E157" s="10"/>
      <c r="F157" s="19" t="str">
        <f>IF(B157="","",IF(AND(E157="Oui",COUNTIFS(Changements!$A:$A,A157,Changements!$D:$D,B157)&gt;0),"⚠ Titulaire+entrée ?",IF(ABS(L157-M157)&gt;1,"⚠ vérifier","")))</f>
        <v/>
      </c>
      <c r="G157" s="11" t="str">
        <f>IF(B157="","",IFERROR(INDEX('Effectif Saison'!$D$4:$D$51,MATCH(B157,'Effectif Saison'!$E$4:$E$51,0)),""))</f>
        <v>Équipe 1</v>
      </c>
      <c r="H157" s="19" t="str">
        <f>IF(L157=0,"",IF(E157="Oui",0,IFERROR(_xlfn.MINIFS(Changements!$B:$B,Changements!$A:$A,A157,Changements!$D:$D,B157),"")))</f>
        <v/>
      </c>
      <c r="I157" s="19" t="str">
        <f>IF(M157=0,"",IFERROR(_xlfn.MAXIFS(Changements!$B:$B,Changements!$A:$A,A157,Changements!$C:$C,B157),""))</f>
        <v/>
      </c>
      <c r="J157" s="11" t="str">
        <f t="shared" si="11"/>
        <v/>
      </c>
      <c r="K157" s="17">
        <f t="shared" si="12"/>
        <v>0</v>
      </c>
      <c r="L157" s="17">
        <f>IF(B157="",0,COUNTIFS(Changements!$A:$A,A157,Changements!$D:$D,B157)+IF(E157="Oui",1,0))</f>
        <v>0</v>
      </c>
      <c r="M157" s="17">
        <f>IF(B157="",0,COUNTIFS(Changements!$A:$A,A157,Changements!$C:$C,B157))</f>
        <v>0</v>
      </c>
      <c r="N157" s="17">
        <f>IF(B157="",0,SUMIFS(Changements!$B:$B,Changements!$A:$A,A157,Changements!$D:$D,B157))</f>
        <v>0</v>
      </c>
      <c r="O157" s="17">
        <f>IF(B157="",0,SUMIFS(Changements!$B:$B,Changements!$A:$A,A157,Changements!$C:$C,B157)+IF(L157&gt;M157,IFERROR(INDEX(Matchs!$F$4:$F$31,MATCH(A157,Matchs!$A$4:$A$31,0)),0),0))</f>
        <v>0</v>
      </c>
      <c r="P157" s="17">
        <f t="shared" si="13"/>
        <v>0</v>
      </c>
      <c r="Q157" s="17">
        <f t="shared" si="14"/>
        <v>0</v>
      </c>
    </row>
    <row r="158" spans="1:17" ht="15" customHeight="1" x14ac:dyDescent="0.25">
      <c r="A158" s="11">
        <f t="shared" si="10"/>
        <v>7</v>
      </c>
      <c r="B158" s="11" t="str">
        <f>INDEX('Effectif Saison'!$E$4:$E$22,11)</f>
        <v>Charly LEPERT</v>
      </c>
      <c r="C158" s="10"/>
      <c r="D158" s="10"/>
      <c r="E158" s="10"/>
      <c r="F158" s="19" t="str">
        <f>IF(B158="","",IF(AND(E158="Oui",COUNTIFS(Changements!$A:$A,A158,Changements!$D:$D,B158)&gt;0),"⚠ Titulaire+entrée ?",IF(ABS(L158-M158)&gt;1,"⚠ vérifier","")))</f>
        <v/>
      </c>
      <c r="G158" s="11" t="str">
        <f>IF(B158="","",IFERROR(INDEX('Effectif Saison'!$D$4:$D$51,MATCH(B158,'Effectif Saison'!$E$4:$E$51,0)),""))</f>
        <v>Équipe 1</v>
      </c>
      <c r="H158" s="19" t="str">
        <f>IF(L158=0,"",IF(E158="Oui",0,IFERROR(_xlfn.MINIFS(Changements!$B:$B,Changements!$A:$A,A158,Changements!$D:$D,B158),"")))</f>
        <v/>
      </c>
      <c r="I158" s="19" t="str">
        <f>IF(M158=0,"",IFERROR(_xlfn.MAXIFS(Changements!$B:$B,Changements!$A:$A,A158,Changements!$C:$C,B158),""))</f>
        <v/>
      </c>
      <c r="J158" s="11" t="str">
        <f t="shared" si="11"/>
        <v/>
      </c>
      <c r="K158" s="17">
        <f t="shared" si="12"/>
        <v>0</v>
      </c>
      <c r="L158" s="17">
        <f>IF(B158="",0,COUNTIFS(Changements!$A:$A,A158,Changements!$D:$D,B158)+IF(E158="Oui",1,0))</f>
        <v>0</v>
      </c>
      <c r="M158" s="17">
        <f>IF(B158="",0,COUNTIFS(Changements!$A:$A,A158,Changements!$C:$C,B158))</f>
        <v>0</v>
      </c>
      <c r="N158" s="17">
        <f>IF(B158="",0,SUMIFS(Changements!$B:$B,Changements!$A:$A,A158,Changements!$D:$D,B158))</f>
        <v>0</v>
      </c>
      <c r="O158" s="17">
        <f>IF(B158="",0,SUMIFS(Changements!$B:$B,Changements!$A:$A,A158,Changements!$C:$C,B158)+IF(L158&gt;M158,IFERROR(INDEX(Matchs!$F$4:$F$31,MATCH(A158,Matchs!$A$4:$A$31,0)),0),0))</f>
        <v>0</v>
      </c>
      <c r="P158" s="17">
        <f t="shared" si="13"/>
        <v>0</v>
      </c>
      <c r="Q158" s="17">
        <f t="shared" si="14"/>
        <v>0</v>
      </c>
    </row>
    <row r="159" spans="1:17" ht="15" customHeight="1" x14ac:dyDescent="0.25">
      <c r="A159" s="11">
        <f t="shared" si="10"/>
        <v>7</v>
      </c>
      <c r="B159" s="11" t="str">
        <f>INDEX('Effectif Saison'!$E$4:$E$22,12)</f>
        <v>Basile STANGRET</v>
      </c>
      <c r="C159" s="10"/>
      <c r="D159" s="10"/>
      <c r="E159" s="10"/>
      <c r="F159" s="19" t="str">
        <f>IF(B159="","",IF(AND(E159="Oui",COUNTIFS(Changements!$A:$A,A159,Changements!$D:$D,B159)&gt;0),"⚠ Titulaire+entrée ?",IF(ABS(L159-M159)&gt;1,"⚠ vérifier","")))</f>
        <v/>
      </c>
      <c r="G159" s="11" t="str">
        <f>IF(B159="","",IFERROR(INDEX('Effectif Saison'!$D$4:$D$51,MATCH(B159,'Effectif Saison'!$E$4:$E$51,0)),""))</f>
        <v>Équipe 1</v>
      </c>
      <c r="H159" s="19" t="str">
        <f>IF(L159=0,"",IF(E159="Oui",0,IFERROR(_xlfn.MINIFS(Changements!$B:$B,Changements!$A:$A,A159,Changements!$D:$D,B159),"")))</f>
        <v/>
      </c>
      <c r="I159" s="19" t="str">
        <f>IF(M159=0,"",IFERROR(_xlfn.MAXIFS(Changements!$B:$B,Changements!$A:$A,A159,Changements!$C:$C,B159),""))</f>
        <v/>
      </c>
      <c r="J159" s="11" t="str">
        <f t="shared" si="11"/>
        <v/>
      </c>
      <c r="K159" s="17">
        <f t="shared" si="12"/>
        <v>0</v>
      </c>
      <c r="L159" s="17">
        <f>IF(B159="",0,COUNTIFS(Changements!$A:$A,A159,Changements!$D:$D,B159)+IF(E159="Oui",1,0))</f>
        <v>0</v>
      </c>
      <c r="M159" s="17">
        <f>IF(B159="",0,COUNTIFS(Changements!$A:$A,A159,Changements!$C:$C,B159))</f>
        <v>0</v>
      </c>
      <c r="N159" s="17">
        <f>IF(B159="",0,SUMIFS(Changements!$B:$B,Changements!$A:$A,A159,Changements!$D:$D,B159))</f>
        <v>0</v>
      </c>
      <c r="O159" s="17">
        <f>IF(B159="",0,SUMIFS(Changements!$B:$B,Changements!$A:$A,A159,Changements!$C:$C,B159)+IF(L159&gt;M159,IFERROR(INDEX(Matchs!$F$4:$F$31,MATCH(A159,Matchs!$A$4:$A$31,0)),0),0))</f>
        <v>0</v>
      </c>
      <c r="P159" s="17">
        <f t="shared" si="13"/>
        <v>0</v>
      </c>
      <c r="Q159" s="17">
        <f t="shared" si="14"/>
        <v>0</v>
      </c>
    </row>
    <row r="160" spans="1:17" ht="15" customHeight="1" x14ac:dyDescent="0.25">
      <c r="A160" s="11">
        <f t="shared" si="10"/>
        <v>7</v>
      </c>
      <c r="B160" s="11" t="str">
        <f>INDEX('Effectif Saison'!$E$4:$E$22,13)</f>
        <v>Maxence KELLER</v>
      </c>
      <c r="C160" s="10"/>
      <c r="D160" s="10"/>
      <c r="E160" s="10"/>
      <c r="F160" s="19" t="str">
        <f>IF(B160="","",IF(AND(E160="Oui",COUNTIFS(Changements!$A:$A,A160,Changements!$D:$D,B160)&gt;0),"⚠ Titulaire+entrée ?",IF(ABS(L160-M160)&gt;1,"⚠ vérifier","")))</f>
        <v/>
      </c>
      <c r="G160" s="11" t="str">
        <f>IF(B160="","",IFERROR(INDEX('Effectif Saison'!$D$4:$D$51,MATCH(B160,'Effectif Saison'!$E$4:$E$51,0)),""))</f>
        <v>Équipe 1</v>
      </c>
      <c r="H160" s="19" t="str">
        <f>IF(L160=0,"",IF(E160="Oui",0,IFERROR(_xlfn.MINIFS(Changements!$B:$B,Changements!$A:$A,A160,Changements!$D:$D,B160),"")))</f>
        <v/>
      </c>
      <c r="I160" s="19" t="str">
        <f>IF(M160=0,"",IFERROR(_xlfn.MAXIFS(Changements!$B:$B,Changements!$A:$A,A160,Changements!$C:$C,B160),""))</f>
        <v/>
      </c>
      <c r="J160" s="11" t="str">
        <f t="shared" si="11"/>
        <v/>
      </c>
      <c r="K160" s="17">
        <f t="shared" si="12"/>
        <v>0</v>
      </c>
      <c r="L160" s="17">
        <f>IF(B160="",0,COUNTIFS(Changements!$A:$A,A160,Changements!$D:$D,B160)+IF(E160="Oui",1,0))</f>
        <v>0</v>
      </c>
      <c r="M160" s="17">
        <f>IF(B160="",0,COUNTIFS(Changements!$A:$A,A160,Changements!$C:$C,B160))</f>
        <v>0</v>
      </c>
      <c r="N160" s="17">
        <f>IF(B160="",0,SUMIFS(Changements!$B:$B,Changements!$A:$A,A160,Changements!$D:$D,B160))</f>
        <v>0</v>
      </c>
      <c r="O160" s="17">
        <f>IF(B160="",0,SUMIFS(Changements!$B:$B,Changements!$A:$A,A160,Changements!$C:$C,B160)+IF(L160&gt;M160,IFERROR(INDEX(Matchs!$F$4:$F$31,MATCH(A160,Matchs!$A$4:$A$31,0)),0),0))</f>
        <v>0</v>
      </c>
      <c r="P160" s="17">
        <f t="shared" si="13"/>
        <v>0</v>
      </c>
      <c r="Q160" s="17">
        <f t="shared" si="14"/>
        <v>0</v>
      </c>
    </row>
    <row r="161" spans="1:17" ht="15" customHeight="1" x14ac:dyDescent="0.25">
      <c r="A161" s="11">
        <f t="shared" si="10"/>
        <v>7</v>
      </c>
      <c r="B161" s="11" t="str">
        <f>INDEX('Effectif Saison'!$E$4:$E$22,14)</f>
        <v>Evan SCHMITT</v>
      </c>
      <c r="C161" s="10"/>
      <c r="D161" s="10"/>
      <c r="E161" s="10"/>
      <c r="F161" s="19" t="str">
        <f>IF(B161="","",IF(AND(E161="Oui",COUNTIFS(Changements!$A:$A,A161,Changements!$D:$D,B161)&gt;0),"⚠ Titulaire+entrée ?",IF(ABS(L161-M161)&gt;1,"⚠ vérifier","")))</f>
        <v/>
      </c>
      <c r="G161" s="11" t="str">
        <f>IF(B161="","",IFERROR(INDEX('Effectif Saison'!$D$4:$D$51,MATCH(B161,'Effectif Saison'!$E$4:$E$51,0)),""))</f>
        <v>Équipe 1</v>
      </c>
      <c r="H161" s="19" t="str">
        <f>IF(L161=0,"",IF(E161="Oui",0,IFERROR(_xlfn.MINIFS(Changements!$B:$B,Changements!$A:$A,A161,Changements!$D:$D,B161),"")))</f>
        <v/>
      </c>
      <c r="I161" s="19" t="str">
        <f>IF(M161=0,"",IFERROR(_xlfn.MAXIFS(Changements!$B:$B,Changements!$A:$A,A161,Changements!$C:$C,B161),""))</f>
        <v/>
      </c>
      <c r="J161" s="11" t="str">
        <f t="shared" si="11"/>
        <v/>
      </c>
      <c r="K161" s="17">
        <f t="shared" si="12"/>
        <v>0</v>
      </c>
      <c r="L161" s="17">
        <f>IF(B161="",0,COUNTIFS(Changements!$A:$A,A161,Changements!$D:$D,B161)+IF(E161="Oui",1,0))</f>
        <v>0</v>
      </c>
      <c r="M161" s="17">
        <f>IF(B161="",0,COUNTIFS(Changements!$A:$A,A161,Changements!$C:$C,B161))</f>
        <v>0</v>
      </c>
      <c r="N161" s="17">
        <f>IF(B161="",0,SUMIFS(Changements!$B:$B,Changements!$A:$A,A161,Changements!$D:$D,B161))</f>
        <v>0</v>
      </c>
      <c r="O161" s="17">
        <f>IF(B161="",0,SUMIFS(Changements!$B:$B,Changements!$A:$A,A161,Changements!$C:$C,B161)+IF(L161&gt;M161,IFERROR(INDEX(Matchs!$F$4:$F$31,MATCH(A161,Matchs!$A$4:$A$31,0)),0),0))</f>
        <v>0</v>
      </c>
      <c r="P161" s="17">
        <f t="shared" si="13"/>
        <v>0</v>
      </c>
      <c r="Q161" s="17">
        <f t="shared" si="14"/>
        <v>0</v>
      </c>
    </row>
    <row r="162" spans="1:17" ht="15" customHeight="1" x14ac:dyDescent="0.25">
      <c r="A162" s="11">
        <f t="shared" si="10"/>
        <v>7</v>
      </c>
      <c r="B162" s="11" t="str">
        <f>INDEX('Effectif Saison'!$E$4:$E$22,15)</f>
        <v>William SIMON</v>
      </c>
      <c r="C162" s="10"/>
      <c r="D162" s="10"/>
      <c r="E162" s="10"/>
      <c r="F162" s="19" t="str">
        <f>IF(B162="","",IF(AND(E162="Oui",COUNTIFS(Changements!$A:$A,A162,Changements!$D:$D,B162)&gt;0),"⚠ Titulaire+entrée ?",IF(ABS(L162-M162)&gt;1,"⚠ vérifier","")))</f>
        <v/>
      </c>
      <c r="G162" s="11" t="str">
        <f>IF(B162="","",IFERROR(INDEX('Effectif Saison'!$D$4:$D$51,MATCH(B162,'Effectif Saison'!$E$4:$E$51,0)),""))</f>
        <v>Équipe 1</v>
      </c>
      <c r="H162" s="19" t="str">
        <f>IF(L162=0,"",IF(E162="Oui",0,IFERROR(_xlfn.MINIFS(Changements!$B:$B,Changements!$A:$A,A162,Changements!$D:$D,B162),"")))</f>
        <v/>
      </c>
      <c r="I162" s="19" t="str">
        <f>IF(M162=0,"",IFERROR(_xlfn.MAXIFS(Changements!$B:$B,Changements!$A:$A,A162,Changements!$C:$C,B162),""))</f>
        <v/>
      </c>
      <c r="J162" s="11" t="str">
        <f t="shared" si="11"/>
        <v/>
      </c>
      <c r="K162" s="17">
        <f t="shared" si="12"/>
        <v>0</v>
      </c>
      <c r="L162" s="17">
        <f>IF(B162="",0,COUNTIFS(Changements!$A:$A,A162,Changements!$D:$D,B162)+IF(E162="Oui",1,0))</f>
        <v>0</v>
      </c>
      <c r="M162" s="17">
        <f>IF(B162="",0,COUNTIFS(Changements!$A:$A,A162,Changements!$C:$C,B162))</f>
        <v>0</v>
      </c>
      <c r="N162" s="17">
        <f>IF(B162="",0,SUMIFS(Changements!$B:$B,Changements!$A:$A,A162,Changements!$D:$D,B162))</f>
        <v>0</v>
      </c>
      <c r="O162" s="17">
        <f>IF(B162="",0,SUMIFS(Changements!$B:$B,Changements!$A:$A,A162,Changements!$C:$C,B162)+IF(L162&gt;M162,IFERROR(INDEX(Matchs!$F$4:$F$31,MATCH(A162,Matchs!$A$4:$A$31,0)),0),0))</f>
        <v>0</v>
      </c>
      <c r="P162" s="17">
        <f t="shared" si="13"/>
        <v>0</v>
      </c>
      <c r="Q162" s="17">
        <f t="shared" si="14"/>
        <v>0</v>
      </c>
    </row>
    <row r="163" spans="1:17" ht="15" customHeight="1" x14ac:dyDescent="0.25">
      <c r="A163" s="11">
        <f t="shared" si="10"/>
        <v>7</v>
      </c>
      <c r="B163" s="11" t="str">
        <f>INDEX('Effectif Saison'!$E$4:$E$22,16)</f>
        <v>Lenny LEPPER</v>
      </c>
      <c r="C163" s="10"/>
      <c r="D163" s="10"/>
      <c r="E163" s="10"/>
      <c r="F163" s="19" t="str">
        <f>IF(B163="","",IF(AND(E163="Oui",COUNTIFS(Changements!$A:$A,A163,Changements!$D:$D,B163)&gt;0),"⚠ Titulaire+entrée ?",IF(ABS(L163-M163)&gt;1,"⚠ vérifier","")))</f>
        <v/>
      </c>
      <c r="G163" s="11" t="str">
        <f>IF(B163="","",IFERROR(INDEX('Effectif Saison'!$D$4:$D$51,MATCH(B163,'Effectif Saison'!$E$4:$E$51,0)),""))</f>
        <v>Équipe 1</v>
      </c>
      <c r="H163" s="19" t="str">
        <f>IF(L163=0,"",IF(E163="Oui",0,IFERROR(_xlfn.MINIFS(Changements!$B:$B,Changements!$A:$A,A163,Changements!$D:$D,B163),"")))</f>
        <v/>
      </c>
      <c r="I163" s="19" t="str">
        <f>IF(M163=0,"",IFERROR(_xlfn.MAXIFS(Changements!$B:$B,Changements!$A:$A,A163,Changements!$C:$C,B163),""))</f>
        <v/>
      </c>
      <c r="J163" s="11" t="str">
        <f t="shared" si="11"/>
        <v/>
      </c>
      <c r="K163" s="17">
        <f t="shared" si="12"/>
        <v>0</v>
      </c>
      <c r="L163" s="17">
        <f>IF(B163="",0,COUNTIFS(Changements!$A:$A,A163,Changements!$D:$D,B163)+IF(E163="Oui",1,0))</f>
        <v>0</v>
      </c>
      <c r="M163" s="17">
        <f>IF(B163="",0,COUNTIFS(Changements!$A:$A,A163,Changements!$C:$C,B163))</f>
        <v>0</v>
      </c>
      <c r="N163" s="17">
        <f>IF(B163="",0,SUMIFS(Changements!$B:$B,Changements!$A:$A,A163,Changements!$D:$D,B163))</f>
        <v>0</v>
      </c>
      <c r="O163" s="17">
        <f>IF(B163="",0,SUMIFS(Changements!$B:$B,Changements!$A:$A,A163,Changements!$C:$C,B163)+IF(L163&gt;M163,IFERROR(INDEX(Matchs!$F$4:$F$31,MATCH(A163,Matchs!$A$4:$A$31,0)),0),0))</f>
        <v>0</v>
      </c>
      <c r="P163" s="17">
        <f t="shared" si="13"/>
        <v>0</v>
      </c>
      <c r="Q163" s="17">
        <f t="shared" si="14"/>
        <v>0</v>
      </c>
    </row>
    <row r="164" spans="1:17" ht="15" customHeight="1" x14ac:dyDescent="0.25">
      <c r="A164" s="11">
        <f t="shared" si="10"/>
        <v>7</v>
      </c>
      <c r="B164" s="11" t="str">
        <f>INDEX('Effectif Saison'!$E$4:$E$22,17)</f>
        <v>Malo KELLER</v>
      </c>
      <c r="C164" s="10"/>
      <c r="D164" s="10"/>
      <c r="E164" s="10"/>
      <c r="F164" s="19" t="str">
        <f>IF(B164="","",IF(AND(E164="Oui",COUNTIFS(Changements!$A:$A,A164,Changements!$D:$D,B164)&gt;0),"⚠ Titulaire+entrée ?",IF(ABS(L164-M164)&gt;1,"⚠ vérifier","")))</f>
        <v/>
      </c>
      <c r="G164" s="11" t="str">
        <f>IF(B164="","",IFERROR(INDEX('Effectif Saison'!$D$4:$D$51,MATCH(B164,'Effectif Saison'!$E$4:$E$51,0)),""))</f>
        <v>Équipe 1</v>
      </c>
      <c r="H164" s="19" t="str">
        <f>IF(L164=0,"",IF(E164="Oui",0,IFERROR(_xlfn.MINIFS(Changements!$B:$B,Changements!$A:$A,A164,Changements!$D:$D,B164),"")))</f>
        <v/>
      </c>
      <c r="I164" s="19" t="str">
        <f>IF(M164=0,"",IFERROR(_xlfn.MAXIFS(Changements!$B:$B,Changements!$A:$A,A164,Changements!$C:$C,B164),""))</f>
        <v/>
      </c>
      <c r="J164" s="11" t="str">
        <f t="shared" si="11"/>
        <v/>
      </c>
      <c r="K164" s="17">
        <f t="shared" si="12"/>
        <v>0</v>
      </c>
      <c r="L164" s="17">
        <f>IF(B164="",0,COUNTIFS(Changements!$A:$A,A164,Changements!$D:$D,B164)+IF(E164="Oui",1,0))</f>
        <v>0</v>
      </c>
      <c r="M164" s="17">
        <f>IF(B164="",0,COUNTIFS(Changements!$A:$A,A164,Changements!$C:$C,B164))</f>
        <v>0</v>
      </c>
      <c r="N164" s="17">
        <f>IF(B164="",0,SUMIFS(Changements!$B:$B,Changements!$A:$A,A164,Changements!$D:$D,B164))</f>
        <v>0</v>
      </c>
      <c r="O164" s="17">
        <f>IF(B164="",0,SUMIFS(Changements!$B:$B,Changements!$A:$A,A164,Changements!$C:$C,B164)+IF(L164&gt;M164,IFERROR(INDEX(Matchs!$F$4:$F$31,MATCH(A164,Matchs!$A$4:$A$31,0)),0),0))</f>
        <v>0</v>
      </c>
      <c r="P164" s="17">
        <f t="shared" si="13"/>
        <v>0</v>
      </c>
      <c r="Q164" s="17">
        <f t="shared" si="14"/>
        <v>0</v>
      </c>
    </row>
    <row r="165" spans="1:17" ht="15" customHeight="1" x14ac:dyDescent="0.25">
      <c r="A165" s="11">
        <f t="shared" si="10"/>
        <v>7</v>
      </c>
      <c r="B165" s="11" t="str">
        <f>INDEX('Effectif Saison'!$E$4:$E$22,18)</f>
        <v>Tom SCHILLER</v>
      </c>
      <c r="C165" s="10"/>
      <c r="D165" s="10"/>
      <c r="E165" s="10"/>
      <c r="F165" s="19" t="str">
        <f>IF(B165="","",IF(AND(E165="Oui",COUNTIFS(Changements!$A:$A,A165,Changements!$D:$D,B165)&gt;0),"⚠ Titulaire+entrée ?",IF(ABS(L165-M165)&gt;1,"⚠ vérifier","")))</f>
        <v/>
      </c>
      <c r="G165" s="11" t="str">
        <f>IF(B165="","",IFERROR(INDEX('Effectif Saison'!$D$4:$D$51,MATCH(B165,'Effectif Saison'!$E$4:$E$51,0)),""))</f>
        <v>Équipe 1</v>
      </c>
      <c r="H165" s="19" t="str">
        <f>IF(L165=0,"",IF(E165="Oui",0,IFERROR(_xlfn.MINIFS(Changements!$B:$B,Changements!$A:$A,A165,Changements!$D:$D,B165),"")))</f>
        <v/>
      </c>
      <c r="I165" s="19" t="str">
        <f>IF(M165=0,"",IFERROR(_xlfn.MAXIFS(Changements!$B:$B,Changements!$A:$A,A165,Changements!$C:$C,B165),""))</f>
        <v/>
      </c>
      <c r="J165" s="11" t="str">
        <f t="shared" si="11"/>
        <v/>
      </c>
      <c r="K165" s="17">
        <f t="shared" si="12"/>
        <v>0</v>
      </c>
      <c r="L165" s="17">
        <f>IF(B165="",0,COUNTIFS(Changements!$A:$A,A165,Changements!$D:$D,B165)+IF(E165="Oui",1,0))</f>
        <v>0</v>
      </c>
      <c r="M165" s="17">
        <f>IF(B165="",0,COUNTIFS(Changements!$A:$A,A165,Changements!$C:$C,B165))</f>
        <v>0</v>
      </c>
      <c r="N165" s="17">
        <f>IF(B165="",0,SUMIFS(Changements!$B:$B,Changements!$A:$A,A165,Changements!$D:$D,B165))</f>
        <v>0</v>
      </c>
      <c r="O165" s="17">
        <f>IF(B165="",0,SUMIFS(Changements!$B:$B,Changements!$A:$A,A165,Changements!$C:$C,B165)+IF(L165&gt;M165,IFERROR(INDEX(Matchs!$F$4:$F$31,MATCH(A165,Matchs!$A$4:$A$31,0)),0),0))</f>
        <v>0</v>
      </c>
      <c r="P165" s="17">
        <f t="shared" si="13"/>
        <v>0</v>
      </c>
      <c r="Q165" s="17">
        <f t="shared" si="14"/>
        <v>0</v>
      </c>
    </row>
    <row r="166" spans="1:17" ht="15" customHeight="1" x14ac:dyDescent="0.25">
      <c r="A166" s="11">
        <f t="shared" si="10"/>
        <v>7</v>
      </c>
      <c r="B166" s="11" t="str">
        <f>INDEX('Effectif Saison'!$E$4:$E$22,19)</f>
        <v>Eliot LEIBY</v>
      </c>
      <c r="C166" s="10"/>
      <c r="D166" s="10"/>
      <c r="E166" s="10"/>
      <c r="F166" s="19" t="str">
        <f>IF(B166="","",IF(AND(E166="Oui",COUNTIFS(Changements!$A:$A,A166,Changements!$D:$D,B166)&gt;0),"⚠ Titulaire+entrée ?",IF(ABS(L166-M166)&gt;1,"⚠ vérifier","")))</f>
        <v/>
      </c>
      <c r="G166" s="11" t="str">
        <f>IF(B166="","",IFERROR(INDEX('Effectif Saison'!$D$4:$D$51,MATCH(B166,'Effectif Saison'!$E$4:$E$51,0)),""))</f>
        <v>Équipe 1</v>
      </c>
      <c r="H166" s="19" t="str">
        <f>IF(L166=0,"",IF(E166="Oui",0,IFERROR(_xlfn.MINIFS(Changements!$B:$B,Changements!$A:$A,A166,Changements!$D:$D,B166),"")))</f>
        <v/>
      </c>
      <c r="I166" s="19" t="str">
        <f>IF(M166=0,"",IFERROR(_xlfn.MAXIFS(Changements!$B:$B,Changements!$A:$A,A166,Changements!$C:$C,B166),""))</f>
        <v/>
      </c>
      <c r="J166" s="11" t="str">
        <f t="shared" si="11"/>
        <v/>
      </c>
      <c r="K166" s="17">
        <f t="shared" si="12"/>
        <v>0</v>
      </c>
      <c r="L166" s="17">
        <f>IF(B166="",0,COUNTIFS(Changements!$A:$A,A166,Changements!$D:$D,B166)+IF(E166="Oui",1,0))</f>
        <v>0</v>
      </c>
      <c r="M166" s="17">
        <f>IF(B166="",0,COUNTIFS(Changements!$A:$A,A166,Changements!$C:$C,B166))</f>
        <v>0</v>
      </c>
      <c r="N166" s="17">
        <f>IF(B166="",0,SUMIFS(Changements!$B:$B,Changements!$A:$A,A166,Changements!$D:$D,B166))</f>
        <v>0</v>
      </c>
      <c r="O166" s="17">
        <f>IF(B166="",0,SUMIFS(Changements!$B:$B,Changements!$A:$A,A166,Changements!$C:$C,B166)+IF(L166&gt;M166,IFERROR(INDEX(Matchs!$F$4:$F$31,MATCH(A166,Matchs!$A$4:$A$31,0)),0),0))</f>
        <v>0</v>
      </c>
      <c r="P166" s="17">
        <f t="shared" si="13"/>
        <v>0</v>
      </c>
      <c r="Q166" s="17">
        <f t="shared" si="14"/>
        <v>0</v>
      </c>
    </row>
    <row r="167" spans="1:17" ht="15" customHeight="1" x14ac:dyDescent="0.25">
      <c r="A167" s="11">
        <f t="shared" si="10"/>
        <v>7</v>
      </c>
      <c r="B167" s="10"/>
      <c r="C167" s="10"/>
      <c r="D167" s="10"/>
      <c r="E167" s="10"/>
      <c r="F167" s="19" t="str">
        <f>IF(B167="","",IF(AND(E167="Oui",COUNTIFS(Changements!$A:$A,A167,Changements!$D:$D,B167)&gt;0),"⚠ Titulaire+entrée ?",IF(ABS(L167-M167)&gt;1,"⚠ vérifier","")))</f>
        <v/>
      </c>
      <c r="G167" s="11" t="str">
        <f>IF(B167="","",IFERROR(INDEX('Effectif Saison'!$D$4:$D$51,MATCH(B167,'Effectif Saison'!$E$4:$E$51,0)),""))</f>
        <v/>
      </c>
      <c r="H167" s="19" t="str">
        <f>IF(L167=0,"",IF(E167="Oui",0,IFERROR(_xlfn.MINIFS(Changements!$B:$B,Changements!$A:$A,A167,Changements!$D:$D,B167),"")))</f>
        <v/>
      </c>
      <c r="I167" s="19" t="str">
        <f>IF(M167=0,"",IFERROR(_xlfn.MAXIFS(Changements!$B:$B,Changements!$A:$A,A167,Changements!$C:$C,B167),""))</f>
        <v/>
      </c>
      <c r="J167" s="11" t="str">
        <f t="shared" si="11"/>
        <v/>
      </c>
      <c r="K167" s="17">
        <f t="shared" si="12"/>
        <v>0</v>
      </c>
      <c r="L167" s="17">
        <f>IF(B167="",0,COUNTIFS(Changements!$A:$A,A167,Changements!$D:$D,B167)+IF(E167="Oui",1,0))</f>
        <v>0</v>
      </c>
      <c r="M167" s="17">
        <f>IF(B167="",0,COUNTIFS(Changements!$A:$A,A167,Changements!$C:$C,B167))</f>
        <v>0</v>
      </c>
      <c r="N167" s="17">
        <f>IF(B167="",0,SUMIFS(Changements!$B:$B,Changements!$A:$A,A167,Changements!$D:$D,B167))</f>
        <v>0</v>
      </c>
      <c r="O167" s="17">
        <f>IF(B167="",0,SUMIFS(Changements!$B:$B,Changements!$A:$A,A167,Changements!$C:$C,B167)+IF(L167&gt;M167,IFERROR(INDEX(Matchs!$F$4:$F$31,MATCH(A167,Matchs!$A$4:$A$31,0)),0),0))</f>
        <v>0</v>
      </c>
      <c r="P167" s="17">
        <f t="shared" si="13"/>
        <v>0</v>
      </c>
      <c r="Q167" s="17">
        <f t="shared" si="14"/>
        <v>0</v>
      </c>
    </row>
    <row r="168" spans="1:17" ht="15" customHeight="1" x14ac:dyDescent="0.25">
      <c r="A168" s="11">
        <f t="shared" si="10"/>
        <v>7</v>
      </c>
      <c r="B168" s="10"/>
      <c r="C168" s="10"/>
      <c r="D168" s="10"/>
      <c r="E168" s="10"/>
      <c r="F168" s="19" t="str">
        <f>IF(B168="","",IF(AND(E168="Oui",COUNTIFS(Changements!$A:$A,A168,Changements!$D:$D,B168)&gt;0),"⚠ Titulaire+entrée ?",IF(ABS(L168-M168)&gt;1,"⚠ vérifier","")))</f>
        <v/>
      </c>
      <c r="G168" s="11" t="str">
        <f>IF(B168="","",IFERROR(INDEX('Effectif Saison'!$D$4:$D$51,MATCH(B168,'Effectif Saison'!$E$4:$E$51,0)),""))</f>
        <v/>
      </c>
      <c r="H168" s="19" t="str">
        <f>IF(L168=0,"",IF(E168="Oui",0,IFERROR(_xlfn.MINIFS(Changements!$B:$B,Changements!$A:$A,A168,Changements!$D:$D,B168),"")))</f>
        <v/>
      </c>
      <c r="I168" s="19" t="str">
        <f>IF(M168=0,"",IFERROR(_xlfn.MAXIFS(Changements!$B:$B,Changements!$A:$A,A168,Changements!$C:$C,B168),""))</f>
        <v/>
      </c>
      <c r="J168" s="11" t="str">
        <f t="shared" si="11"/>
        <v/>
      </c>
      <c r="K168" s="17">
        <f t="shared" si="12"/>
        <v>0</v>
      </c>
      <c r="L168" s="17">
        <f>IF(B168="",0,COUNTIFS(Changements!$A:$A,A168,Changements!$D:$D,B168)+IF(E168="Oui",1,0))</f>
        <v>0</v>
      </c>
      <c r="M168" s="17">
        <f>IF(B168="",0,COUNTIFS(Changements!$A:$A,A168,Changements!$C:$C,B168))</f>
        <v>0</v>
      </c>
      <c r="N168" s="17">
        <f>IF(B168="",0,SUMIFS(Changements!$B:$B,Changements!$A:$A,A168,Changements!$D:$D,B168))</f>
        <v>0</v>
      </c>
      <c r="O168" s="17">
        <f>IF(B168="",0,SUMIFS(Changements!$B:$B,Changements!$A:$A,A168,Changements!$C:$C,B168)+IF(L168&gt;M168,IFERROR(INDEX(Matchs!$F$4:$F$31,MATCH(A168,Matchs!$A$4:$A$31,0)),0),0))</f>
        <v>0</v>
      </c>
      <c r="P168" s="17">
        <f t="shared" si="13"/>
        <v>0</v>
      </c>
      <c r="Q168" s="17">
        <f t="shared" si="14"/>
        <v>0</v>
      </c>
    </row>
    <row r="169" spans="1:17" ht="15" customHeight="1" x14ac:dyDescent="0.25">
      <c r="A169" s="11">
        <f t="shared" si="10"/>
        <v>7</v>
      </c>
      <c r="B169" s="10"/>
      <c r="C169" s="10"/>
      <c r="D169" s="10"/>
      <c r="E169" s="10"/>
      <c r="F169" s="19" t="str">
        <f>IF(B169="","",IF(AND(E169="Oui",COUNTIFS(Changements!$A:$A,A169,Changements!$D:$D,B169)&gt;0),"⚠ Titulaire+entrée ?",IF(ABS(L169-M169)&gt;1,"⚠ vérifier","")))</f>
        <v/>
      </c>
      <c r="G169" s="11" t="str">
        <f>IF(B169="","",IFERROR(INDEX('Effectif Saison'!$D$4:$D$51,MATCH(B169,'Effectif Saison'!$E$4:$E$51,0)),""))</f>
        <v/>
      </c>
      <c r="H169" s="19" t="str">
        <f>IF(L169=0,"",IF(E169="Oui",0,IFERROR(_xlfn.MINIFS(Changements!$B:$B,Changements!$A:$A,A169,Changements!$D:$D,B169),"")))</f>
        <v/>
      </c>
      <c r="I169" s="19" t="str">
        <f>IF(M169=0,"",IFERROR(_xlfn.MAXIFS(Changements!$B:$B,Changements!$A:$A,A169,Changements!$C:$C,B169),""))</f>
        <v/>
      </c>
      <c r="J169" s="11" t="str">
        <f t="shared" si="11"/>
        <v/>
      </c>
      <c r="K169" s="17">
        <f t="shared" si="12"/>
        <v>0</v>
      </c>
      <c r="L169" s="17">
        <f>IF(B169="",0,COUNTIFS(Changements!$A:$A,A169,Changements!$D:$D,B169)+IF(E169="Oui",1,0))</f>
        <v>0</v>
      </c>
      <c r="M169" s="17">
        <f>IF(B169="",0,COUNTIFS(Changements!$A:$A,A169,Changements!$C:$C,B169))</f>
        <v>0</v>
      </c>
      <c r="N169" s="17">
        <f>IF(B169="",0,SUMIFS(Changements!$B:$B,Changements!$A:$A,A169,Changements!$D:$D,B169))</f>
        <v>0</v>
      </c>
      <c r="O169" s="17">
        <f>IF(B169="",0,SUMIFS(Changements!$B:$B,Changements!$A:$A,A169,Changements!$C:$C,B169)+IF(L169&gt;M169,IFERROR(INDEX(Matchs!$F$4:$F$31,MATCH(A169,Matchs!$A$4:$A$31,0)),0),0))</f>
        <v>0</v>
      </c>
      <c r="P169" s="17">
        <f t="shared" si="13"/>
        <v>0</v>
      </c>
      <c r="Q169" s="17">
        <f t="shared" si="14"/>
        <v>0</v>
      </c>
    </row>
    <row r="170" spans="1:17" ht="15" customHeight="1" x14ac:dyDescent="0.25">
      <c r="A170" s="11">
        <f t="shared" si="10"/>
        <v>7</v>
      </c>
      <c r="B170" s="10"/>
      <c r="C170" s="10"/>
      <c r="D170" s="10"/>
      <c r="E170" s="10"/>
      <c r="F170" s="19" t="str">
        <f>IF(B170="","",IF(AND(E170="Oui",COUNTIFS(Changements!$A:$A,A170,Changements!$D:$D,B170)&gt;0),"⚠ Titulaire+entrée ?",IF(ABS(L170-M170)&gt;1,"⚠ vérifier","")))</f>
        <v/>
      </c>
      <c r="G170" s="11" t="str">
        <f>IF(B170="","",IFERROR(INDEX('Effectif Saison'!$D$4:$D$51,MATCH(B170,'Effectif Saison'!$E$4:$E$51,0)),""))</f>
        <v/>
      </c>
      <c r="H170" s="19" t="str">
        <f>IF(L170=0,"",IF(E170="Oui",0,IFERROR(_xlfn.MINIFS(Changements!$B:$B,Changements!$A:$A,A170,Changements!$D:$D,B170),"")))</f>
        <v/>
      </c>
      <c r="I170" s="19" t="str">
        <f>IF(M170=0,"",IFERROR(_xlfn.MAXIFS(Changements!$B:$B,Changements!$A:$A,A170,Changements!$C:$C,B170),""))</f>
        <v/>
      </c>
      <c r="J170" s="11" t="str">
        <f t="shared" si="11"/>
        <v/>
      </c>
      <c r="K170" s="17">
        <f t="shared" si="12"/>
        <v>0</v>
      </c>
      <c r="L170" s="17">
        <f>IF(B170="",0,COUNTIFS(Changements!$A:$A,A170,Changements!$D:$D,B170)+IF(E170="Oui",1,0))</f>
        <v>0</v>
      </c>
      <c r="M170" s="17">
        <f>IF(B170="",0,COUNTIFS(Changements!$A:$A,A170,Changements!$C:$C,B170))</f>
        <v>0</v>
      </c>
      <c r="N170" s="17">
        <f>IF(B170="",0,SUMIFS(Changements!$B:$B,Changements!$A:$A,A170,Changements!$D:$D,B170))</f>
        <v>0</v>
      </c>
      <c r="O170" s="17">
        <f>IF(B170="",0,SUMIFS(Changements!$B:$B,Changements!$A:$A,A170,Changements!$C:$C,B170)+IF(L170&gt;M170,IFERROR(INDEX(Matchs!$F$4:$F$31,MATCH(A170,Matchs!$A$4:$A$31,0)),0),0))</f>
        <v>0</v>
      </c>
      <c r="P170" s="17">
        <f t="shared" si="13"/>
        <v>0</v>
      </c>
      <c r="Q170" s="17">
        <f t="shared" si="14"/>
        <v>0</v>
      </c>
    </row>
    <row r="171" spans="1:17" ht="15" customHeight="1" x14ac:dyDescent="0.25">
      <c r="A171" s="11">
        <f t="shared" si="10"/>
        <v>7</v>
      </c>
      <c r="B171" s="10"/>
      <c r="C171" s="10"/>
      <c r="D171" s="10"/>
      <c r="E171" s="10"/>
      <c r="F171" s="19" t="str">
        <f>IF(B171="","",IF(AND(E171="Oui",COUNTIFS(Changements!$A:$A,A171,Changements!$D:$D,B171)&gt;0),"⚠ Titulaire+entrée ?",IF(ABS(L171-M171)&gt;1,"⚠ vérifier","")))</f>
        <v/>
      </c>
      <c r="G171" s="11" t="str">
        <f>IF(B171="","",IFERROR(INDEX('Effectif Saison'!$D$4:$D$51,MATCH(B171,'Effectif Saison'!$E$4:$E$51,0)),""))</f>
        <v/>
      </c>
      <c r="H171" s="19" t="str">
        <f>IF(L171=0,"",IF(E171="Oui",0,IFERROR(_xlfn.MINIFS(Changements!$B:$B,Changements!$A:$A,A171,Changements!$D:$D,B171),"")))</f>
        <v/>
      </c>
      <c r="I171" s="19" t="str">
        <f>IF(M171=0,"",IFERROR(_xlfn.MAXIFS(Changements!$B:$B,Changements!$A:$A,A171,Changements!$C:$C,B171),""))</f>
        <v/>
      </c>
      <c r="J171" s="11" t="str">
        <f t="shared" si="11"/>
        <v/>
      </c>
      <c r="K171" s="17">
        <f t="shared" si="12"/>
        <v>0</v>
      </c>
      <c r="L171" s="17">
        <f>IF(B171="",0,COUNTIFS(Changements!$A:$A,A171,Changements!$D:$D,B171)+IF(E171="Oui",1,0))</f>
        <v>0</v>
      </c>
      <c r="M171" s="17">
        <f>IF(B171="",0,COUNTIFS(Changements!$A:$A,A171,Changements!$C:$C,B171))</f>
        <v>0</v>
      </c>
      <c r="N171" s="17">
        <f>IF(B171="",0,SUMIFS(Changements!$B:$B,Changements!$A:$A,A171,Changements!$D:$D,B171))</f>
        <v>0</v>
      </c>
      <c r="O171" s="17">
        <f>IF(B171="",0,SUMIFS(Changements!$B:$B,Changements!$A:$A,A171,Changements!$C:$C,B171)+IF(L171&gt;M171,IFERROR(INDEX(Matchs!$F$4:$F$31,MATCH(A171,Matchs!$A$4:$A$31,0)),0),0))</f>
        <v>0</v>
      </c>
      <c r="P171" s="17">
        <f t="shared" si="13"/>
        <v>0</v>
      </c>
      <c r="Q171" s="17">
        <f t="shared" si="14"/>
        <v>0</v>
      </c>
    </row>
    <row r="172" spans="1:17" ht="15" customHeight="1" x14ac:dyDescent="0.25">
      <c r="A172" s="11">
        <f t="shared" si="10"/>
        <v>8</v>
      </c>
      <c r="B172" s="11" t="str">
        <f>INDEX('Effectif Saison'!$E$4:$E$22,1)</f>
        <v>Alan MICHON</v>
      </c>
      <c r="C172" s="10"/>
      <c r="D172" s="10"/>
      <c r="E172" s="10"/>
      <c r="F172" s="19" t="str">
        <f>IF(B172="","",IF(AND(E172="Oui",COUNTIFS(Changements!$A:$A,A172,Changements!$D:$D,B172)&gt;0),"⚠ Titulaire+entrée ?",IF(ABS(L172-M172)&gt;1,"⚠ vérifier","")))</f>
        <v/>
      </c>
      <c r="G172" s="11" t="str">
        <f>IF(B172="","",IFERROR(INDEX('Effectif Saison'!$D$4:$D$51,MATCH(B172,'Effectif Saison'!$E$4:$E$51,0)),""))</f>
        <v>Équipe 1</v>
      </c>
      <c r="H172" s="19" t="str">
        <f>IF(L172=0,"",IF(E172="Oui",0,IFERROR(_xlfn.MINIFS(Changements!$B:$B,Changements!$A:$A,A172,Changements!$D:$D,B172),"")))</f>
        <v/>
      </c>
      <c r="I172" s="19" t="str">
        <f>IF(M172=0,"",IFERROR(_xlfn.MAXIFS(Changements!$B:$B,Changements!$A:$A,A172,Changements!$C:$C,B172),""))</f>
        <v/>
      </c>
      <c r="J172" s="11" t="str">
        <f t="shared" si="11"/>
        <v/>
      </c>
      <c r="K172" s="17">
        <f t="shared" si="12"/>
        <v>0</v>
      </c>
      <c r="L172" s="17">
        <f>IF(B172="",0,COUNTIFS(Changements!$A:$A,A172,Changements!$D:$D,B172)+IF(E172="Oui",1,0))</f>
        <v>0</v>
      </c>
      <c r="M172" s="17">
        <f>IF(B172="",0,COUNTIFS(Changements!$A:$A,A172,Changements!$C:$C,B172))</f>
        <v>0</v>
      </c>
      <c r="N172" s="17">
        <f>IF(B172="",0,SUMIFS(Changements!$B:$B,Changements!$A:$A,A172,Changements!$D:$D,B172))</f>
        <v>0</v>
      </c>
      <c r="O172" s="17">
        <f>IF(B172="",0,SUMIFS(Changements!$B:$B,Changements!$A:$A,A172,Changements!$C:$C,B172)+IF(L172&gt;M172,IFERROR(INDEX(Matchs!$F$4:$F$31,MATCH(A172,Matchs!$A$4:$A$31,0)),0),0))</f>
        <v>0</v>
      </c>
      <c r="P172" s="17">
        <f t="shared" si="13"/>
        <v>0</v>
      </c>
      <c r="Q172" s="17">
        <f t="shared" si="14"/>
        <v>0</v>
      </c>
    </row>
    <row r="173" spans="1:17" ht="15" customHeight="1" x14ac:dyDescent="0.25">
      <c r="A173" s="11">
        <f t="shared" si="10"/>
        <v>8</v>
      </c>
      <c r="B173" s="11" t="str">
        <f>INDEX('Effectif Saison'!$E$4:$E$22,2)</f>
        <v>Jean BRUNTZ</v>
      </c>
      <c r="C173" s="10"/>
      <c r="D173" s="10"/>
      <c r="E173" s="10"/>
      <c r="F173" s="19" t="str">
        <f>IF(B173="","",IF(AND(E173="Oui",COUNTIFS(Changements!$A:$A,A173,Changements!$D:$D,B173)&gt;0),"⚠ Titulaire+entrée ?",IF(ABS(L173-M173)&gt;1,"⚠ vérifier","")))</f>
        <v/>
      </c>
      <c r="G173" s="11" t="str">
        <f>IF(B173="","",IFERROR(INDEX('Effectif Saison'!$D$4:$D$51,MATCH(B173,'Effectif Saison'!$E$4:$E$51,0)),""))</f>
        <v>Équipe 1</v>
      </c>
      <c r="H173" s="19" t="str">
        <f>IF(L173=0,"",IF(E173="Oui",0,IFERROR(_xlfn.MINIFS(Changements!$B:$B,Changements!$A:$A,A173,Changements!$D:$D,B173),"")))</f>
        <v/>
      </c>
      <c r="I173" s="19" t="str">
        <f>IF(M173=0,"",IFERROR(_xlfn.MAXIFS(Changements!$B:$B,Changements!$A:$A,A173,Changements!$C:$C,B173),""))</f>
        <v/>
      </c>
      <c r="J173" s="11" t="str">
        <f t="shared" si="11"/>
        <v/>
      </c>
      <c r="K173" s="17">
        <f t="shared" si="12"/>
        <v>0</v>
      </c>
      <c r="L173" s="17">
        <f>IF(B173="",0,COUNTIFS(Changements!$A:$A,A173,Changements!$D:$D,B173)+IF(E173="Oui",1,0))</f>
        <v>0</v>
      </c>
      <c r="M173" s="17">
        <f>IF(B173="",0,COUNTIFS(Changements!$A:$A,A173,Changements!$C:$C,B173))</f>
        <v>0</v>
      </c>
      <c r="N173" s="17">
        <f>IF(B173="",0,SUMIFS(Changements!$B:$B,Changements!$A:$A,A173,Changements!$D:$D,B173))</f>
        <v>0</v>
      </c>
      <c r="O173" s="17">
        <f>IF(B173="",0,SUMIFS(Changements!$B:$B,Changements!$A:$A,A173,Changements!$C:$C,B173)+IF(L173&gt;M173,IFERROR(INDEX(Matchs!$F$4:$F$31,MATCH(A173,Matchs!$A$4:$A$31,0)),0),0))</f>
        <v>0</v>
      </c>
      <c r="P173" s="17">
        <f t="shared" si="13"/>
        <v>0</v>
      </c>
      <c r="Q173" s="17">
        <f t="shared" si="14"/>
        <v>0</v>
      </c>
    </row>
    <row r="174" spans="1:17" ht="15" customHeight="1" x14ac:dyDescent="0.25">
      <c r="A174" s="11">
        <f t="shared" si="10"/>
        <v>8</v>
      </c>
      <c r="B174" s="11" t="str">
        <f>INDEX('Effectif Saison'!$E$4:$E$22,3)</f>
        <v>Marouane SBK</v>
      </c>
      <c r="C174" s="10"/>
      <c r="D174" s="10"/>
      <c r="E174" s="10"/>
      <c r="F174" s="19" t="str">
        <f>IF(B174="","",IF(AND(E174="Oui",COUNTIFS(Changements!$A:$A,A174,Changements!$D:$D,B174)&gt;0),"⚠ Titulaire+entrée ?",IF(ABS(L174-M174)&gt;1,"⚠ vérifier","")))</f>
        <v/>
      </c>
      <c r="G174" s="11" t="str">
        <f>IF(B174="","",IFERROR(INDEX('Effectif Saison'!$D$4:$D$51,MATCH(B174,'Effectif Saison'!$E$4:$E$51,0)),""))</f>
        <v>Équipe 1</v>
      </c>
      <c r="H174" s="19" t="str">
        <f>IF(L174=0,"",IF(E174="Oui",0,IFERROR(_xlfn.MINIFS(Changements!$B:$B,Changements!$A:$A,A174,Changements!$D:$D,B174),"")))</f>
        <v/>
      </c>
      <c r="I174" s="19" t="str">
        <f>IF(M174=0,"",IFERROR(_xlfn.MAXIFS(Changements!$B:$B,Changements!$A:$A,A174,Changements!$C:$C,B174),""))</f>
        <v/>
      </c>
      <c r="J174" s="11" t="str">
        <f t="shared" si="11"/>
        <v/>
      </c>
      <c r="K174" s="17">
        <f t="shared" si="12"/>
        <v>0</v>
      </c>
      <c r="L174" s="17">
        <f>IF(B174="",0,COUNTIFS(Changements!$A:$A,A174,Changements!$D:$D,B174)+IF(E174="Oui",1,0))</f>
        <v>0</v>
      </c>
      <c r="M174" s="17">
        <f>IF(B174="",0,COUNTIFS(Changements!$A:$A,A174,Changements!$C:$C,B174))</f>
        <v>0</v>
      </c>
      <c r="N174" s="17">
        <f>IF(B174="",0,SUMIFS(Changements!$B:$B,Changements!$A:$A,A174,Changements!$D:$D,B174))</f>
        <v>0</v>
      </c>
      <c r="O174" s="17">
        <f>IF(B174="",0,SUMIFS(Changements!$B:$B,Changements!$A:$A,A174,Changements!$C:$C,B174)+IF(L174&gt;M174,IFERROR(INDEX(Matchs!$F$4:$F$31,MATCH(A174,Matchs!$A$4:$A$31,0)),0),0))</f>
        <v>0</v>
      </c>
      <c r="P174" s="17">
        <f t="shared" si="13"/>
        <v>0</v>
      </c>
      <c r="Q174" s="17">
        <f t="shared" si="14"/>
        <v>0</v>
      </c>
    </row>
    <row r="175" spans="1:17" ht="15" customHeight="1" x14ac:dyDescent="0.25">
      <c r="A175" s="11">
        <f t="shared" si="10"/>
        <v>8</v>
      </c>
      <c r="B175" s="11" t="str">
        <f>INDEX('Effectif Saison'!$E$4:$E$22,4)</f>
        <v>Noé BIHL</v>
      </c>
      <c r="C175" s="10"/>
      <c r="D175" s="10"/>
      <c r="E175" s="10"/>
      <c r="F175" s="19" t="str">
        <f>IF(B175="","",IF(AND(E175="Oui",COUNTIFS(Changements!$A:$A,A175,Changements!$D:$D,B175)&gt;0),"⚠ Titulaire+entrée ?",IF(ABS(L175-M175)&gt;1,"⚠ vérifier","")))</f>
        <v/>
      </c>
      <c r="G175" s="11" t="str">
        <f>IF(B175="","",IFERROR(INDEX('Effectif Saison'!$D$4:$D$51,MATCH(B175,'Effectif Saison'!$E$4:$E$51,0)),""))</f>
        <v>Équipe 1</v>
      </c>
      <c r="H175" s="19" t="str">
        <f>IF(L175=0,"",IF(E175="Oui",0,IFERROR(_xlfn.MINIFS(Changements!$B:$B,Changements!$A:$A,A175,Changements!$D:$D,B175),"")))</f>
        <v/>
      </c>
      <c r="I175" s="19" t="str">
        <f>IF(M175=0,"",IFERROR(_xlfn.MAXIFS(Changements!$B:$B,Changements!$A:$A,A175,Changements!$C:$C,B175),""))</f>
        <v/>
      </c>
      <c r="J175" s="11" t="str">
        <f t="shared" si="11"/>
        <v/>
      </c>
      <c r="K175" s="17">
        <f t="shared" si="12"/>
        <v>0</v>
      </c>
      <c r="L175" s="17">
        <f>IF(B175="",0,COUNTIFS(Changements!$A:$A,A175,Changements!$D:$D,B175)+IF(E175="Oui",1,0))</f>
        <v>0</v>
      </c>
      <c r="M175" s="17">
        <f>IF(B175="",0,COUNTIFS(Changements!$A:$A,A175,Changements!$C:$C,B175))</f>
        <v>0</v>
      </c>
      <c r="N175" s="17">
        <f>IF(B175="",0,SUMIFS(Changements!$B:$B,Changements!$A:$A,A175,Changements!$D:$D,B175))</f>
        <v>0</v>
      </c>
      <c r="O175" s="17">
        <f>IF(B175="",0,SUMIFS(Changements!$B:$B,Changements!$A:$A,A175,Changements!$C:$C,B175)+IF(L175&gt;M175,IFERROR(INDEX(Matchs!$F$4:$F$31,MATCH(A175,Matchs!$A$4:$A$31,0)),0),0))</f>
        <v>0</v>
      </c>
      <c r="P175" s="17">
        <f t="shared" si="13"/>
        <v>0</v>
      </c>
      <c r="Q175" s="17">
        <f t="shared" si="14"/>
        <v>0</v>
      </c>
    </row>
    <row r="176" spans="1:17" ht="15" customHeight="1" x14ac:dyDescent="0.25">
      <c r="A176" s="11">
        <f t="shared" si="10"/>
        <v>8</v>
      </c>
      <c r="B176" s="11" t="str">
        <f>INDEX('Effectif Saison'!$E$4:$E$22,5)</f>
        <v>Luca COLAIANNI</v>
      </c>
      <c r="C176" s="10"/>
      <c r="D176" s="10"/>
      <c r="E176" s="10"/>
      <c r="F176" s="19" t="str">
        <f>IF(B176="","",IF(AND(E176="Oui",COUNTIFS(Changements!$A:$A,A176,Changements!$D:$D,B176)&gt;0),"⚠ Titulaire+entrée ?",IF(ABS(L176-M176)&gt;1,"⚠ vérifier","")))</f>
        <v/>
      </c>
      <c r="G176" s="11" t="str">
        <f>IF(B176="","",IFERROR(INDEX('Effectif Saison'!$D$4:$D$51,MATCH(B176,'Effectif Saison'!$E$4:$E$51,0)),""))</f>
        <v>Équipe 1</v>
      </c>
      <c r="H176" s="19" t="str">
        <f>IF(L176=0,"",IF(E176="Oui",0,IFERROR(_xlfn.MINIFS(Changements!$B:$B,Changements!$A:$A,A176,Changements!$D:$D,B176),"")))</f>
        <v/>
      </c>
      <c r="I176" s="19" t="str">
        <f>IF(M176=0,"",IFERROR(_xlfn.MAXIFS(Changements!$B:$B,Changements!$A:$A,A176,Changements!$C:$C,B176),""))</f>
        <v/>
      </c>
      <c r="J176" s="11" t="str">
        <f t="shared" si="11"/>
        <v/>
      </c>
      <c r="K176" s="17">
        <f t="shared" si="12"/>
        <v>0</v>
      </c>
      <c r="L176" s="17">
        <f>IF(B176="",0,COUNTIFS(Changements!$A:$A,A176,Changements!$D:$D,B176)+IF(E176="Oui",1,0))</f>
        <v>0</v>
      </c>
      <c r="M176" s="17">
        <f>IF(B176="",0,COUNTIFS(Changements!$A:$A,A176,Changements!$C:$C,B176))</f>
        <v>0</v>
      </c>
      <c r="N176" s="17">
        <f>IF(B176="",0,SUMIFS(Changements!$B:$B,Changements!$A:$A,A176,Changements!$D:$D,B176))</f>
        <v>0</v>
      </c>
      <c r="O176" s="17">
        <f>IF(B176="",0,SUMIFS(Changements!$B:$B,Changements!$A:$A,A176,Changements!$C:$C,B176)+IF(L176&gt;M176,IFERROR(INDEX(Matchs!$F$4:$F$31,MATCH(A176,Matchs!$A$4:$A$31,0)),0),0))</f>
        <v>0</v>
      </c>
      <c r="P176" s="17">
        <f t="shared" si="13"/>
        <v>0</v>
      </c>
      <c r="Q176" s="17">
        <f t="shared" si="14"/>
        <v>0</v>
      </c>
    </row>
    <row r="177" spans="1:17" ht="15" customHeight="1" x14ac:dyDescent="0.25">
      <c r="A177" s="11">
        <f t="shared" si="10"/>
        <v>8</v>
      </c>
      <c r="B177" s="11" t="str">
        <f>INDEX('Effectif Saison'!$E$4:$E$22,6)</f>
        <v>Atilla ER</v>
      </c>
      <c r="C177" s="10"/>
      <c r="D177" s="10"/>
      <c r="E177" s="10"/>
      <c r="F177" s="19" t="str">
        <f>IF(B177="","",IF(AND(E177="Oui",COUNTIFS(Changements!$A:$A,A177,Changements!$D:$D,B177)&gt;0),"⚠ Titulaire+entrée ?",IF(ABS(L177-M177)&gt;1,"⚠ vérifier","")))</f>
        <v/>
      </c>
      <c r="G177" s="11" t="str">
        <f>IF(B177="","",IFERROR(INDEX('Effectif Saison'!$D$4:$D$51,MATCH(B177,'Effectif Saison'!$E$4:$E$51,0)),""))</f>
        <v>Équipe 1</v>
      </c>
      <c r="H177" s="19" t="str">
        <f>IF(L177=0,"",IF(E177="Oui",0,IFERROR(_xlfn.MINIFS(Changements!$B:$B,Changements!$A:$A,A177,Changements!$D:$D,B177),"")))</f>
        <v/>
      </c>
      <c r="I177" s="19" t="str">
        <f>IF(M177=0,"",IFERROR(_xlfn.MAXIFS(Changements!$B:$B,Changements!$A:$A,A177,Changements!$C:$C,B177),""))</f>
        <v/>
      </c>
      <c r="J177" s="11" t="str">
        <f t="shared" si="11"/>
        <v/>
      </c>
      <c r="K177" s="17">
        <f t="shared" si="12"/>
        <v>0</v>
      </c>
      <c r="L177" s="17">
        <f>IF(B177="",0,COUNTIFS(Changements!$A:$A,A177,Changements!$D:$D,B177)+IF(E177="Oui",1,0))</f>
        <v>0</v>
      </c>
      <c r="M177" s="17">
        <f>IF(B177="",0,COUNTIFS(Changements!$A:$A,A177,Changements!$C:$C,B177))</f>
        <v>0</v>
      </c>
      <c r="N177" s="17">
        <f>IF(B177="",0,SUMIFS(Changements!$B:$B,Changements!$A:$A,A177,Changements!$D:$D,B177))</f>
        <v>0</v>
      </c>
      <c r="O177" s="17">
        <f>IF(B177="",0,SUMIFS(Changements!$B:$B,Changements!$A:$A,A177,Changements!$C:$C,B177)+IF(L177&gt;M177,IFERROR(INDEX(Matchs!$F$4:$F$31,MATCH(A177,Matchs!$A$4:$A$31,0)),0),0))</f>
        <v>0</v>
      </c>
      <c r="P177" s="17">
        <f t="shared" si="13"/>
        <v>0</v>
      </c>
      <c r="Q177" s="17">
        <f t="shared" si="14"/>
        <v>0</v>
      </c>
    </row>
    <row r="178" spans="1:17" ht="15" customHeight="1" x14ac:dyDescent="0.25">
      <c r="A178" s="11">
        <f t="shared" si="10"/>
        <v>8</v>
      </c>
      <c r="B178" s="11" t="str">
        <f>INDEX('Effectif Saison'!$E$4:$E$22,7)</f>
        <v>Lucas BUHR</v>
      </c>
      <c r="C178" s="10"/>
      <c r="D178" s="10"/>
      <c r="E178" s="10"/>
      <c r="F178" s="19" t="str">
        <f>IF(B178="","",IF(AND(E178="Oui",COUNTIFS(Changements!$A:$A,A178,Changements!$D:$D,B178)&gt;0),"⚠ Titulaire+entrée ?",IF(ABS(L178-M178)&gt;1,"⚠ vérifier","")))</f>
        <v/>
      </c>
      <c r="G178" s="11" t="str">
        <f>IF(B178="","",IFERROR(INDEX('Effectif Saison'!$D$4:$D$51,MATCH(B178,'Effectif Saison'!$E$4:$E$51,0)),""))</f>
        <v>Équipe 1</v>
      </c>
      <c r="H178" s="19" t="str">
        <f>IF(L178=0,"",IF(E178="Oui",0,IFERROR(_xlfn.MINIFS(Changements!$B:$B,Changements!$A:$A,A178,Changements!$D:$D,B178),"")))</f>
        <v/>
      </c>
      <c r="I178" s="19" t="str">
        <f>IF(M178=0,"",IFERROR(_xlfn.MAXIFS(Changements!$B:$B,Changements!$A:$A,A178,Changements!$C:$C,B178),""))</f>
        <v/>
      </c>
      <c r="J178" s="11" t="str">
        <f t="shared" si="11"/>
        <v/>
      </c>
      <c r="K178" s="17">
        <f t="shared" si="12"/>
        <v>0</v>
      </c>
      <c r="L178" s="17">
        <f>IF(B178="",0,COUNTIFS(Changements!$A:$A,A178,Changements!$D:$D,B178)+IF(E178="Oui",1,0))</f>
        <v>0</v>
      </c>
      <c r="M178" s="17">
        <f>IF(B178="",0,COUNTIFS(Changements!$A:$A,A178,Changements!$C:$C,B178))</f>
        <v>0</v>
      </c>
      <c r="N178" s="17">
        <f>IF(B178="",0,SUMIFS(Changements!$B:$B,Changements!$A:$A,A178,Changements!$D:$D,B178))</f>
        <v>0</v>
      </c>
      <c r="O178" s="17">
        <f>IF(B178="",0,SUMIFS(Changements!$B:$B,Changements!$A:$A,A178,Changements!$C:$C,B178)+IF(L178&gt;M178,IFERROR(INDEX(Matchs!$F$4:$F$31,MATCH(A178,Matchs!$A$4:$A$31,0)),0),0))</f>
        <v>0</v>
      </c>
      <c r="P178" s="17">
        <f t="shared" si="13"/>
        <v>0</v>
      </c>
      <c r="Q178" s="17">
        <f t="shared" si="14"/>
        <v>0</v>
      </c>
    </row>
    <row r="179" spans="1:17" ht="15" customHeight="1" x14ac:dyDescent="0.25">
      <c r="A179" s="11">
        <f t="shared" si="10"/>
        <v>8</v>
      </c>
      <c r="B179" s="11" t="str">
        <f>INDEX('Effectif Saison'!$E$4:$E$22,8)</f>
        <v>Yanis HOUX</v>
      </c>
      <c r="C179" s="10"/>
      <c r="D179" s="10"/>
      <c r="E179" s="10"/>
      <c r="F179" s="19" t="str">
        <f>IF(B179="","",IF(AND(E179="Oui",COUNTIFS(Changements!$A:$A,A179,Changements!$D:$D,B179)&gt;0),"⚠ Titulaire+entrée ?",IF(ABS(L179-M179)&gt;1,"⚠ vérifier","")))</f>
        <v/>
      </c>
      <c r="G179" s="11" t="str">
        <f>IF(B179="","",IFERROR(INDEX('Effectif Saison'!$D$4:$D$51,MATCH(B179,'Effectif Saison'!$E$4:$E$51,0)),""))</f>
        <v>Équipe 1</v>
      </c>
      <c r="H179" s="19" t="str">
        <f>IF(L179=0,"",IF(E179="Oui",0,IFERROR(_xlfn.MINIFS(Changements!$B:$B,Changements!$A:$A,A179,Changements!$D:$D,B179),"")))</f>
        <v/>
      </c>
      <c r="I179" s="19" t="str">
        <f>IF(M179=0,"",IFERROR(_xlfn.MAXIFS(Changements!$B:$B,Changements!$A:$A,A179,Changements!$C:$C,B179),""))</f>
        <v/>
      </c>
      <c r="J179" s="11" t="str">
        <f t="shared" si="11"/>
        <v/>
      </c>
      <c r="K179" s="17">
        <f t="shared" si="12"/>
        <v>0</v>
      </c>
      <c r="L179" s="17">
        <f>IF(B179="",0,COUNTIFS(Changements!$A:$A,A179,Changements!$D:$D,B179)+IF(E179="Oui",1,0))</f>
        <v>0</v>
      </c>
      <c r="M179" s="17">
        <f>IF(B179="",0,COUNTIFS(Changements!$A:$A,A179,Changements!$C:$C,B179))</f>
        <v>0</v>
      </c>
      <c r="N179" s="17">
        <f>IF(B179="",0,SUMIFS(Changements!$B:$B,Changements!$A:$A,A179,Changements!$D:$D,B179))</f>
        <v>0</v>
      </c>
      <c r="O179" s="17">
        <f>IF(B179="",0,SUMIFS(Changements!$B:$B,Changements!$A:$A,A179,Changements!$C:$C,B179)+IF(L179&gt;M179,IFERROR(INDEX(Matchs!$F$4:$F$31,MATCH(A179,Matchs!$A$4:$A$31,0)),0),0))</f>
        <v>0</v>
      </c>
      <c r="P179" s="17">
        <f t="shared" si="13"/>
        <v>0</v>
      </c>
      <c r="Q179" s="17">
        <f t="shared" si="14"/>
        <v>0</v>
      </c>
    </row>
    <row r="180" spans="1:17" ht="15" customHeight="1" x14ac:dyDescent="0.25">
      <c r="A180" s="11">
        <f t="shared" si="10"/>
        <v>8</v>
      </c>
      <c r="B180" s="11" t="str">
        <f>INDEX('Effectif Saison'!$E$4:$E$22,9)</f>
        <v>Tino COLAIANNI</v>
      </c>
      <c r="C180" s="10"/>
      <c r="D180" s="10"/>
      <c r="E180" s="10"/>
      <c r="F180" s="19" t="str">
        <f>IF(B180="","",IF(AND(E180="Oui",COUNTIFS(Changements!$A:$A,A180,Changements!$D:$D,B180)&gt;0),"⚠ Titulaire+entrée ?",IF(ABS(L180-M180)&gt;1,"⚠ vérifier","")))</f>
        <v/>
      </c>
      <c r="G180" s="11" t="str">
        <f>IF(B180="","",IFERROR(INDEX('Effectif Saison'!$D$4:$D$51,MATCH(B180,'Effectif Saison'!$E$4:$E$51,0)),""))</f>
        <v>Équipe 1</v>
      </c>
      <c r="H180" s="19" t="str">
        <f>IF(L180=0,"",IF(E180="Oui",0,IFERROR(_xlfn.MINIFS(Changements!$B:$B,Changements!$A:$A,A180,Changements!$D:$D,B180),"")))</f>
        <v/>
      </c>
      <c r="I180" s="19" t="str">
        <f>IF(M180=0,"",IFERROR(_xlfn.MAXIFS(Changements!$B:$B,Changements!$A:$A,A180,Changements!$C:$C,B180),""))</f>
        <v/>
      </c>
      <c r="J180" s="11" t="str">
        <f t="shared" si="11"/>
        <v/>
      </c>
      <c r="K180" s="17">
        <f t="shared" si="12"/>
        <v>0</v>
      </c>
      <c r="L180" s="17">
        <f>IF(B180="",0,COUNTIFS(Changements!$A:$A,A180,Changements!$D:$D,B180)+IF(E180="Oui",1,0))</f>
        <v>0</v>
      </c>
      <c r="M180" s="17">
        <f>IF(B180="",0,COUNTIFS(Changements!$A:$A,A180,Changements!$C:$C,B180))</f>
        <v>0</v>
      </c>
      <c r="N180" s="17">
        <f>IF(B180="",0,SUMIFS(Changements!$B:$B,Changements!$A:$A,A180,Changements!$D:$D,B180))</f>
        <v>0</v>
      </c>
      <c r="O180" s="17">
        <f>IF(B180="",0,SUMIFS(Changements!$B:$B,Changements!$A:$A,A180,Changements!$C:$C,B180)+IF(L180&gt;M180,IFERROR(INDEX(Matchs!$F$4:$F$31,MATCH(A180,Matchs!$A$4:$A$31,0)),0),0))</f>
        <v>0</v>
      </c>
      <c r="P180" s="17">
        <f t="shared" si="13"/>
        <v>0</v>
      </c>
      <c r="Q180" s="17">
        <f t="shared" si="14"/>
        <v>0</v>
      </c>
    </row>
    <row r="181" spans="1:17" ht="15" customHeight="1" x14ac:dyDescent="0.25">
      <c r="A181" s="11">
        <f t="shared" si="10"/>
        <v>8</v>
      </c>
      <c r="B181" s="11" t="str">
        <f>INDEX('Effectif Saison'!$E$4:$E$22,10)</f>
        <v>Achille KELLERKNECHT</v>
      </c>
      <c r="C181" s="10"/>
      <c r="D181" s="10"/>
      <c r="E181" s="10"/>
      <c r="F181" s="19" t="str">
        <f>IF(B181="","",IF(AND(E181="Oui",COUNTIFS(Changements!$A:$A,A181,Changements!$D:$D,B181)&gt;0),"⚠ Titulaire+entrée ?",IF(ABS(L181-M181)&gt;1,"⚠ vérifier","")))</f>
        <v/>
      </c>
      <c r="G181" s="11" t="str">
        <f>IF(B181="","",IFERROR(INDEX('Effectif Saison'!$D$4:$D$51,MATCH(B181,'Effectif Saison'!$E$4:$E$51,0)),""))</f>
        <v>Équipe 1</v>
      </c>
      <c r="H181" s="19" t="str">
        <f>IF(L181=0,"",IF(E181="Oui",0,IFERROR(_xlfn.MINIFS(Changements!$B:$B,Changements!$A:$A,A181,Changements!$D:$D,B181),"")))</f>
        <v/>
      </c>
      <c r="I181" s="19" t="str">
        <f>IF(M181=0,"",IFERROR(_xlfn.MAXIFS(Changements!$B:$B,Changements!$A:$A,A181,Changements!$C:$C,B181),""))</f>
        <v/>
      </c>
      <c r="J181" s="11" t="str">
        <f t="shared" si="11"/>
        <v/>
      </c>
      <c r="K181" s="17">
        <f t="shared" si="12"/>
        <v>0</v>
      </c>
      <c r="L181" s="17">
        <f>IF(B181="",0,COUNTIFS(Changements!$A:$A,A181,Changements!$D:$D,B181)+IF(E181="Oui",1,0))</f>
        <v>0</v>
      </c>
      <c r="M181" s="17">
        <f>IF(B181="",0,COUNTIFS(Changements!$A:$A,A181,Changements!$C:$C,B181))</f>
        <v>0</v>
      </c>
      <c r="N181" s="17">
        <f>IF(B181="",0,SUMIFS(Changements!$B:$B,Changements!$A:$A,A181,Changements!$D:$D,B181))</f>
        <v>0</v>
      </c>
      <c r="O181" s="17">
        <f>IF(B181="",0,SUMIFS(Changements!$B:$B,Changements!$A:$A,A181,Changements!$C:$C,B181)+IF(L181&gt;M181,IFERROR(INDEX(Matchs!$F$4:$F$31,MATCH(A181,Matchs!$A$4:$A$31,0)),0),0))</f>
        <v>0</v>
      </c>
      <c r="P181" s="17">
        <f t="shared" si="13"/>
        <v>0</v>
      </c>
      <c r="Q181" s="17">
        <f t="shared" si="14"/>
        <v>0</v>
      </c>
    </row>
    <row r="182" spans="1:17" ht="15" customHeight="1" x14ac:dyDescent="0.25">
      <c r="A182" s="11">
        <f t="shared" si="10"/>
        <v>8</v>
      </c>
      <c r="B182" s="11" t="str">
        <f>INDEX('Effectif Saison'!$E$4:$E$22,11)</f>
        <v>Charly LEPERT</v>
      </c>
      <c r="C182" s="10"/>
      <c r="D182" s="10"/>
      <c r="E182" s="10"/>
      <c r="F182" s="19" t="str">
        <f>IF(B182="","",IF(AND(E182="Oui",COUNTIFS(Changements!$A:$A,A182,Changements!$D:$D,B182)&gt;0),"⚠ Titulaire+entrée ?",IF(ABS(L182-M182)&gt;1,"⚠ vérifier","")))</f>
        <v/>
      </c>
      <c r="G182" s="11" t="str">
        <f>IF(B182="","",IFERROR(INDEX('Effectif Saison'!$D$4:$D$51,MATCH(B182,'Effectif Saison'!$E$4:$E$51,0)),""))</f>
        <v>Équipe 1</v>
      </c>
      <c r="H182" s="19" t="str">
        <f>IF(L182=0,"",IF(E182="Oui",0,IFERROR(_xlfn.MINIFS(Changements!$B:$B,Changements!$A:$A,A182,Changements!$D:$D,B182),"")))</f>
        <v/>
      </c>
      <c r="I182" s="19" t="str">
        <f>IF(M182=0,"",IFERROR(_xlfn.MAXIFS(Changements!$B:$B,Changements!$A:$A,A182,Changements!$C:$C,B182),""))</f>
        <v/>
      </c>
      <c r="J182" s="11" t="str">
        <f t="shared" si="11"/>
        <v/>
      </c>
      <c r="K182" s="17">
        <f t="shared" si="12"/>
        <v>0</v>
      </c>
      <c r="L182" s="17">
        <f>IF(B182="",0,COUNTIFS(Changements!$A:$A,A182,Changements!$D:$D,B182)+IF(E182="Oui",1,0))</f>
        <v>0</v>
      </c>
      <c r="M182" s="17">
        <f>IF(B182="",0,COUNTIFS(Changements!$A:$A,A182,Changements!$C:$C,B182))</f>
        <v>0</v>
      </c>
      <c r="N182" s="17">
        <f>IF(B182="",0,SUMIFS(Changements!$B:$B,Changements!$A:$A,A182,Changements!$D:$D,B182))</f>
        <v>0</v>
      </c>
      <c r="O182" s="17">
        <f>IF(B182="",0,SUMIFS(Changements!$B:$B,Changements!$A:$A,A182,Changements!$C:$C,B182)+IF(L182&gt;M182,IFERROR(INDEX(Matchs!$F$4:$F$31,MATCH(A182,Matchs!$A$4:$A$31,0)),0),0))</f>
        <v>0</v>
      </c>
      <c r="P182" s="17">
        <f t="shared" si="13"/>
        <v>0</v>
      </c>
      <c r="Q182" s="17">
        <f t="shared" si="14"/>
        <v>0</v>
      </c>
    </row>
    <row r="183" spans="1:17" ht="15" customHeight="1" x14ac:dyDescent="0.25">
      <c r="A183" s="11">
        <f t="shared" si="10"/>
        <v>8</v>
      </c>
      <c r="B183" s="11" t="str">
        <f>INDEX('Effectif Saison'!$E$4:$E$22,12)</f>
        <v>Basile STANGRET</v>
      </c>
      <c r="C183" s="10"/>
      <c r="D183" s="10"/>
      <c r="E183" s="10"/>
      <c r="F183" s="19" t="str">
        <f>IF(B183="","",IF(AND(E183="Oui",COUNTIFS(Changements!$A:$A,A183,Changements!$D:$D,B183)&gt;0),"⚠ Titulaire+entrée ?",IF(ABS(L183-M183)&gt;1,"⚠ vérifier","")))</f>
        <v/>
      </c>
      <c r="G183" s="11" t="str">
        <f>IF(B183="","",IFERROR(INDEX('Effectif Saison'!$D$4:$D$51,MATCH(B183,'Effectif Saison'!$E$4:$E$51,0)),""))</f>
        <v>Équipe 1</v>
      </c>
      <c r="H183" s="19" t="str">
        <f>IF(L183=0,"",IF(E183="Oui",0,IFERROR(_xlfn.MINIFS(Changements!$B:$B,Changements!$A:$A,A183,Changements!$D:$D,B183),"")))</f>
        <v/>
      </c>
      <c r="I183" s="19" t="str">
        <f>IF(M183=0,"",IFERROR(_xlfn.MAXIFS(Changements!$B:$B,Changements!$A:$A,A183,Changements!$C:$C,B183),""))</f>
        <v/>
      </c>
      <c r="J183" s="11" t="str">
        <f t="shared" si="11"/>
        <v/>
      </c>
      <c r="K183" s="17">
        <f t="shared" si="12"/>
        <v>0</v>
      </c>
      <c r="L183" s="17">
        <f>IF(B183="",0,COUNTIFS(Changements!$A:$A,A183,Changements!$D:$D,B183)+IF(E183="Oui",1,0))</f>
        <v>0</v>
      </c>
      <c r="M183" s="17">
        <f>IF(B183="",0,COUNTIFS(Changements!$A:$A,A183,Changements!$C:$C,B183))</f>
        <v>0</v>
      </c>
      <c r="N183" s="17">
        <f>IF(B183="",0,SUMIFS(Changements!$B:$B,Changements!$A:$A,A183,Changements!$D:$D,B183))</f>
        <v>0</v>
      </c>
      <c r="O183" s="17">
        <f>IF(B183="",0,SUMIFS(Changements!$B:$B,Changements!$A:$A,A183,Changements!$C:$C,B183)+IF(L183&gt;M183,IFERROR(INDEX(Matchs!$F$4:$F$31,MATCH(A183,Matchs!$A$4:$A$31,0)),0),0))</f>
        <v>0</v>
      </c>
      <c r="P183" s="17">
        <f t="shared" si="13"/>
        <v>0</v>
      </c>
      <c r="Q183" s="17">
        <f t="shared" si="14"/>
        <v>0</v>
      </c>
    </row>
    <row r="184" spans="1:17" ht="15" customHeight="1" x14ac:dyDescent="0.25">
      <c r="A184" s="11">
        <f t="shared" si="10"/>
        <v>8</v>
      </c>
      <c r="B184" s="11" t="str">
        <f>INDEX('Effectif Saison'!$E$4:$E$22,13)</f>
        <v>Maxence KELLER</v>
      </c>
      <c r="C184" s="10"/>
      <c r="D184" s="10"/>
      <c r="E184" s="10"/>
      <c r="F184" s="19" t="str">
        <f>IF(B184="","",IF(AND(E184="Oui",COUNTIFS(Changements!$A:$A,A184,Changements!$D:$D,B184)&gt;0),"⚠ Titulaire+entrée ?",IF(ABS(L184-M184)&gt;1,"⚠ vérifier","")))</f>
        <v/>
      </c>
      <c r="G184" s="11" t="str">
        <f>IF(B184="","",IFERROR(INDEX('Effectif Saison'!$D$4:$D$51,MATCH(B184,'Effectif Saison'!$E$4:$E$51,0)),""))</f>
        <v>Équipe 1</v>
      </c>
      <c r="H184" s="19" t="str">
        <f>IF(L184=0,"",IF(E184="Oui",0,IFERROR(_xlfn.MINIFS(Changements!$B:$B,Changements!$A:$A,A184,Changements!$D:$D,B184),"")))</f>
        <v/>
      </c>
      <c r="I184" s="19" t="str">
        <f>IF(M184=0,"",IFERROR(_xlfn.MAXIFS(Changements!$B:$B,Changements!$A:$A,A184,Changements!$C:$C,B184),""))</f>
        <v/>
      </c>
      <c r="J184" s="11" t="str">
        <f t="shared" si="11"/>
        <v/>
      </c>
      <c r="K184" s="17">
        <f t="shared" si="12"/>
        <v>0</v>
      </c>
      <c r="L184" s="17">
        <f>IF(B184="",0,COUNTIFS(Changements!$A:$A,A184,Changements!$D:$D,B184)+IF(E184="Oui",1,0))</f>
        <v>0</v>
      </c>
      <c r="M184" s="17">
        <f>IF(B184="",0,COUNTIFS(Changements!$A:$A,A184,Changements!$C:$C,B184))</f>
        <v>0</v>
      </c>
      <c r="N184" s="17">
        <f>IF(B184="",0,SUMIFS(Changements!$B:$B,Changements!$A:$A,A184,Changements!$D:$D,B184))</f>
        <v>0</v>
      </c>
      <c r="O184" s="17">
        <f>IF(B184="",0,SUMIFS(Changements!$B:$B,Changements!$A:$A,A184,Changements!$C:$C,B184)+IF(L184&gt;M184,IFERROR(INDEX(Matchs!$F$4:$F$31,MATCH(A184,Matchs!$A$4:$A$31,0)),0),0))</f>
        <v>0</v>
      </c>
      <c r="P184" s="17">
        <f t="shared" si="13"/>
        <v>0</v>
      </c>
      <c r="Q184" s="17">
        <f t="shared" si="14"/>
        <v>0</v>
      </c>
    </row>
    <row r="185" spans="1:17" ht="15" customHeight="1" x14ac:dyDescent="0.25">
      <c r="A185" s="11">
        <f t="shared" si="10"/>
        <v>8</v>
      </c>
      <c r="B185" s="11" t="str">
        <f>INDEX('Effectif Saison'!$E$4:$E$22,14)</f>
        <v>Evan SCHMITT</v>
      </c>
      <c r="C185" s="10"/>
      <c r="D185" s="10"/>
      <c r="E185" s="10"/>
      <c r="F185" s="19" t="str">
        <f>IF(B185="","",IF(AND(E185="Oui",COUNTIFS(Changements!$A:$A,A185,Changements!$D:$D,B185)&gt;0),"⚠ Titulaire+entrée ?",IF(ABS(L185-M185)&gt;1,"⚠ vérifier","")))</f>
        <v/>
      </c>
      <c r="G185" s="11" t="str">
        <f>IF(B185="","",IFERROR(INDEX('Effectif Saison'!$D$4:$D$51,MATCH(B185,'Effectif Saison'!$E$4:$E$51,0)),""))</f>
        <v>Équipe 1</v>
      </c>
      <c r="H185" s="19" t="str">
        <f>IF(L185=0,"",IF(E185="Oui",0,IFERROR(_xlfn.MINIFS(Changements!$B:$B,Changements!$A:$A,A185,Changements!$D:$D,B185),"")))</f>
        <v/>
      </c>
      <c r="I185" s="19" t="str">
        <f>IF(M185=0,"",IFERROR(_xlfn.MAXIFS(Changements!$B:$B,Changements!$A:$A,A185,Changements!$C:$C,B185),""))</f>
        <v/>
      </c>
      <c r="J185" s="11" t="str">
        <f t="shared" si="11"/>
        <v/>
      </c>
      <c r="K185" s="17">
        <f t="shared" si="12"/>
        <v>0</v>
      </c>
      <c r="L185" s="17">
        <f>IF(B185="",0,COUNTIFS(Changements!$A:$A,A185,Changements!$D:$D,B185)+IF(E185="Oui",1,0))</f>
        <v>0</v>
      </c>
      <c r="M185" s="17">
        <f>IF(B185="",0,COUNTIFS(Changements!$A:$A,A185,Changements!$C:$C,B185))</f>
        <v>0</v>
      </c>
      <c r="N185" s="17">
        <f>IF(B185="",0,SUMIFS(Changements!$B:$B,Changements!$A:$A,A185,Changements!$D:$D,B185))</f>
        <v>0</v>
      </c>
      <c r="O185" s="17">
        <f>IF(B185="",0,SUMIFS(Changements!$B:$B,Changements!$A:$A,A185,Changements!$C:$C,B185)+IF(L185&gt;M185,IFERROR(INDEX(Matchs!$F$4:$F$31,MATCH(A185,Matchs!$A$4:$A$31,0)),0),0))</f>
        <v>0</v>
      </c>
      <c r="P185" s="17">
        <f t="shared" si="13"/>
        <v>0</v>
      </c>
      <c r="Q185" s="17">
        <f t="shared" si="14"/>
        <v>0</v>
      </c>
    </row>
    <row r="186" spans="1:17" ht="15" customHeight="1" x14ac:dyDescent="0.25">
      <c r="A186" s="11">
        <f t="shared" si="10"/>
        <v>8</v>
      </c>
      <c r="B186" s="11" t="str">
        <f>INDEX('Effectif Saison'!$E$4:$E$22,15)</f>
        <v>William SIMON</v>
      </c>
      <c r="C186" s="10"/>
      <c r="D186" s="10"/>
      <c r="E186" s="10"/>
      <c r="F186" s="19" t="str">
        <f>IF(B186="","",IF(AND(E186="Oui",COUNTIFS(Changements!$A:$A,A186,Changements!$D:$D,B186)&gt;0),"⚠ Titulaire+entrée ?",IF(ABS(L186-M186)&gt;1,"⚠ vérifier","")))</f>
        <v/>
      </c>
      <c r="G186" s="11" t="str">
        <f>IF(B186="","",IFERROR(INDEX('Effectif Saison'!$D$4:$D$51,MATCH(B186,'Effectif Saison'!$E$4:$E$51,0)),""))</f>
        <v>Équipe 1</v>
      </c>
      <c r="H186" s="19" t="str">
        <f>IF(L186=0,"",IF(E186="Oui",0,IFERROR(_xlfn.MINIFS(Changements!$B:$B,Changements!$A:$A,A186,Changements!$D:$D,B186),"")))</f>
        <v/>
      </c>
      <c r="I186" s="19" t="str">
        <f>IF(M186=0,"",IFERROR(_xlfn.MAXIFS(Changements!$B:$B,Changements!$A:$A,A186,Changements!$C:$C,B186),""))</f>
        <v/>
      </c>
      <c r="J186" s="11" t="str">
        <f t="shared" si="11"/>
        <v/>
      </c>
      <c r="K186" s="17">
        <f t="shared" si="12"/>
        <v>0</v>
      </c>
      <c r="L186" s="17">
        <f>IF(B186="",0,COUNTIFS(Changements!$A:$A,A186,Changements!$D:$D,B186)+IF(E186="Oui",1,0))</f>
        <v>0</v>
      </c>
      <c r="M186" s="17">
        <f>IF(B186="",0,COUNTIFS(Changements!$A:$A,A186,Changements!$C:$C,B186))</f>
        <v>0</v>
      </c>
      <c r="N186" s="17">
        <f>IF(B186="",0,SUMIFS(Changements!$B:$B,Changements!$A:$A,A186,Changements!$D:$D,B186))</f>
        <v>0</v>
      </c>
      <c r="O186" s="17">
        <f>IF(B186="",0,SUMIFS(Changements!$B:$B,Changements!$A:$A,A186,Changements!$C:$C,B186)+IF(L186&gt;M186,IFERROR(INDEX(Matchs!$F$4:$F$31,MATCH(A186,Matchs!$A$4:$A$31,0)),0),0))</f>
        <v>0</v>
      </c>
      <c r="P186" s="17">
        <f t="shared" si="13"/>
        <v>0</v>
      </c>
      <c r="Q186" s="17">
        <f t="shared" si="14"/>
        <v>0</v>
      </c>
    </row>
    <row r="187" spans="1:17" ht="15" customHeight="1" x14ac:dyDescent="0.25">
      <c r="A187" s="11">
        <f t="shared" si="10"/>
        <v>8</v>
      </c>
      <c r="B187" s="11" t="str">
        <f>INDEX('Effectif Saison'!$E$4:$E$22,16)</f>
        <v>Lenny LEPPER</v>
      </c>
      <c r="C187" s="10"/>
      <c r="D187" s="10"/>
      <c r="E187" s="10"/>
      <c r="F187" s="19" t="str">
        <f>IF(B187="","",IF(AND(E187="Oui",COUNTIFS(Changements!$A:$A,A187,Changements!$D:$D,B187)&gt;0),"⚠ Titulaire+entrée ?",IF(ABS(L187-M187)&gt;1,"⚠ vérifier","")))</f>
        <v/>
      </c>
      <c r="G187" s="11" t="str">
        <f>IF(B187="","",IFERROR(INDEX('Effectif Saison'!$D$4:$D$51,MATCH(B187,'Effectif Saison'!$E$4:$E$51,0)),""))</f>
        <v>Équipe 1</v>
      </c>
      <c r="H187" s="19" t="str">
        <f>IF(L187=0,"",IF(E187="Oui",0,IFERROR(_xlfn.MINIFS(Changements!$B:$B,Changements!$A:$A,A187,Changements!$D:$D,B187),"")))</f>
        <v/>
      </c>
      <c r="I187" s="19" t="str">
        <f>IF(M187=0,"",IFERROR(_xlfn.MAXIFS(Changements!$B:$B,Changements!$A:$A,A187,Changements!$C:$C,B187),""))</f>
        <v/>
      </c>
      <c r="J187" s="11" t="str">
        <f t="shared" si="11"/>
        <v/>
      </c>
      <c r="K187" s="17">
        <f t="shared" si="12"/>
        <v>0</v>
      </c>
      <c r="L187" s="17">
        <f>IF(B187="",0,COUNTIFS(Changements!$A:$A,A187,Changements!$D:$D,B187)+IF(E187="Oui",1,0))</f>
        <v>0</v>
      </c>
      <c r="M187" s="17">
        <f>IF(B187="",0,COUNTIFS(Changements!$A:$A,A187,Changements!$C:$C,B187))</f>
        <v>0</v>
      </c>
      <c r="N187" s="17">
        <f>IF(B187="",0,SUMIFS(Changements!$B:$B,Changements!$A:$A,A187,Changements!$D:$D,B187))</f>
        <v>0</v>
      </c>
      <c r="O187" s="17">
        <f>IF(B187="",0,SUMIFS(Changements!$B:$B,Changements!$A:$A,A187,Changements!$C:$C,B187)+IF(L187&gt;M187,IFERROR(INDEX(Matchs!$F$4:$F$31,MATCH(A187,Matchs!$A$4:$A$31,0)),0),0))</f>
        <v>0</v>
      </c>
      <c r="P187" s="17">
        <f t="shared" si="13"/>
        <v>0</v>
      </c>
      <c r="Q187" s="17">
        <f t="shared" si="14"/>
        <v>0</v>
      </c>
    </row>
    <row r="188" spans="1:17" ht="15" customHeight="1" x14ac:dyDescent="0.25">
      <c r="A188" s="11">
        <f t="shared" si="10"/>
        <v>8</v>
      </c>
      <c r="B188" s="11" t="str">
        <f>INDEX('Effectif Saison'!$E$4:$E$22,17)</f>
        <v>Malo KELLER</v>
      </c>
      <c r="C188" s="10"/>
      <c r="D188" s="10"/>
      <c r="E188" s="10"/>
      <c r="F188" s="19" t="str">
        <f>IF(B188="","",IF(AND(E188="Oui",COUNTIFS(Changements!$A:$A,A188,Changements!$D:$D,B188)&gt;0),"⚠ Titulaire+entrée ?",IF(ABS(L188-M188)&gt;1,"⚠ vérifier","")))</f>
        <v/>
      </c>
      <c r="G188" s="11" t="str">
        <f>IF(B188="","",IFERROR(INDEX('Effectif Saison'!$D$4:$D$51,MATCH(B188,'Effectif Saison'!$E$4:$E$51,0)),""))</f>
        <v>Équipe 1</v>
      </c>
      <c r="H188" s="19" t="str">
        <f>IF(L188=0,"",IF(E188="Oui",0,IFERROR(_xlfn.MINIFS(Changements!$B:$B,Changements!$A:$A,A188,Changements!$D:$D,B188),"")))</f>
        <v/>
      </c>
      <c r="I188" s="19" t="str">
        <f>IF(M188=0,"",IFERROR(_xlfn.MAXIFS(Changements!$B:$B,Changements!$A:$A,A188,Changements!$C:$C,B188),""))</f>
        <v/>
      </c>
      <c r="J188" s="11" t="str">
        <f t="shared" si="11"/>
        <v/>
      </c>
      <c r="K188" s="17">
        <f t="shared" si="12"/>
        <v>0</v>
      </c>
      <c r="L188" s="17">
        <f>IF(B188="",0,COUNTIFS(Changements!$A:$A,A188,Changements!$D:$D,B188)+IF(E188="Oui",1,0))</f>
        <v>0</v>
      </c>
      <c r="M188" s="17">
        <f>IF(B188="",0,COUNTIFS(Changements!$A:$A,A188,Changements!$C:$C,B188))</f>
        <v>0</v>
      </c>
      <c r="N188" s="17">
        <f>IF(B188="",0,SUMIFS(Changements!$B:$B,Changements!$A:$A,A188,Changements!$D:$D,B188))</f>
        <v>0</v>
      </c>
      <c r="O188" s="17">
        <f>IF(B188="",0,SUMIFS(Changements!$B:$B,Changements!$A:$A,A188,Changements!$C:$C,B188)+IF(L188&gt;M188,IFERROR(INDEX(Matchs!$F$4:$F$31,MATCH(A188,Matchs!$A$4:$A$31,0)),0),0))</f>
        <v>0</v>
      </c>
      <c r="P188" s="17">
        <f t="shared" si="13"/>
        <v>0</v>
      </c>
      <c r="Q188" s="17">
        <f t="shared" si="14"/>
        <v>0</v>
      </c>
    </row>
    <row r="189" spans="1:17" ht="15" customHeight="1" x14ac:dyDescent="0.25">
      <c r="A189" s="11">
        <f t="shared" si="10"/>
        <v>8</v>
      </c>
      <c r="B189" s="11" t="str">
        <f>INDEX('Effectif Saison'!$E$4:$E$22,18)</f>
        <v>Tom SCHILLER</v>
      </c>
      <c r="C189" s="10"/>
      <c r="D189" s="10"/>
      <c r="E189" s="10"/>
      <c r="F189" s="19" t="str">
        <f>IF(B189="","",IF(AND(E189="Oui",COUNTIFS(Changements!$A:$A,A189,Changements!$D:$D,B189)&gt;0),"⚠ Titulaire+entrée ?",IF(ABS(L189-M189)&gt;1,"⚠ vérifier","")))</f>
        <v/>
      </c>
      <c r="G189" s="11" t="str">
        <f>IF(B189="","",IFERROR(INDEX('Effectif Saison'!$D$4:$D$51,MATCH(B189,'Effectif Saison'!$E$4:$E$51,0)),""))</f>
        <v>Équipe 1</v>
      </c>
      <c r="H189" s="19" t="str">
        <f>IF(L189=0,"",IF(E189="Oui",0,IFERROR(_xlfn.MINIFS(Changements!$B:$B,Changements!$A:$A,A189,Changements!$D:$D,B189),"")))</f>
        <v/>
      </c>
      <c r="I189" s="19" t="str">
        <f>IF(M189=0,"",IFERROR(_xlfn.MAXIFS(Changements!$B:$B,Changements!$A:$A,A189,Changements!$C:$C,B189),""))</f>
        <v/>
      </c>
      <c r="J189" s="11" t="str">
        <f t="shared" si="11"/>
        <v/>
      </c>
      <c r="K189" s="17">
        <f t="shared" si="12"/>
        <v>0</v>
      </c>
      <c r="L189" s="17">
        <f>IF(B189="",0,COUNTIFS(Changements!$A:$A,A189,Changements!$D:$D,B189)+IF(E189="Oui",1,0))</f>
        <v>0</v>
      </c>
      <c r="M189" s="17">
        <f>IF(B189="",0,COUNTIFS(Changements!$A:$A,A189,Changements!$C:$C,B189))</f>
        <v>0</v>
      </c>
      <c r="N189" s="17">
        <f>IF(B189="",0,SUMIFS(Changements!$B:$B,Changements!$A:$A,A189,Changements!$D:$D,B189))</f>
        <v>0</v>
      </c>
      <c r="O189" s="17">
        <f>IF(B189="",0,SUMIFS(Changements!$B:$B,Changements!$A:$A,A189,Changements!$C:$C,B189)+IF(L189&gt;M189,IFERROR(INDEX(Matchs!$F$4:$F$31,MATCH(A189,Matchs!$A$4:$A$31,0)),0),0))</f>
        <v>0</v>
      </c>
      <c r="P189" s="17">
        <f t="shared" si="13"/>
        <v>0</v>
      </c>
      <c r="Q189" s="17">
        <f t="shared" si="14"/>
        <v>0</v>
      </c>
    </row>
    <row r="190" spans="1:17" ht="15" customHeight="1" x14ac:dyDescent="0.25">
      <c r="A190" s="11">
        <f t="shared" si="10"/>
        <v>8</v>
      </c>
      <c r="B190" s="11" t="str">
        <f>INDEX('Effectif Saison'!$E$4:$E$22,19)</f>
        <v>Eliot LEIBY</v>
      </c>
      <c r="C190" s="10"/>
      <c r="D190" s="10"/>
      <c r="E190" s="10"/>
      <c r="F190" s="19" t="str">
        <f>IF(B190="","",IF(AND(E190="Oui",COUNTIFS(Changements!$A:$A,A190,Changements!$D:$D,B190)&gt;0),"⚠ Titulaire+entrée ?",IF(ABS(L190-M190)&gt;1,"⚠ vérifier","")))</f>
        <v/>
      </c>
      <c r="G190" s="11" t="str">
        <f>IF(B190="","",IFERROR(INDEX('Effectif Saison'!$D$4:$D$51,MATCH(B190,'Effectif Saison'!$E$4:$E$51,0)),""))</f>
        <v>Équipe 1</v>
      </c>
      <c r="H190" s="19" t="str">
        <f>IF(L190=0,"",IF(E190="Oui",0,IFERROR(_xlfn.MINIFS(Changements!$B:$B,Changements!$A:$A,A190,Changements!$D:$D,B190),"")))</f>
        <v/>
      </c>
      <c r="I190" s="19" t="str">
        <f>IF(M190=0,"",IFERROR(_xlfn.MAXIFS(Changements!$B:$B,Changements!$A:$A,A190,Changements!$C:$C,B190),""))</f>
        <v/>
      </c>
      <c r="J190" s="11" t="str">
        <f t="shared" si="11"/>
        <v/>
      </c>
      <c r="K190" s="17">
        <f t="shared" si="12"/>
        <v>0</v>
      </c>
      <c r="L190" s="17">
        <f>IF(B190="",0,COUNTIFS(Changements!$A:$A,A190,Changements!$D:$D,B190)+IF(E190="Oui",1,0))</f>
        <v>0</v>
      </c>
      <c r="M190" s="17">
        <f>IF(B190="",0,COUNTIFS(Changements!$A:$A,A190,Changements!$C:$C,B190))</f>
        <v>0</v>
      </c>
      <c r="N190" s="17">
        <f>IF(B190="",0,SUMIFS(Changements!$B:$B,Changements!$A:$A,A190,Changements!$D:$D,B190))</f>
        <v>0</v>
      </c>
      <c r="O190" s="17">
        <f>IF(B190="",0,SUMIFS(Changements!$B:$B,Changements!$A:$A,A190,Changements!$C:$C,B190)+IF(L190&gt;M190,IFERROR(INDEX(Matchs!$F$4:$F$31,MATCH(A190,Matchs!$A$4:$A$31,0)),0),0))</f>
        <v>0</v>
      </c>
      <c r="P190" s="17">
        <f t="shared" si="13"/>
        <v>0</v>
      </c>
      <c r="Q190" s="17">
        <f t="shared" si="14"/>
        <v>0</v>
      </c>
    </row>
    <row r="191" spans="1:17" ht="15" customHeight="1" x14ac:dyDescent="0.25">
      <c r="A191" s="11">
        <f t="shared" si="10"/>
        <v>8</v>
      </c>
      <c r="B191" s="10"/>
      <c r="C191" s="10"/>
      <c r="D191" s="10"/>
      <c r="E191" s="10"/>
      <c r="F191" s="19" t="str">
        <f>IF(B191="","",IF(AND(E191="Oui",COUNTIFS(Changements!$A:$A,A191,Changements!$D:$D,B191)&gt;0),"⚠ Titulaire+entrée ?",IF(ABS(L191-M191)&gt;1,"⚠ vérifier","")))</f>
        <v/>
      </c>
      <c r="G191" s="11" t="str">
        <f>IF(B191="","",IFERROR(INDEX('Effectif Saison'!$D$4:$D$51,MATCH(B191,'Effectif Saison'!$E$4:$E$51,0)),""))</f>
        <v/>
      </c>
      <c r="H191" s="19" t="str">
        <f>IF(L191=0,"",IF(E191="Oui",0,IFERROR(_xlfn.MINIFS(Changements!$B:$B,Changements!$A:$A,A191,Changements!$D:$D,B191),"")))</f>
        <v/>
      </c>
      <c r="I191" s="19" t="str">
        <f>IF(M191=0,"",IFERROR(_xlfn.MAXIFS(Changements!$B:$B,Changements!$A:$A,A191,Changements!$C:$C,B191),""))</f>
        <v/>
      </c>
      <c r="J191" s="11" t="str">
        <f t="shared" si="11"/>
        <v/>
      </c>
      <c r="K191" s="17">
        <f t="shared" si="12"/>
        <v>0</v>
      </c>
      <c r="L191" s="17">
        <f>IF(B191="",0,COUNTIFS(Changements!$A:$A,A191,Changements!$D:$D,B191)+IF(E191="Oui",1,0))</f>
        <v>0</v>
      </c>
      <c r="M191" s="17">
        <f>IF(B191="",0,COUNTIFS(Changements!$A:$A,A191,Changements!$C:$C,B191))</f>
        <v>0</v>
      </c>
      <c r="N191" s="17">
        <f>IF(B191="",0,SUMIFS(Changements!$B:$B,Changements!$A:$A,A191,Changements!$D:$D,B191))</f>
        <v>0</v>
      </c>
      <c r="O191" s="17">
        <f>IF(B191="",0,SUMIFS(Changements!$B:$B,Changements!$A:$A,A191,Changements!$C:$C,B191)+IF(L191&gt;M191,IFERROR(INDEX(Matchs!$F$4:$F$31,MATCH(A191,Matchs!$A$4:$A$31,0)),0),0))</f>
        <v>0</v>
      </c>
      <c r="P191" s="17">
        <f t="shared" si="13"/>
        <v>0</v>
      </c>
      <c r="Q191" s="17">
        <f t="shared" si="14"/>
        <v>0</v>
      </c>
    </row>
    <row r="192" spans="1:17" ht="15" customHeight="1" x14ac:dyDescent="0.25">
      <c r="A192" s="11">
        <f t="shared" si="10"/>
        <v>8</v>
      </c>
      <c r="B192" s="10"/>
      <c r="C192" s="10"/>
      <c r="D192" s="10"/>
      <c r="E192" s="10"/>
      <c r="F192" s="19" t="str">
        <f>IF(B192="","",IF(AND(E192="Oui",COUNTIFS(Changements!$A:$A,A192,Changements!$D:$D,B192)&gt;0),"⚠ Titulaire+entrée ?",IF(ABS(L192-M192)&gt;1,"⚠ vérifier","")))</f>
        <v/>
      </c>
      <c r="G192" s="11" t="str">
        <f>IF(B192="","",IFERROR(INDEX('Effectif Saison'!$D$4:$D$51,MATCH(B192,'Effectif Saison'!$E$4:$E$51,0)),""))</f>
        <v/>
      </c>
      <c r="H192" s="19" t="str">
        <f>IF(L192=0,"",IF(E192="Oui",0,IFERROR(_xlfn.MINIFS(Changements!$B:$B,Changements!$A:$A,A192,Changements!$D:$D,B192),"")))</f>
        <v/>
      </c>
      <c r="I192" s="19" t="str">
        <f>IF(M192=0,"",IFERROR(_xlfn.MAXIFS(Changements!$B:$B,Changements!$A:$A,A192,Changements!$C:$C,B192),""))</f>
        <v/>
      </c>
      <c r="J192" s="11" t="str">
        <f t="shared" si="11"/>
        <v/>
      </c>
      <c r="K192" s="17">
        <f t="shared" si="12"/>
        <v>0</v>
      </c>
      <c r="L192" s="17">
        <f>IF(B192="",0,COUNTIFS(Changements!$A:$A,A192,Changements!$D:$D,B192)+IF(E192="Oui",1,0))</f>
        <v>0</v>
      </c>
      <c r="M192" s="17">
        <f>IF(B192="",0,COUNTIFS(Changements!$A:$A,A192,Changements!$C:$C,B192))</f>
        <v>0</v>
      </c>
      <c r="N192" s="17">
        <f>IF(B192="",0,SUMIFS(Changements!$B:$B,Changements!$A:$A,A192,Changements!$D:$D,B192))</f>
        <v>0</v>
      </c>
      <c r="O192" s="17">
        <f>IF(B192="",0,SUMIFS(Changements!$B:$B,Changements!$A:$A,A192,Changements!$C:$C,B192)+IF(L192&gt;M192,IFERROR(INDEX(Matchs!$F$4:$F$31,MATCH(A192,Matchs!$A$4:$A$31,0)),0),0))</f>
        <v>0</v>
      </c>
      <c r="P192" s="17">
        <f t="shared" si="13"/>
        <v>0</v>
      </c>
      <c r="Q192" s="17">
        <f t="shared" si="14"/>
        <v>0</v>
      </c>
    </row>
    <row r="193" spans="1:17" ht="15" customHeight="1" x14ac:dyDescent="0.25">
      <c r="A193" s="11">
        <f t="shared" si="10"/>
        <v>8</v>
      </c>
      <c r="B193" s="10"/>
      <c r="C193" s="10"/>
      <c r="D193" s="10"/>
      <c r="E193" s="10"/>
      <c r="F193" s="19" t="str">
        <f>IF(B193="","",IF(AND(E193="Oui",COUNTIFS(Changements!$A:$A,A193,Changements!$D:$D,B193)&gt;0),"⚠ Titulaire+entrée ?",IF(ABS(L193-M193)&gt;1,"⚠ vérifier","")))</f>
        <v/>
      </c>
      <c r="G193" s="11" t="str">
        <f>IF(B193="","",IFERROR(INDEX('Effectif Saison'!$D$4:$D$51,MATCH(B193,'Effectif Saison'!$E$4:$E$51,0)),""))</f>
        <v/>
      </c>
      <c r="H193" s="19" t="str">
        <f>IF(L193=0,"",IF(E193="Oui",0,IFERROR(_xlfn.MINIFS(Changements!$B:$B,Changements!$A:$A,A193,Changements!$D:$D,B193),"")))</f>
        <v/>
      </c>
      <c r="I193" s="19" t="str">
        <f>IF(M193=0,"",IFERROR(_xlfn.MAXIFS(Changements!$B:$B,Changements!$A:$A,A193,Changements!$C:$C,B193),""))</f>
        <v/>
      </c>
      <c r="J193" s="11" t="str">
        <f t="shared" si="11"/>
        <v/>
      </c>
      <c r="K193" s="17">
        <f t="shared" si="12"/>
        <v>0</v>
      </c>
      <c r="L193" s="17">
        <f>IF(B193="",0,COUNTIFS(Changements!$A:$A,A193,Changements!$D:$D,B193)+IF(E193="Oui",1,0))</f>
        <v>0</v>
      </c>
      <c r="M193" s="17">
        <f>IF(B193="",0,COUNTIFS(Changements!$A:$A,A193,Changements!$C:$C,B193))</f>
        <v>0</v>
      </c>
      <c r="N193" s="17">
        <f>IF(B193="",0,SUMIFS(Changements!$B:$B,Changements!$A:$A,A193,Changements!$D:$D,B193))</f>
        <v>0</v>
      </c>
      <c r="O193" s="17">
        <f>IF(B193="",0,SUMIFS(Changements!$B:$B,Changements!$A:$A,A193,Changements!$C:$C,B193)+IF(L193&gt;M193,IFERROR(INDEX(Matchs!$F$4:$F$31,MATCH(A193,Matchs!$A$4:$A$31,0)),0),0))</f>
        <v>0</v>
      </c>
      <c r="P193" s="17">
        <f t="shared" si="13"/>
        <v>0</v>
      </c>
      <c r="Q193" s="17">
        <f t="shared" si="14"/>
        <v>0</v>
      </c>
    </row>
    <row r="194" spans="1:17" ht="15" customHeight="1" x14ac:dyDescent="0.25">
      <c r="A194" s="11">
        <f t="shared" si="10"/>
        <v>8</v>
      </c>
      <c r="B194" s="10"/>
      <c r="C194" s="10"/>
      <c r="D194" s="10"/>
      <c r="E194" s="10"/>
      <c r="F194" s="19" t="str">
        <f>IF(B194="","",IF(AND(E194="Oui",COUNTIFS(Changements!$A:$A,A194,Changements!$D:$D,B194)&gt;0),"⚠ Titulaire+entrée ?",IF(ABS(L194-M194)&gt;1,"⚠ vérifier","")))</f>
        <v/>
      </c>
      <c r="G194" s="11" t="str">
        <f>IF(B194="","",IFERROR(INDEX('Effectif Saison'!$D$4:$D$51,MATCH(B194,'Effectif Saison'!$E$4:$E$51,0)),""))</f>
        <v/>
      </c>
      <c r="H194" s="19" t="str">
        <f>IF(L194=0,"",IF(E194="Oui",0,IFERROR(_xlfn.MINIFS(Changements!$B:$B,Changements!$A:$A,A194,Changements!$D:$D,B194),"")))</f>
        <v/>
      </c>
      <c r="I194" s="19" t="str">
        <f>IF(M194=0,"",IFERROR(_xlfn.MAXIFS(Changements!$B:$B,Changements!$A:$A,A194,Changements!$C:$C,B194),""))</f>
        <v/>
      </c>
      <c r="J194" s="11" t="str">
        <f t="shared" si="11"/>
        <v/>
      </c>
      <c r="K194" s="17">
        <f t="shared" si="12"/>
        <v>0</v>
      </c>
      <c r="L194" s="17">
        <f>IF(B194="",0,COUNTIFS(Changements!$A:$A,A194,Changements!$D:$D,B194)+IF(E194="Oui",1,0))</f>
        <v>0</v>
      </c>
      <c r="M194" s="17">
        <f>IF(B194="",0,COUNTIFS(Changements!$A:$A,A194,Changements!$C:$C,B194))</f>
        <v>0</v>
      </c>
      <c r="N194" s="17">
        <f>IF(B194="",0,SUMIFS(Changements!$B:$B,Changements!$A:$A,A194,Changements!$D:$D,B194))</f>
        <v>0</v>
      </c>
      <c r="O194" s="17">
        <f>IF(B194="",0,SUMIFS(Changements!$B:$B,Changements!$A:$A,A194,Changements!$C:$C,B194)+IF(L194&gt;M194,IFERROR(INDEX(Matchs!$F$4:$F$31,MATCH(A194,Matchs!$A$4:$A$31,0)),0),0))</f>
        <v>0</v>
      </c>
      <c r="P194" s="17">
        <f t="shared" si="13"/>
        <v>0</v>
      </c>
      <c r="Q194" s="17">
        <f t="shared" si="14"/>
        <v>0</v>
      </c>
    </row>
    <row r="195" spans="1:17" ht="15" customHeight="1" x14ac:dyDescent="0.25">
      <c r="A195" s="11">
        <f t="shared" si="10"/>
        <v>8</v>
      </c>
      <c r="B195" s="10"/>
      <c r="C195" s="10"/>
      <c r="D195" s="10"/>
      <c r="E195" s="10"/>
      <c r="F195" s="19" t="str">
        <f>IF(B195="","",IF(AND(E195="Oui",COUNTIFS(Changements!$A:$A,A195,Changements!$D:$D,B195)&gt;0),"⚠ Titulaire+entrée ?",IF(ABS(L195-M195)&gt;1,"⚠ vérifier","")))</f>
        <v/>
      </c>
      <c r="G195" s="11" t="str">
        <f>IF(B195="","",IFERROR(INDEX('Effectif Saison'!$D$4:$D$51,MATCH(B195,'Effectif Saison'!$E$4:$E$51,0)),""))</f>
        <v/>
      </c>
      <c r="H195" s="19" t="str">
        <f>IF(L195=0,"",IF(E195="Oui",0,IFERROR(_xlfn.MINIFS(Changements!$B:$B,Changements!$A:$A,A195,Changements!$D:$D,B195),"")))</f>
        <v/>
      </c>
      <c r="I195" s="19" t="str">
        <f>IF(M195=0,"",IFERROR(_xlfn.MAXIFS(Changements!$B:$B,Changements!$A:$A,A195,Changements!$C:$C,B195),""))</f>
        <v/>
      </c>
      <c r="J195" s="11" t="str">
        <f t="shared" si="11"/>
        <v/>
      </c>
      <c r="K195" s="17">
        <f t="shared" si="12"/>
        <v>0</v>
      </c>
      <c r="L195" s="17">
        <f>IF(B195="",0,COUNTIFS(Changements!$A:$A,A195,Changements!$D:$D,B195)+IF(E195="Oui",1,0))</f>
        <v>0</v>
      </c>
      <c r="M195" s="17">
        <f>IF(B195="",0,COUNTIFS(Changements!$A:$A,A195,Changements!$C:$C,B195))</f>
        <v>0</v>
      </c>
      <c r="N195" s="17">
        <f>IF(B195="",0,SUMIFS(Changements!$B:$B,Changements!$A:$A,A195,Changements!$D:$D,B195))</f>
        <v>0</v>
      </c>
      <c r="O195" s="17">
        <f>IF(B195="",0,SUMIFS(Changements!$B:$B,Changements!$A:$A,A195,Changements!$C:$C,B195)+IF(L195&gt;M195,IFERROR(INDEX(Matchs!$F$4:$F$31,MATCH(A195,Matchs!$A$4:$A$31,0)),0),0))</f>
        <v>0</v>
      </c>
      <c r="P195" s="17">
        <f t="shared" si="13"/>
        <v>0</v>
      </c>
      <c r="Q195" s="17">
        <f t="shared" si="14"/>
        <v>0</v>
      </c>
    </row>
    <row r="196" spans="1:17" ht="15" customHeight="1" x14ac:dyDescent="0.25">
      <c r="A196" s="11">
        <f t="shared" ref="A196:A259" si="15">INT((ROW()-4)/24)+1</f>
        <v>9</v>
      </c>
      <c r="B196" s="11" t="str">
        <f>INDEX('Effectif Saison'!$E$4:$E$22,1)</f>
        <v>Alan MICHON</v>
      </c>
      <c r="C196" s="10"/>
      <c r="D196" s="10"/>
      <c r="E196" s="10"/>
      <c r="F196" s="19" t="str">
        <f>IF(B196="","",IF(AND(E196="Oui",COUNTIFS(Changements!$A:$A,A196,Changements!$D:$D,B196)&gt;0),"⚠ Titulaire+entrée ?",IF(ABS(L196-M196)&gt;1,"⚠ vérifier","")))</f>
        <v/>
      </c>
      <c r="G196" s="11" t="str">
        <f>IF(B196="","",IFERROR(INDEX('Effectif Saison'!$D$4:$D$51,MATCH(B196,'Effectif Saison'!$E$4:$E$51,0)),""))</f>
        <v>Équipe 1</v>
      </c>
      <c r="H196" s="19" t="str">
        <f>IF(L196=0,"",IF(E196="Oui",0,IFERROR(_xlfn.MINIFS(Changements!$B:$B,Changements!$A:$A,A196,Changements!$D:$D,B196),"")))</f>
        <v/>
      </c>
      <c r="I196" s="19" t="str">
        <f>IF(M196=0,"",IFERROR(_xlfn.MAXIFS(Changements!$B:$B,Changements!$A:$A,A196,Changements!$C:$C,B196),""))</f>
        <v/>
      </c>
      <c r="J196" s="11" t="str">
        <f t="shared" ref="J196:J259" si="16">IF(OR(B196="",C196&lt;&gt;"Oui"),"",O196-N196)</f>
        <v/>
      </c>
      <c r="K196" s="17">
        <f t="shared" ref="K196:K259" si="17">IF(AND(B196&lt;&gt;"",ISNUMBER(J196)),1,0)</f>
        <v>0</v>
      </c>
      <c r="L196" s="17">
        <f>IF(B196="",0,COUNTIFS(Changements!$A:$A,A196,Changements!$D:$D,B196)+IF(E196="Oui",1,0))</f>
        <v>0</v>
      </c>
      <c r="M196" s="17">
        <f>IF(B196="",0,COUNTIFS(Changements!$A:$A,A196,Changements!$C:$C,B196))</f>
        <v>0</v>
      </c>
      <c r="N196" s="17">
        <f>IF(B196="",0,SUMIFS(Changements!$B:$B,Changements!$A:$A,A196,Changements!$D:$D,B196))</f>
        <v>0</v>
      </c>
      <c r="O196" s="17">
        <f>IF(B196="",0,SUMIFS(Changements!$B:$B,Changements!$A:$A,A196,Changements!$C:$C,B196)+IF(L196&gt;M196,IFERROR(INDEX(Matchs!$F$4:$F$31,MATCH(A196,Matchs!$A$4:$A$31,0)),0),0))</f>
        <v>0</v>
      </c>
      <c r="P196" s="17">
        <f t="shared" ref="P196:P259" si="18">IF(AND(B196&lt;&gt;"",C196="Oui"),1,0)</f>
        <v>0</v>
      </c>
      <c r="Q196" s="17">
        <f t="shared" ref="Q196:Q259" si="19">IF(AND(B196&lt;&gt;"",E196="Oui"),1,0)</f>
        <v>0</v>
      </c>
    </row>
    <row r="197" spans="1:17" ht="15" customHeight="1" x14ac:dyDescent="0.25">
      <c r="A197" s="11">
        <f t="shared" si="15"/>
        <v>9</v>
      </c>
      <c r="B197" s="11" t="str">
        <f>INDEX('Effectif Saison'!$E$4:$E$22,2)</f>
        <v>Jean BRUNTZ</v>
      </c>
      <c r="C197" s="10"/>
      <c r="D197" s="10"/>
      <c r="E197" s="10"/>
      <c r="F197" s="19" t="str">
        <f>IF(B197="","",IF(AND(E197="Oui",COUNTIFS(Changements!$A:$A,A197,Changements!$D:$D,B197)&gt;0),"⚠ Titulaire+entrée ?",IF(ABS(L197-M197)&gt;1,"⚠ vérifier","")))</f>
        <v/>
      </c>
      <c r="G197" s="11" t="str">
        <f>IF(B197="","",IFERROR(INDEX('Effectif Saison'!$D$4:$D$51,MATCH(B197,'Effectif Saison'!$E$4:$E$51,0)),""))</f>
        <v>Équipe 1</v>
      </c>
      <c r="H197" s="19" t="str">
        <f>IF(L197=0,"",IF(E197="Oui",0,IFERROR(_xlfn.MINIFS(Changements!$B:$B,Changements!$A:$A,A197,Changements!$D:$D,B197),"")))</f>
        <v/>
      </c>
      <c r="I197" s="19" t="str">
        <f>IF(M197=0,"",IFERROR(_xlfn.MAXIFS(Changements!$B:$B,Changements!$A:$A,A197,Changements!$C:$C,B197),""))</f>
        <v/>
      </c>
      <c r="J197" s="11" t="str">
        <f t="shared" si="16"/>
        <v/>
      </c>
      <c r="K197" s="17">
        <f t="shared" si="17"/>
        <v>0</v>
      </c>
      <c r="L197" s="17">
        <f>IF(B197="",0,COUNTIFS(Changements!$A:$A,A197,Changements!$D:$D,B197)+IF(E197="Oui",1,0))</f>
        <v>0</v>
      </c>
      <c r="M197" s="17">
        <f>IF(B197="",0,COUNTIFS(Changements!$A:$A,A197,Changements!$C:$C,B197))</f>
        <v>0</v>
      </c>
      <c r="N197" s="17">
        <f>IF(B197="",0,SUMIFS(Changements!$B:$B,Changements!$A:$A,A197,Changements!$D:$D,B197))</f>
        <v>0</v>
      </c>
      <c r="O197" s="17">
        <f>IF(B197="",0,SUMIFS(Changements!$B:$B,Changements!$A:$A,A197,Changements!$C:$C,B197)+IF(L197&gt;M197,IFERROR(INDEX(Matchs!$F$4:$F$31,MATCH(A197,Matchs!$A$4:$A$31,0)),0),0))</f>
        <v>0</v>
      </c>
      <c r="P197" s="17">
        <f t="shared" si="18"/>
        <v>0</v>
      </c>
      <c r="Q197" s="17">
        <f t="shared" si="19"/>
        <v>0</v>
      </c>
    </row>
    <row r="198" spans="1:17" ht="15" customHeight="1" x14ac:dyDescent="0.25">
      <c r="A198" s="11">
        <f t="shared" si="15"/>
        <v>9</v>
      </c>
      <c r="B198" s="11" t="str">
        <f>INDEX('Effectif Saison'!$E$4:$E$22,3)</f>
        <v>Marouane SBK</v>
      </c>
      <c r="C198" s="10"/>
      <c r="D198" s="10"/>
      <c r="E198" s="10"/>
      <c r="F198" s="19" t="str">
        <f>IF(B198="","",IF(AND(E198="Oui",COUNTIFS(Changements!$A:$A,A198,Changements!$D:$D,B198)&gt;0),"⚠ Titulaire+entrée ?",IF(ABS(L198-M198)&gt;1,"⚠ vérifier","")))</f>
        <v/>
      </c>
      <c r="G198" s="11" t="str">
        <f>IF(B198="","",IFERROR(INDEX('Effectif Saison'!$D$4:$D$51,MATCH(B198,'Effectif Saison'!$E$4:$E$51,0)),""))</f>
        <v>Équipe 1</v>
      </c>
      <c r="H198" s="19" t="str">
        <f>IF(L198=0,"",IF(E198="Oui",0,IFERROR(_xlfn.MINIFS(Changements!$B:$B,Changements!$A:$A,A198,Changements!$D:$D,B198),"")))</f>
        <v/>
      </c>
      <c r="I198" s="19" t="str">
        <f>IF(M198=0,"",IFERROR(_xlfn.MAXIFS(Changements!$B:$B,Changements!$A:$A,A198,Changements!$C:$C,B198),""))</f>
        <v/>
      </c>
      <c r="J198" s="11" t="str">
        <f t="shared" si="16"/>
        <v/>
      </c>
      <c r="K198" s="17">
        <f t="shared" si="17"/>
        <v>0</v>
      </c>
      <c r="L198" s="17">
        <f>IF(B198="",0,COUNTIFS(Changements!$A:$A,A198,Changements!$D:$D,B198)+IF(E198="Oui",1,0))</f>
        <v>0</v>
      </c>
      <c r="M198" s="17">
        <f>IF(B198="",0,COUNTIFS(Changements!$A:$A,A198,Changements!$C:$C,B198))</f>
        <v>0</v>
      </c>
      <c r="N198" s="17">
        <f>IF(B198="",0,SUMIFS(Changements!$B:$B,Changements!$A:$A,A198,Changements!$D:$D,B198))</f>
        <v>0</v>
      </c>
      <c r="O198" s="17">
        <f>IF(B198="",0,SUMIFS(Changements!$B:$B,Changements!$A:$A,A198,Changements!$C:$C,B198)+IF(L198&gt;M198,IFERROR(INDEX(Matchs!$F$4:$F$31,MATCH(A198,Matchs!$A$4:$A$31,0)),0),0))</f>
        <v>0</v>
      </c>
      <c r="P198" s="17">
        <f t="shared" si="18"/>
        <v>0</v>
      </c>
      <c r="Q198" s="17">
        <f t="shared" si="19"/>
        <v>0</v>
      </c>
    </row>
    <row r="199" spans="1:17" ht="15" customHeight="1" x14ac:dyDescent="0.25">
      <c r="A199" s="11">
        <f t="shared" si="15"/>
        <v>9</v>
      </c>
      <c r="B199" s="11" t="str">
        <f>INDEX('Effectif Saison'!$E$4:$E$22,4)</f>
        <v>Noé BIHL</v>
      </c>
      <c r="C199" s="10"/>
      <c r="D199" s="10"/>
      <c r="E199" s="10"/>
      <c r="F199" s="19" t="str">
        <f>IF(B199="","",IF(AND(E199="Oui",COUNTIFS(Changements!$A:$A,A199,Changements!$D:$D,B199)&gt;0),"⚠ Titulaire+entrée ?",IF(ABS(L199-M199)&gt;1,"⚠ vérifier","")))</f>
        <v/>
      </c>
      <c r="G199" s="11" t="str">
        <f>IF(B199="","",IFERROR(INDEX('Effectif Saison'!$D$4:$D$51,MATCH(B199,'Effectif Saison'!$E$4:$E$51,0)),""))</f>
        <v>Équipe 1</v>
      </c>
      <c r="H199" s="19" t="str">
        <f>IF(L199=0,"",IF(E199="Oui",0,IFERROR(_xlfn.MINIFS(Changements!$B:$B,Changements!$A:$A,A199,Changements!$D:$D,B199),"")))</f>
        <v/>
      </c>
      <c r="I199" s="19" t="str">
        <f>IF(M199=0,"",IFERROR(_xlfn.MAXIFS(Changements!$B:$B,Changements!$A:$A,A199,Changements!$C:$C,B199),""))</f>
        <v/>
      </c>
      <c r="J199" s="11" t="str">
        <f t="shared" si="16"/>
        <v/>
      </c>
      <c r="K199" s="17">
        <f t="shared" si="17"/>
        <v>0</v>
      </c>
      <c r="L199" s="17">
        <f>IF(B199="",0,COUNTIFS(Changements!$A:$A,A199,Changements!$D:$D,B199)+IF(E199="Oui",1,0))</f>
        <v>0</v>
      </c>
      <c r="M199" s="17">
        <f>IF(B199="",0,COUNTIFS(Changements!$A:$A,A199,Changements!$C:$C,B199))</f>
        <v>0</v>
      </c>
      <c r="N199" s="17">
        <f>IF(B199="",0,SUMIFS(Changements!$B:$B,Changements!$A:$A,A199,Changements!$D:$D,B199))</f>
        <v>0</v>
      </c>
      <c r="O199" s="17">
        <f>IF(B199="",0,SUMIFS(Changements!$B:$B,Changements!$A:$A,A199,Changements!$C:$C,B199)+IF(L199&gt;M199,IFERROR(INDEX(Matchs!$F$4:$F$31,MATCH(A199,Matchs!$A$4:$A$31,0)),0),0))</f>
        <v>0</v>
      </c>
      <c r="P199" s="17">
        <f t="shared" si="18"/>
        <v>0</v>
      </c>
      <c r="Q199" s="17">
        <f t="shared" si="19"/>
        <v>0</v>
      </c>
    </row>
    <row r="200" spans="1:17" ht="15" customHeight="1" x14ac:dyDescent="0.25">
      <c r="A200" s="11">
        <f t="shared" si="15"/>
        <v>9</v>
      </c>
      <c r="B200" s="11" t="str">
        <f>INDEX('Effectif Saison'!$E$4:$E$22,5)</f>
        <v>Luca COLAIANNI</v>
      </c>
      <c r="C200" s="10"/>
      <c r="D200" s="10"/>
      <c r="E200" s="10"/>
      <c r="F200" s="19" t="str">
        <f>IF(B200="","",IF(AND(E200="Oui",COUNTIFS(Changements!$A:$A,A200,Changements!$D:$D,B200)&gt;0),"⚠ Titulaire+entrée ?",IF(ABS(L200-M200)&gt;1,"⚠ vérifier","")))</f>
        <v/>
      </c>
      <c r="G200" s="11" t="str">
        <f>IF(B200="","",IFERROR(INDEX('Effectif Saison'!$D$4:$D$51,MATCH(B200,'Effectif Saison'!$E$4:$E$51,0)),""))</f>
        <v>Équipe 1</v>
      </c>
      <c r="H200" s="19" t="str">
        <f>IF(L200=0,"",IF(E200="Oui",0,IFERROR(_xlfn.MINIFS(Changements!$B:$B,Changements!$A:$A,A200,Changements!$D:$D,B200),"")))</f>
        <v/>
      </c>
      <c r="I200" s="19" t="str">
        <f>IF(M200=0,"",IFERROR(_xlfn.MAXIFS(Changements!$B:$B,Changements!$A:$A,A200,Changements!$C:$C,B200),""))</f>
        <v/>
      </c>
      <c r="J200" s="11" t="str">
        <f t="shared" si="16"/>
        <v/>
      </c>
      <c r="K200" s="17">
        <f t="shared" si="17"/>
        <v>0</v>
      </c>
      <c r="L200" s="17">
        <f>IF(B200="",0,COUNTIFS(Changements!$A:$A,A200,Changements!$D:$D,B200)+IF(E200="Oui",1,0))</f>
        <v>0</v>
      </c>
      <c r="M200" s="17">
        <f>IF(B200="",0,COUNTIFS(Changements!$A:$A,A200,Changements!$C:$C,B200))</f>
        <v>0</v>
      </c>
      <c r="N200" s="17">
        <f>IF(B200="",0,SUMIFS(Changements!$B:$B,Changements!$A:$A,A200,Changements!$D:$D,B200))</f>
        <v>0</v>
      </c>
      <c r="O200" s="17">
        <f>IF(B200="",0,SUMIFS(Changements!$B:$B,Changements!$A:$A,A200,Changements!$C:$C,B200)+IF(L200&gt;M200,IFERROR(INDEX(Matchs!$F$4:$F$31,MATCH(A200,Matchs!$A$4:$A$31,0)),0),0))</f>
        <v>0</v>
      </c>
      <c r="P200" s="17">
        <f t="shared" si="18"/>
        <v>0</v>
      </c>
      <c r="Q200" s="17">
        <f t="shared" si="19"/>
        <v>0</v>
      </c>
    </row>
    <row r="201" spans="1:17" ht="15" customHeight="1" x14ac:dyDescent="0.25">
      <c r="A201" s="11">
        <f t="shared" si="15"/>
        <v>9</v>
      </c>
      <c r="B201" s="11" t="str">
        <f>INDEX('Effectif Saison'!$E$4:$E$22,6)</f>
        <v>Atilla ER</v>
      </c>
      <c r="C201" s="10"/>
      <c r="D201" s="10"/>
      <c r="E201" s="10"/>
      <c r="F201" s="19" t="str">
        <f>IF(B201="","",IF(AND(E201="Oui",COUNTIFS(Changements!$A:$A,A201,Changements!$D:$D,B201)&gt;0),"⚠ Titulaire+entrée ?",IF(ABS(L201-M201)&gt;1,"⚠ vérifier","")))</f>
        <v/>
      </c>
      <c r="G201" s="11" t="str">
        <f>IF(B201="","",IFERROR(INDEX('Effectif Saison'!$D$4:$D$51,MATCH(B201,'Effectif Saison'!$E$4:$E$51,0)),""))</f>
        <v>Équipe 1</v>
      </c>
      <c r="H201" s="19" t="str">
        <f>IF(L201=0,"",IF(E201="Oui",0,IFERROR(_xlfn.MINIFS(Changements!$B:$B,Changements!$A:$A,A201,Changements!$D:$D,B201),"")))</f>
        <v/>
      </c>
      <c r="I201" s="19" t="str">
        <f>IF(M201=0,"",IFERROR(_xlfn.MAXIFS(Changements!$B:$B,Changements!$A:$A,A201,Changements!$C:$C,B201),""))</f>
        <v/>
      </c>
      <c r="J201" s="11" t="str">
        <f t="shared" si="16"/>
        <v/>
      </c>
      <c r="K201" s="17">
        <f t="shared" si="17"/>
        <v>0</v>
      </c>
      <c r="L201" s="17">
        <f>IF(B201="",0,COUNTIFS(Changements!$A:$A,A201,Changements!$D:$D,B201)+IF(E201="Oui",1,0))</f>
        <v>0</v>
      </c>
      <c r="M201" s="17">
        <f>IF(B201="",0,COUNTIFS(Changements!$A:$A,A201,Changements!$C:$C,B201))</f>
        <v>0</v>
      </c>
      <c r="N201" s="17">
        <f>IF(B201="",0,SUMIFS(Changements!$B:$B,Changements!$A:$A,A201,Changements!$D:$D,B201))</f>
        <v>0</v>
      </c>
      <c r="O201" s="17">
        <f>IF(B201="",0,SUMIFS(Changements!$B:$B,Changements!$A:$A,A201,Changements!$C:$C,B201)+IF(L201&gt;M201,IFERROR(INDEX(Matchs!$F$4:$F$31,MATCH(A201,Matchs!$A$4:$A$31,0)),0),0))</f>
        <v>0</v>
      </c>
      <c r="P201" s="17">
        <f t="shared" si="18"/>
        <v>0</v>
      </c>
      <c r="Q201" s="17">
        <f t="shared" si="19"/>
        <v>0</v>
      </c>
    </row>
    <row r="202" spans="1:17" ht="15" customHeight="1" x14ac:dyDescent="0.25">
      <c r="A202" s="11">
        <f t="shared" si="15"/>
        <v>9</v>
      </c>
      <c r="B202" s="11" t="str">
        <f>INDEX('Effectif Saison'!$E$4:$E$22,7)</f>
        <v>Lucas BUHR</v>
      </c>
      <c r="C202" s="10"/>
      <c r="D202" s="10"/>
      <c r="E202" s="10"/>
      <c r="F202" s="19" t="str">
        <f>IF(B202="","",IF(AND(E202="Oui",COUNTIFS(Changements!$A:$A,A202,Changements!$D:$D,B202)&gt;0),"⚠ Titulaire+entrée ?",IF(ABS(L202-M202)&gt;1,"⚠ vérifier","")))</f>
        <v/>
      </c>
      <c r="G202" s="11" t="str">
        <f>IF(B202="","",IFERROR(INDEX('Effectif Saison'!$D$4:$D$51,MATCH(B202,'Effectif Saison'!$E$4:$E$51,0)),""))</f>
        <v>Équipe 1</v>
      </c>
      <c r="H202" s="19" t="str">
        <f>IF(L202=0,"",IF(E202="Oui",0,IFERROR(_xlfn.MINIFS(Changements!$B:$B,Changements!$A:$A,A202,Changements!$D:$D,B202),"")))</f>
        <v/>
      </c>
      <c r="I202" s="19" t="str">
        <f>IF(M202=0,"",IFERROR(_xlfn.MAXIFS(Changements!$B:$B,Changements!$A:$A,A202,Changements!$C:$C,B202),""))</f>
        <v/>
      </c>
      <c r="J202" s="11" t="str">
        <f t="shared" si="16"/>
        <v/>
      </c>
      <c r="K202" s="17">
        <f t="shared" si="17"/>
        <v>0</v>
      </c>
      <c r="L202" s="17">
        <f>IF(B202="",0,COUNTIFS(Changements!$A:$A,A202,Changements!$D:$D,B202)+IF(E202="Oui",1,0))</f>
        <v>0</v>
      </c>
      <c r="M202" s="17">
        <f>IF(B202="",0,COUNTIFS(Changements!$A:$A,A202,Changements!$C:$C,B202))</f>
        <v>0</v>
      </c>
      <c r="N202" s="17">
        <f>IF(B202="",0,SUMIFS(Changements!$B:$B,Changements!$A:$A,A202,Changements!$D:$D,B202))</f>
        <v>0</v>
      </c>
      <c r="O202" s="17">
        <f>IF(B202="",0,SUMIFS(Changements!$B:$B,Changements!$A:$A,A202,Changements!$C:$C,B202)+IF(L202&gt;M202,IFERROR(INDEX(Matchs!$F$4:$F$31,MATCH(A202,Matchs!$A$4:$A$31,0)),0),0))</f>
        <v>0</v>
      </c>
      <c r="P202" s="17">
        <f t="shared" si="18"/>
        <v>0</v>
      </c>
      <c r="Q202" s="17">
        <f t="shared" si="19"/>
        <v>0</v>
      </c>
    </row>
    <row r="203" spans="1:17" ht="15" customHeight="1" x14ac:dyDescent="0.25">
      <c r="A203" s="11">
        <f t="shared" si="15"/>
        <v>9</v>
      </c>
      <c r="B203" s="11" t="str">
        <f>INDEX('Effectif Saison'!$E$4:$E$22,8)</f>
        <v>Yanis HOUX</v>
      </c>
      <c r="C203" s="10"/>
      <c r="D203" s="10"/>
      <c r="E203" s="10"/>
      <c r="F203" s="19" t="str">
        <f>IF(B203="","",IF(AND(E203="Oui",COUNTIFS(Changements!$A:$A,A203,Changements!$D:$D,B203)&gt;0),"⚠ Titulaire+entrée ?",IF(ABS(L203-M203)&gt;1,"⚠ vérifier","")))</f>
        <v/>
      </c>
      <c r="G203" s="11" t="str">
        <f>IF(B203="","",IFERROR(INDEX('Effectif Saison'!$D$4:$D$51,MATCH(B203,'Effectif Saison'!$E$4:$E$51,0)),""))</f>
        <v>Équipe 1</v>
      </c>
      <c r="H203" s="19" t="str">
        <f>IF(L203=0,"",IF(E203="Oui",0,IFERROR(_xlfn.MINIFS(Changements!$B:$B,Changements!$A:$A,A203,Changements!$D:$D,B203),"")))</f>
        <v/>
      </c>
      <c r="I203" s="19" t="str">
        <f>IF(M203=0,"",IFERROR(_xlfn.MAXIFS(Changements!$B:$B,Changements!$A:$A,A203,Changements!$C:$C,B203),""))</f>
        <v/>
      </c>
      <c r="J203" s="11" t="str">
        <f t="shared" si="16"/>
        <v/>
      </c>
      <c r="K203" s="17">
        <f t="shared" si="17"/>
        <v>0</v>
      </c>
      <c r="L203" s="17">
        <f>IF(B203="",0,COUNTIFS(Changements!$A:$A,A203,Changements!$D:$D,B203)+IF(E203="Oui",1,0))</f>
        <v>0</v>
      </c>
      <c r="M203" s="17">
        <f>IF(B203="",0,COUNTIFS(Changements!$A:$A,A203,Changements!$C:$C,B203))</f>
        <v>0</v>
      </c>
      <c r="N203" s="17">
        <f>IF(B203="",0,SUMIFS(Changements!$B:$B,Changements!$A:$A,A203,Changements!$D:$D,B203))</f>
        <v>0</v>
      </c>
      <c r="O203" s="17">
        <f>IF(B203="",0,SUMIFS(Changements!$B:$B,Changements!$A:$A,A203,Changements!$C:$C,B203)+IF(L203&gt;M203,IFERROR(INDEX(Matchs!$F$4:$F$31,MATCH(A203,Matchs!$A$4:$A$31,0)),0),0))</f>
        <v>0</v>
      </c>
      <c r="P203" s="17">
        <f t="shared" si="18"/>
        <v>0</v>
      </c>
      <c r="Q203" s="17">
        <f t="shared" si="19"/>
        <v>0</v>
      </c>
    </row>
    <row r="204" spans="1:17" ht="15" customHeight="1" x14ac:dyDescent="0.25">
      <c r="A204" s="11">
        <f t="shared" si="15"/>
        <v>9</v>
      </c>
      <c r="B204" s="11" t="str">
        <f>INDEX('Effectif Saison'!$E$4:$E$22,9)</f>
        <v>Tino COLAIANNI</v>
      </c>
      <c r="C204" s="10"/>
      <c r="D204" s="10"/>
      <c r="E204" s="10"/>
      <c r="F204" s="19" t="str">
        <f>IF(B204="","",IF(AND(E204="Oui",COUNTIFS(Changements!$A:$A,A204,Changements!$D:$D,B204)&gt;0),"⚠ Titulaire+entrée ?",IF(ABS(L204-M204)&gt;1,"⚠ vérifier","")))</f>
        <v/>
      </c>
      <c r="G204" s="11" t="str">
        <f>IF(B204="","",IFERROR(INDEX('Effectif Saison'!$D$4:$D$51,MATCH(B204,'Effectif Saison'!$E$4:$E$51,0)),""))</f>
        <v>Équipe 1</v>
      </c>
      <c r="H204" s="19" t="str">
        <f>IF(L204=0,"",IF(E204="Oui",0,IFERROR(_xlfn.MINIFS(Changements!$B:$B,Changements!$A:$A,A204,Changements!$D:$D,B204),"")))</f>
        <v/>
      </c>
      <c r="I204" s="19" t="str">
        <f>IF(M204=0,"",IFERROR(_xlfn.MAXIFS(Changements!$B:$B,Changements!$A:$A,A204,Changements!$C:$C,B204),""))</f>
        <v/>
      </c>
      <c r="J204" s="11" t="str">
        <f t="shared" si="16"/>
        <v/>
      </c>
      <c r="K204" s="17">
        <f t="shared" si="17"/>
        <v>0</v>
      </c>
      <c r="L204" s="17">
        <f>IF(B204="",0,COUNTIFS(Changements!$A:$A,A204,Changements!$D:$D,B204)+IF(E204="Oui",1,0))</f>
        <v>0</v>
      </c>
      <c r="M204" s="17">
        <f>IF(B204="",0,COUNTIFS(Changements!$A:$A,A204,Changements!$C:$C,B204))</f>
        <v>0</v>
      </c>
      <c r="N204" s="17">
        <f>IF(B204="",0,SUMIFS(Changements!$B:$B,Changements!$A:$A,A204,Changements!$D:$D,B204))</f>
        <v>0</v>
      </c>
      <c r="O204" s="17">
        <f>IF(B204="",0,SUMIFS(Changements!$B:$B,Changements!$A:$A,A204,Changements!$C:$C,B204)+IF(L204&gt;M204,IFERROR(INDEX(Matchs!$F$4:$F$31,MATCH(A204,Matchs!$A$4:$A$31,0)),0),0))</f>
        <v>0</v>
      </c>
      <c r="P204" s="17">
        <f t="shared" si="18"/>
        <v>0</v>
      </c>
      <c r="Q204" s="17">
        <f t="shared" si="19"/>
        <v>0</v>
      </c>
    </row>
    <row r="205" spans="1:17" ht="15" customHeight="1" x14ac:dyDescent="0.25">
      <c r="A205" s="11">
        <f t="shared" si="15"/>
        <v>9</v>
      </c>
      <c r="B205" s="11" t="str">
        <f>INDEX('Effectif Saison'!$E$4:$E$22,10)</f>
        <v>Achille KELLERKNECHT</v>
      </c>
      <c r="C205" s="10"/>
      <c r="D205" s="10"/>
      <c r="E205" s="10"/>
      <c r="F205" s="19" t="str">
        <f>IF(B205="","",IF(AND(E205="Oui",COUNTIFS(Changements!$A:$A,A205,Changements!$D:$D,B205)&gt;0),"⚠ Titulaire+entrée ?",IF(ABS(L205-M205)&gt;1,"⚠ vérifier","")))</f>
        <v/>
      </c>
      <c r="G205" s="11" t="str">
        <f>IF(B205="","",IFERROR(INDEX('Effectif Saison'!$D$4:$D$51,MATCH(B205,'Effectif Saison'!$E$4:$E$51,0)),""))</f>
        <v>Équipe 1</v>
      </c>
      <c r="H205" s="19" t="str">
        <f>IF(L205=0,"",IF(E205="Oui",0,IFERROR(_xlfn.MINIFS(Changements!$B:$B,Changements!$A:$A,A205,Changements!$D:$D,B205),"")))</f>
        <v/>
      </c>
      <c r="I205" s="19" t="str">
        <f>IF(M205=0,"",IFERROR(_xlfn.MAXIFS(Changements!$B:$B,Changements!$A:$A,A205,Changements!$C:$C,B205),""))</f>
        <v/>
      </c>
      <c r="J205" s="11" t="str">
        <f t="shared" si="16"/>
        <v/>
      </c>
      <c r="K205" s="17">
        <f t="shared" si="17"/>
        <v>0</v>
      </c>
      <c r="L205" s="17">
        <f>IF(B205="",0,COUNTIFS(Changements!$A:$A,A205,Changements!$D:$D,B205)+IF(E205="Oui",1,0))</f>
        <v>0</v>
      </c>
      <c r="M205" s="17">
        <f>IF(B205="",0,COUNTIFS(Changements!$A:$A,A205,Changements!$C:$C,B205))</f>
        <v>0</v>
      </c>
      <c r="N205" s="17">
        <f>IF(B205="",0,SUMIFS(Changements!$B:$B,Changements!$A:$A,A205,Changements!$D:$D,B205))</f>
        <v>0</v>
      </c>
      <c r="O205" s="17">
        <f>IF(B205="",0,SUMIFS(Changements!$B:$B,Changements!$A:$A,A205,Changements!$C:$C,B205)+IF(L205&gt;M205,IFERROR(INDEX(Matchs!$F$4:$F$31,MATCH(A205,Matchs!$A$4:$A$31,0)),0),0))</f>
        <v>0</v>
      </c>
      <c r="P205" s="17">
        <f t="shared" si="18"/>
        <v>0</v>
      </c>
      <c r="Q205" s="17">
        <f t="shared" si="19"/>
        <v>0</v>
      </c>
    </row>
    <row r="206" spans="1:17" ht="15" customHeight="1" x14ac:dyDescent="0.25">
      <c r="A206" s="11">
        <f t="shared" si="15"/>
        <v>9</v>
      </c>
      <c r="B206" s="11" t="str">
        <f>INDEX('Effectif Saison'!$E$4:$E$22,11)</f>
        <v>Charly LEPERT</v>
      </c>
      <c r="C206" s="10"/>
      <c r="D206" s="10"/>
      <c r="E206" s="10"/>
      <c r="F206" s="19" t="str">
        <f>IF(B206="","",IF(AND(E206="Oui",COUNTIFS(Changements!$A:$A,A206,Changements!$D:$D,B206)&gt;0),"⚠ Titulaire+entrée ?",IF(ABS(L206-M206)&gt;1,"⚠ vérifier","")))</f>
        <v/>
      </c>
      <c r="G206" s="11" t="str">
        <f>IF(B206="","",IFERROR(INDEX('Effectif Saison'!$D$4:$D$51,MATCH(B206,'Effectif Saison'!$E$4:$E$51,0)),""))</f>
        <v>Équipe 1</v>
      </c>
      <c r="H206" s="19" t="str">
        <f>IF(L206=0,"",IF(E206="Oui",0,IFERROR(_xlfn.MINIFS(Changements!$B:$B,Changements!$A:$A,A206,Changements!$D:$D,B206),"")))</f>
        <v/>
      </c>
      <c r="I206" s="19" t="str">
        <f>IF(M206=0,"",IFERROR(_xlfn.MAXIFS(Changements!$B:$B,Changements!$A:$A,A206,Changements!$C:$C,B206),""))</f>
        <v/>
      </c>
      <c r="J206" s="11" t="str">
        <f t="shared" si="16"/>
        <v/>
      </c>
      <c r="K206" s="17">
        <f t="shared" si="17"/>
        <v>0</v>
      </c>
      <c r="L206" s="17">
        <f>IF(B206="",0,COUNTIFS(Changements!$A:$A,A206,Changements!$D:$D,B206)+IF(E206="Oui",1,0))</f>
        <v>0</v>
      </c>
      <c r="M206" s="17">
        <f>IF(B206="",0,COUNTIFS(Changements!$A:$A,A206,Changements!$C:$C,B206))</f>
        <v>0</v>
      </c>
      <c r="N206" s="17">
        <f>IF(B206="",0,SUMIFS(Changements!$B:$B,Changements!$A:$A,A206,Changements!$D:$D,B206))</f>
        <v>0</v>
      </c>
      <c r="O206" s="17">
        <f>IF(B206="",0,SUMIFS(Changements!$B:$B,Changements!$A:$A,A206,Changements!$C:$C,B206)+IF(L206&gt;M206,IFERROR(INDEX(Matchs!$F$4:$F$31,MATCH(A206,Matchs!$A$4:$A$31,0)),0),0))</f>
        <v>0</v>
      </c>
      <c r="P206" s="17">
        <f t="shared" si="18"/>
        <v>0</v>
      </c>
      <c r="Q206" s="17">
        <f t="shared" si="19"/>
        <v>0</v>
      </c>
    </row>
    <row r="207" spans="1:17" ht="15" customHeight="1" x14ac:dyDescent="0.25">
      <c r="A207" s="11">
        <f t="shared" si="15"/>
        <v>9</v>
      </c>
      <c r="B207" s="11" t="str">
        <f>INDEX('Effectif Saison'!$E$4:$E$22,12)</f>
        <v>Basile STANGRET</v>
      </c>
      <c r="C207" s="10"/>
      <c r="D207" s="10"/>
      <c r="E207" s="10"/>
      <c r="F207" s="19" t="str">
        <f>IF(B207="","",IF(AND(E207="Oui",COUNTIFS(Changements!$A:$A,A207,Changements!$D:$D,B207)&gt;0),"⚠ Titulaire+entrée ?",IF(ABS(L207-M207)&gt;1,"⚠ vérifier","")))</f>
        <v/>
      </c>
      <c r="G207" s="11" t="str">
        <f>IF(B207="","",IFERROR(INDEX('Effectif Saison'!$D$4:$D$51,MATCH(B207,'Effectif Saison'!$E$4:$E$51,0)),""))</f>
        <v>Équipe 1</v>
      </c>
      <c r="H207" s="19" t="str">
        <f>IF(L207=0,"",IF(E207="Oui",0,IFERROR(_xlfn.MINIFS(Changements!$B:$B,Changements!$A:$A,A207,Changements!$D:$D,B207),"")))</f>
        <v/>
      </c>
      <c r="I207" s="19" t="str">
        <f>IF(M207=0,"",IFERROR(_xlfn.MAXIFS(Changements!$B:$B,Changements!$A:$A,A207,Changements!$C:$C,B207),""))</f>
        <v/>
      </c>
      <c r="J207" s="11" t="str">
        <f t="shared" si="16"/>
        <v/>
      </c>
      <c r="K207" s="17">
        <f t="shared" si="17"/>
        <v>0</v>
      </c>
      <c r="L207" s="17">
        <f>IF(B207="",0,COUNTIFS(Changements!$A:$A,A207,Changements!$D:$D,B207)+IF(E207="Oui",1,0))</f>
        <v>0</v>
      </c>
      <c r="M207" s="17">
        <f>IF(B207="",0,COUNTIFS(Changements!$A:$A,A207,Changements!$C:$C,B207))</f>
        <v>0</v>
      </c>
      <c r="N207" s="17">
        <f>IF(B207="",0,SUMIFS(Changements!$B:$B,Changements!$A:$A,A207,Changements!$D:$D,B207))</f>
        <v>0</v>
      </c>
      <c r="O207" s="17">
        <f>IF(B207="",0,SUMIFS(Changements!$B:$B,Changements!$A:$A,A207,Changements!$C:$C,B207)+IF(L207&gt;M207,IFERROR(INDEX(Matchs!$F$4:$F$31,MATCH(A207,Matchs!$A$4:$A$31,0)),0),0))</f>
        <v>0</v>
      </c>
      <c r="P207" s="17">
        <f t="shared" si="18"/>
        <v>0</v>
      </c>
      <c r="Q207" s="17">
        <f t="shared" si="19"/>
        <v>0</v>
      </c>
    </row>
    <row r="208" spans="1:17" ht="15" customHeight="1" x14ac:dyDescent="0.25">
      <c r="A208" s="11">
        <f t="shared" si="15"/>
        <v>9</v>
      </c>
      <c r="B208" s="11" t="str">
        <f>INDEX('Effectif Saison'!$E$4:$E$22,13)</f>
        <v>Maxence KELLER</v>
      </c>
      <c r="C208" s="10"/>
      <c r="D208" s="10"/>
      <c r="E208" s="10"/>
      <c r="F208" s="19" t="str">
        <f>IF(B208="","",IF(AND(E208="Oui",COUNTIFS(Changements!$A:$A,A208,Changements!$D:$D,B208)&gt;0),"⚠ Titulaire+entrée ?",IF(ABS(L208-M208)&gt;1,"⚠ vérifier","")))</f>
        <v/>
      </c>
      <c r="G208" s="11" t="str">
        <f>IF(B208="","",IFERROR(INDEX('Effectif Saison'!$D$4:$D$51,MATCH(B208,'Effectif Saison'!$E$4:$E$51,0)),""))</f>
        <v>Équipe 1</v>
      </c>
      <c r="H208" s="19" t="str">
        <f>IF(L208=0,"",IF(E208="Oui",0,IFERROR(_xlfn.MINIFS(Changements!$B:$B,Changements!$A:$A,A208,Changements!$D:$D,B208),"")))</f>
        <v/>
      </c>
      <c r="I208" s="19" t="str">
        <f>IF(M208=0,"",IFERROR(_xlfn.MAXIFS(Changements!$B:$B,Changements!$A:$A,A208,Changements!$C:$C,B208),""))</f>
        <v/>
      </c>
      <c r="J208" s="11" t="str">
        <f t="shared" si="16"/>
        <v/>
      </c>
      <c r="K208" s="17">
        <f t="shared" si="17"/>
        <v>0</v>
      </c>
      <c r="L208" s="17">
        <f>IF(B208="",0,COUNTIFS(Changements!$A:$A,A208,Changements!$D:$D,B208)+IF(E208="Oui",1,0))</f>
        <v>0</v>
      </c>
      <c r="M208" s="17">
        <f>IF(B208="",0,COUNTIFS(Changements!$A:$A,A208,Changements!$C:$C,B208))</f>
        <v>0</v>
      </c>
      <c r="N208" s="17">
        <f>IF(B208="",0,SUMIFS(Changements!$B:$B,Changements!$A:$A,A208,Changements!$D:$D,B208))</f>
        <v>0</v>
      </c>
      <c r="O208" s="17">
        <f>IF(B208="",0,SUMIFS(Changements!$B:$B,Changements!$A:$A,A208,Changements!$C:$C,B208)+IF(L208&gt;M208,IFERROR(INDEX(Matchs!$F$4:$F$31,MATCH(A208,Matchs!$A$4:$A$31,0)),0),0))</f>
        <v>0</v>
      </c>
      <c r="P208" s="17">
        <f t="shared" si="18"/>
        <v>0</v>
      </c>
      <c r="Q208" s="17">
        <f t="shared" si="19"/>
        <v>0</v>
      </c>
    </row>
    <row r="209" spans="1:17" ht="15" customHeight="1" x14ac:dyDescent="0.25">
      <c r="A209" s="11">
        <f t="shared" si="15"/>
        <v>9</v>
      </c>
      <c r="B209" s="11" t="str">
        <f>INDEX('Effectif Saison'!$E$4:$E$22,14)</f>
        <v>Evan SCHMITT</v>
      </c>
      <c r="C209" s="10"/>
      <c r="D209" s="10"/>
      <c r="E209" s="10"/>
      <c r="F209" s="19" t="str">
        <f>IF(B209="","",IF(AND(E209="Oui",COUNTIFS(Changements!$A:$A,A209,Changements!$D:$D,B209)&gt;0),"⚠ Titulaire+entrée ?",IF(ABS(L209-M209)&gt;1,"⚠ vérifier","")))</f>
        <v/>
      </c>
      <c r="G209" s="11" t="str">
        <f>IF(B209="","",IFERROR(INDEX('Effectif Saison'!$D$4:$D$51,MATCH(B209,'Effectif Saison'!$E$4:$E$51,0)),""))</f>
        <v>Équipe 1</v>
      </c>
      <c r="H209" s="19" t="str">
        <f>IF(L209=0,"",IF(E209="Oui",0,IFERROR(_xlfn.MINIFS(Changements!$B:$B,Changements!$A:$A,A209,Changements!$D:$D,B209),"")))</f>
        <v/>
      </c>
      <c r="I209" s="19" t="str">
        <f>IF(M209=0,"",IFERROR(_xlfn.MAXIFS(Changements!$B:$B,Changements!$A:$A,A209,Changements!$C:$C,B209),""))</f>
        <v/>
      </c>
      <c r="J209" s="11" t="str">
        <f t="shared" si="16"/>
        <v/>
      </c>
      <c r="K209" s="17">
        <f t="shared" si="17"/>
        <v>0</v>
      </c>
      <c r="L209" s="17">
        <f>IF(B209="",0,COUNTIFS(Changements!$A:$A,A209,Changements!$D:$D,B209)+IF(E209="Oui",1,0))</f>
        <v>0</v>
      </c>
      <c r="M209" s="17">
        <f>IF(B209="",0,COUNTIFS(Changements!$A:$A,A209,Changements!$C:$C,B209))</f>
        <v>0</v>
      </c>
      <c r="N209" s="17">
        <f>IF(B209="",0,SUMIFS(Changements!$B:$B,Changements!$A:$A,A209,Changements!$D:$D,B209))</f>
        <v>0</v>
      </c>
      <c r="O209" s="17">
        <f>IF(B209="",0,SUMIFS(Changements!$B:$B,Changements!$A:$A,A209,Changements!$C:$C,B209)+IF(L209&gt;M209,IFERROR(INDEX(Matchs!$F$4:$F$31,MATCH(A209,Matchs!$A$4:$A$31,0)),0),0))</f>
        <v>0</v>
      </c>
      <c r="P209" s="17">
        <f t="shared" si="18"/>
        <v>0</v>
      </c>
      <c r="Q209" s="17">
        <f t="shared" si="19"/>
        <v>0</v>
      </c>
    </row>
    <row r="210" spans="1:17" ht="15" customHeight="1" x14ac:dyDescent="0.25">
      <c r="A210" s="11">
        <f t="shared" si="15"/>
        <v>9</v>
      </c>
      <c r="B210" s="11" t="str">
        <f>INDEX('Effectif Saison'!$E$4:$E$22,15)</f>
        <v>William SIMON</v>
      </c>
      <c r="C210" s="10"/>
      <c r="D210" s="10"/>
      <c r="E210" s="10"/>
      <c r="F210" s="19" t="str">
        <f>IF(B210="","",IF(AND(E210="Oui",COUNTIFS(Changements!$A:$A,A210,Changements!$D:$D,B210)&gt;0),"⚠ Titulaire+entrée ?",IF(ABS(L210-M210)&gt;1,"⚠ vérifier","")))</f>
        <v/>
      </c>
      <c r="G210" s="11" t="str">
        <f>IF(B210="","",IFERROR(INDEX('Effectif Saison'!$D$4:$D$51,MATCH(B210,'Effectif Saison'!$E$4:$E$51,0)),""))</f>
        <v>Équipe 1</v>
      </c>
      <c r="H210" s="19" t="str">
        <f>IF(L210=0,"",IF(E210="Oui",0,IFERROR(_xlfn.MINIFS(Changements!$B:$B,Changements!$A:$A,A210,Changements!$D:$D,B210),"")))</f>
        <v/>
      </c>
      <c r="I210" s="19" t="str">
        <f>IF(M210=0,"",IFERROR(_xlfn.MAXIFS(Changements!$B:$B,Changements!$A:$A,A210,Changements!$C:$C,B210),""))</f>
        <v/>
      </c>
      <c r="J210" s="11" t="str">
        <f t="shared" si="16"/>
        <v/>
      </c>
      <c r="K210" s="17">
        <f t="shared" si="17"/>
        <v>0</v>
      </c>
      <c r="L210" s="17">
        <f>IF(B210="",0,COUNTIFS(Changements!$A:$A,A210,Changements!$D:$D,B210)+IF(E210="Oui",1,0))</f>
        <v>0</v>
      </c>
      <c r="M210" s="17">
        <f>IF(B210="",0,COUNTIFS(Changements!$A:$A,A210,Changements!$C:$C,B210))</f>
        <v>0</v>
      </c>
      <c r="N210" s="17">
        <f>IF(B210="",0,SUMIFS(Changements!$B:$B,Changements!$A:$A,A210,Changements!$D:$D,B210))</f>
        <v>0</v>
      </c>
      <c r="O210" s="17">
        <f>IF(B210="",0,SUMIFS(Changements!$B:$B,Changements!$A:$A,A210,Changements!$C:$C,B210)+IF(L210&gt;M210,IFERROR(INDEX(Matchs!$F$4:$F$31,MATCH(A210,Matchs!$A$4:$A$31,0)),0),0))</f>
        <v>0</v>
      </c>
      <c r="P210" s="17">
        <f t="shared" si="18"/>
        <v>0</v>
      </c>
      <c r="Q210" s="17">
        <f t="shared" si="19"/>
        <v>0</v>
      </c>
    </row>
    <row r="211" spans="1:17" ht="15" customHeight="1" x14ac:dyDescent="0.25">
      <c r="A211" s="11">
        <f t="shared" si="15"/>
        <v>9</v>
      </c>
      <c r="B211" s="11" t="str">
        <f>INDEX('Effectif Saison'!$E$4:$E$22,16)</f>
        <v>Lenny LEPPER</v>
      </c>
      <c r="C211" s="10"/>
      <c r="D211" s="10"/>
      <c r="E211" s="10"/>
      <c r="F211" s="19" t="str">
        <f>IF(B211="","",IF(AND(E211="Oui",COUNTIFS(Changements!$A:$A,A211,Changements!$D:$D,B211)&gt;0),"⚠ Titulaire+entrée ?",IF(ABS(L211-M211)&gt;1,"⚠ vérifier","")))</f>
        <v/>
      </c>
      <c r="G211" s="11" t="str">
        <f>IF(B211="","",IFERROR(INDEX('Effectif Saison'!$D$4:$D$51,MATCH(B211,'Effectif Saison'!$E$4:$E$51,0)),""))</f>
        <v>Équipe 1</v>
      </c>
      <c r="H211" s="19" t="str">
        <f>IF(L211=0,"",IF(E211="Oui",0,IFERROR(_xlfn.MINIFS(Changements!$B:$B,Changements!$A:$A,A211,Changements!$D:$D,B211),"")))</f>
        <v/>
      </c>
      <c r="I211" s="19" t="str">
        <f>IF(M211=0,"",IFERROR(_xlfn.MAXIFS(Changements!$B:$B,Changements!$A:$A,A211,Changements!$C:$C,B211),""))</f>
        <v/>
      </c>
      <c r="J211" s="11" t="str">
        <f t="shared" si="16"/>
        <v/>
      </c>
      <c r="K211" s="17">
        <f t="shared" si="17"/>
        <v>0</v>
      </c>
      <c r="L211" s="17">
        <f>IF(B211="",0,COUNTIFS(Changements!$A:$A,A211,Changements!$D:$D,B211)+IF(E211="Oui",1,0))</f>
        <v>0</v>
      </c>
      <c r="M211" s="17">
        <f>IF(B211="",0,COUNTIFS(Changements!$A:$A,A211,Changements!$C:$C,B211))</f>
        <v>0</v>
      </c>
      <c r="N211" s="17">
        <f>IF(B211="",0,SUMIFS(Changements!$B:$B,Changements!$A:$A,A211,Changements!$D:$D,B211))</f>
        <v>0</v>
      </c>
      <c r="O211" s="17">
        <f>IF(B211="",0,SUMIFS(Changements!$B:$B,Changements!$A:$A,A211,Changements!$C:$C,B211)+IF(L211&gt;M211,IFERROR(INDEX(Matchs!$F$4:$F$31,MATCH(A211,Matchs!$A$4:$A$31,0)),0),0))</f>
        <v>0</v>
      </c>
      <c r="P211" s="17">
        <f t="shared" si="18"/>
        <v>0</v>
      </c>
      <c r="Q211" s="17">
        <f t="shared" si="19"/>
        <v>0</v>
      </c>
    </row>
    <row r="212" spans="1:17" ht="15" customHeight="1" x14ac:dyDescent="0.25">
      <c r="A212" s="11">
        <f t="shared" si="15"/>
        <v>9</v>
      </c>
      <c r="B212" s="11" t="str">
        <f>INDEX('Effectif Saison'!$E$4:$E$22,17)</f>
        <v>Malo KELLER</v>
      </c>
      <c r="C212" s="10"/>
      <c r="D212" s="10"/>
      <c r="E212" s="10"/>
      <c r="F212" s="19" t="str">
        <f>IF(B212="","",IF(AND(E212="Oui",COUNTIFS(Changements!$A:$A,A212,Changements!$D:$D,B212)&gt;0),"⚠ Titulaire+entrée ?",IF(ABS(L212-M212)&gt;1,"⚠ vérifier","")))</f>
        <v/>
      </c>
      <c r="G212" s="11" t="str">
        <f>IF(B212="","",IFERROR(INDEX('Effectif Saison'!$D$4:$D$51,MATCH(B212,'Effectif Saison'!$E$4:$E$51,0)),""))</f>
        <v>Équipe 1</v>
      </c>
      <c r="H212" s="19" t="str">
        <f>IF(L212=0,"",IF(E212="Oui",0,IFERROR(_xlfn.MINIFS(Changements!$B:$B,Changements!$A:$A,A212,Changements!$D:$D,B212),"")))</f>
        <v/>
      </c>
      <c r="I212" s="19" t="str">
        <f>IF(M212=0,"",IFERROR(_xlfn.MAXIFS(Changements!$B:$B,Changements!$A:$A,A212,Changements!$C:$C,B212),""))</f>
        <v/>
      </c>
      <c r="J212" s="11" t="str">
        <f t="shared" si="16"/>
        <v/>
      </c>
      <c r="K212" s="17">
        <f t="shared" si="17"/>
        <v>0</v>
      </c>
      <c r="L212" s="17">
        <f>IF(B212="",0,COUNTIFS(Changements!$A:$A,A212,Changements!$D:$D,B212)+IF(E212="Oui",1,0))</f>
        <v>0</v>
      </c>
      <c r="M212" s="17">
        <f>IF(B212="",0,COUNTIFS(Changements!$A:$A,A212,Changements!$C:$C,B212))</f>
        <v>0</v>
      </c>
      <c r="N212" s="17">
        <f>IF(B212="",0,SUMIFS(Changements!$B:$B,Changements!$A:$A,A212,Changements!$D:$D,B212))</f>
        <v>0</v>
      </c>
      <c r="O212" s="17">
        <f>IF(B212="",0,SUMIFS(Changements!$B:$B,Changements!$A:$A,A212,Changements!$C:$C,B212)+IF(L212&gt;M212,IFERROR(INDEX(Matchs!$F$4:$F$31,MATCH(A212,Matchs!$A$4:$A$31,0)),0),0))</f>
        <v>0</v>
      </c>
      <c r="P212" s="17">
        <f t="shared" si="18"/>
        <v>0</v>
      </c>
      <c r="Q212" s="17">
        <f t="shared" si="19"/>
        <v>0</v>
      </c>
    </row>
    <row r="213" spans="1:17" ht="15" customHeight="1" x14ac:dyDescent="0.25">
      <c r="A213" s="11">
        <f t="shared" si="15"/>
        <v>9</v>
      </c>
      <c r="B213" s="11" t="str">
        <f>INDEX('Effectif Saison'!$E$4:$E$22,18)</f>
        <v>Tom SCHILLER</v>
      </c>
      <c r="C213" s="10"/>
      <c r="D213" s="10"/>
      <c r="E213" s="10"/>
      <c r="F213" s="19" t="str">
        <f>IF(B213="","",IF(AND(E213="Oui",COUNTIFS(Changements!$A:$A,A213,Changements!$D:$D,B213)&gt;0),"⚠ Titulaire+entrée ?",IF(ABS(L213-M213)&gt;1,"⚠ vérifier","")))</f>
        <v/>
      </c>
      <c r="G213" s="11" t="str">
        <f>IF(B213="","",IFERROR(INDEX('Effectif Saison'!$D$4:$D$51,MATCH(B213,'Effectif Saison'!$E$4:$E$51,0)),""))</f>
        <v>Équipe 1</v>
      </c>
      <c r="H213" s="19" t="str">
        <f>IF(L213=0,"",IF(E213="Oui",0,IFERROR(_xlfn.MINIFS(Changements!$B:$B,Changements!$A:$A,A213,Changements!$D:$D,B213),"")))</f>
        <v/>
      </c>
      <c r="I213" s="19" t="str">
        <f>IF(M213=0,"",IFERROR(_xlfn.MAXIFS(Changements!$B:$B,Changements!$A:$A,A213,Changements!$C:$C,B213),""))</f>
        <v/>
      </c>
      <c r="J213" s="11" t="str">
        <f t="shared" si="16"/>
        <v/>
      </c>
      <c r="K213" s="17">
        <f t="shared" si="17"/>
        <v>0</v>
      </c>
      <c r="L213" s="17">
        <f>IF(B213="",0,COUNTIFS(Changements!$A:$A,A213,Changements!$D:$D,B213)+IF(E213="Oui",1,0))</f>
        <v>0</v>
      </c>
      <c r="M213" s="17">
        <f>IF(B213="",0,COUNTIFS(Changements!$A:$A,A213,Changements!$C:$C,B213))</f>
        <v>0</v>
      </c>
      <c r="N213" s="17">
        <f>IF(B213="",0,SUMIFS(Changements!$B:$B,Changements!$A:$A,A213,Changements!$D:$D,B213))</f>
        <v>0</v>
      </c>
      <c r="O213" s="17">
        <f>IF(B213="",0,SUMIFS(Changements!$B:$B,Changements!$A:$A,A213,Changements!$C:$C,B213)+IF(L213&gt;M213,IFERROR(INDEX(Matchs!$F$4:$F$31,MATCH(A213,Matchs!$A$4:$A$31,0)),0),0))</f>
        <v>0</v>
      </c>
      <c r="P213" s="17">
        <f t="shared" si="18"/>
        <v>0</v>
      </c>
      <c r="Q213" s="17">
        <f t="shared" si="19"/>
        <v>0</v>
      </c>
    </row>
    <row r="214" spans="1:17" ht="15" customHeight="1" x14ac:dyDescent="0.25">
      <c r="A214" s="11">
        <f t="shared" si="15"/>
        <v>9</v>
      </c>
      <c r="B214" s="11" t="str">
        <f>INDEX('Effectif Saison'!$E$4:$E$22,19)</f>
        <v>Eliot LEIBY</v>
      </c>
      <c r="C214" s="10"/>
      <c r="D214" s="10"/>
      <c r="E214" s="10"/>
      <c r="F214" s="19" t="str">
        <f>IF(B214="","",IF(AND(E214="Oui",COUNTIFS(Changements!$A:$A,A214,Changements!$D:$D,B214)&gt;0),"⚠ Titulaire+entrée ?",IF(ABS(L214-M214)&gt;1,"⚠ vérifier","")))</f>
        <v/>
      </c>
      <c r="G214" s="11" t="str">
        <f>IF(B214="","",IFERROR(INDEX('Effectif Saison'!$D$4:$D$51,MATCH(B214,'Effectif Saison'!$E$4:$E$51,0)),""))</f>
        <v>Équipe 1</v>
      </c>
      <c r="H214" s="19" t="str">
        <f>IF(L214=0,"",IF(E214="Oui",0,IFERROR(_xlfn.MINIFS(Changements!$B:$B,Changements!$A:$A,A214,Changements!$D:$D,B214),"")))</f>
        <v/>
      </c>
      <c r="I214" s="19" t="str">
        <f>IF(M214=0,"",IFERROR(_xlfn.MAXIFS(Changements!$B:$B,Changements!$A:$A,A214,Changements!$C:$C,B214),""))</f>
        <v/>
      </c>
      <c r="J214" s="11" t="str">
        <f t="shared" si="16"/>
        <v/>
      </c>
      <c r="K214" s="17">
        <f t="shared" si="17"/>
        <v>0</v>
      </c>
      <c r="L214" s="17">
        <f>IF(B214="",0,COUNTIFS(Changements!$A:$A,A214,Changements!$D:$D,B214)+IF(E214="Oui",1,0))</f>
        <v>0</v>
      </c>
      <c r="M214" s="17">
        <f>IF(B214="",0,COUNTIFS(Changements!$A:$A,A214,Changements!$C:$C,B214))</f>
        <v>0</v>
      </c>
      <c r="N214" s="17">
        <f>IF(B214="",0,SUMIFS(Changements!$B:$B,Changements!$A:$A,A214,Changements!$D:$D,B214))</f>
        <v>0</v>
      </c>
      <c r="O214" s="17">
        <f>IF(B214="",0,SUMIFS(Changements!$B:$B,Changements!$A:$A,A214,Changements!$C:$C,B214)+IF(L214&gt;M214,IFERROR(INDEX(Matchs!$F$4:$F$31,MATCH(A214,Matchs!$A$4:$A$31,0)),0),0))</f>
        <v>0</v>
      </c>
      <c r="P214" s="17">
        <f t="shared" si="18"/>
        <v>0</v>
      </c>
      <c r="Q214" s="17">
        <f t="shared" si="19"/>
        <v>0</v>
      </c>
    </row>
    <row r="215" spans="1:17" ht="15" customHeight="1" x14ac:dyDescent="0.25">
      <c r="A215" s="11">
        <f t="shared" si="15"/>
        <v>9</v>
      </c>
      <c r="B215" s="10"/>
      <c r="C215" s="10"/>
      <c r="D215" s="10"/>
      <c r="E215" s="10"/>
      <c r="F215" s="19" t="str">
        <f>IF(B215="","",IF(AND(E215="Oui",COUNTIFS(Changements!$A:$A,A215,Changements!$D:$D,B215)&gt;0),"⚠ Titulaire+entrée ?",IF(ABS(L215-M215)&gt;1,"⚠ vérifier","")))</f>
        <v/>
      </c>
      <c r="G215" s="11" t="str">
        <f>IF(B215="","",IFERROR(INDEX('Effectif Saison'!$D$4:$D$51,MATCH(B215,'Effectif Saison'!$E$4:$E$51,0)),""))</f>
        <v/>
      </c>
      <c r="H215" s="19" t="str">
        <f>IF(L215=0,"",IF(E215="Oui",0,IFERROR(_xlfn.MINIFS(Changements!$B:$B,Changements!$A:$A,A215,Changements!$D:$D,B215),"")))</f>
        <v/>
      </c>
      <c r="I215" s="19" t="str">
        <f>IF(M215=0,"",IFERROR(_xlfn.MAXIFS(Changements!$B:$B,Changements!$A:$A,A215,Changements!$C:$C,B215),""))</f>
        <v/>
      </c>
      <c r="J215" s="11" t="str">
        <f t="shared" si="16"/>
        <v/>
      </c>
      <c r="K215" s="17">
        <f t="shared" si="17"/>
        <v>0</v>
      </c>
      <c r="L215" s="17">
        <f>IF(B215="",0,COUNTIFS(Changements!$A:$A,A215,Changements!$D:$D,B215)+IF(E215="Oui",1,0))</f>
        <v>0</v>
      </c>
      <c r="M215" s="17">
        <f>IF(B215="",0,COUNTIFS(Changements!$A:$A,A215,Changements!$C:$C,B215))</f>
        <v>0</v>
      </c>
      <c r="N215" s="17">
        <f>IF(B215="",0,SUMIFS(Changements!$B:$B,Changements!$A:$A,A215,Changements!$D:$D,B215))</f>
        <v>0</v>
      </c>
      <c r="O215" s="17">
        <f>IF(B215="",0,SUMIFS(Changements!$B:$B,Changements!$A:$A,A215,Changements!$C:$C,B215)+IF(L215&gt;M215,IFERROR(INDEX(Matchs!$F$4:$F$31,MATCH(A215,Matchs!$A$4:$A$31,0)),0),0))</f>
        <v>0</v>
      </c>
      <c r="P215" s="17">
        <f t="shared" si="18"/>
        <v>0</v>
      </c>
      <c r="Q215" s="17">
        <f t="shared" si="19"/>
        <v>0</v>
      </c>
    </row>
    <row r="216" spans="1:17" ht="15" customHeight="1" x14ac:dyDescent="0.25">
      <c r="A216" s="11">
        <f t="shared" si="15"/>
        <v>9</v>
      </c>
      <c r="B216" s="10"/>
      <c r="C216" s="10"/>
      <c r="D216" s="10"/>
      <c r="E216" s="10"/>
      <c r="F216" s="19" t="str">
        <f>IF(B216="","",IF(AND(E216="Oui",COUNTIFS(Changements!$A:$A,A216,Changements!$D:$D,B216)&gt;0),"⚠ Titulaire+entrée ?",IF(ABS(L216-M216)&gt;1,"⚠ vérifier","")))</f>
        <v/>
      </c>
      <c r="G216" s="11" t="str">
        <f>IF(B216="","",IFERROR(INDEX('Effectif Saison'!$D$4:$D$51,MATCH(B216,'Effectif Saison'!$E$4:$E$51,0)),""))</f>
        <v/>
      </c>
      <c r="H216" s="19" t="str">
        <f>IF(L216=0,"",IF(E216="Oui",0,IFERROR(_xlfn.MINIFS(Changements!$B:$B,Changements!$A:$A,A216,Changements!$D:$D,B216),"")))</f>
        <v/>
      </c>
      <c r="I216" s="19" t="str">
        <f>IF(M216=0,"",IFERROR(_xlfn.MAXIFS(Changements!$B:$B,Changements!$A:$A,A216,Changements!$C:$C,B216),""))</f>
        <v/>
      </c>
      <c r="J216" s="11" t="str">
        <f t="shared" si="16"/>
        <v/>
      </c>
      <c r="K216" s="17">
        <f t="shared" si="17"/>
        <v>0</v>
      </c>
      <c r="L216" s="17">
        <f>IF(B216="",0,COUNTIFS(Changements!$A:$A,A216,Changements!$D:$D,B216)+IF(E216="Oui",1,0))</f>
        <v>0</v>
      </c>
      <c r="M216" s="17">
        <f>IF(B216="",0,COUNTIFS(Changements!$A:$A,A216,Changements!$C:$C,B216))</f>
        <v>0</v>
      </c>
      <c r="N216" s="17">
        <f>IF(B216="",0,SUMIFS(Changements!$B:$B,Changements!$A:$A,A216,Changements!$D:$D,B216))</f>
        <v>0</v>
      </c>
      <c r="O216" s="17">
        <f>IF(B216="",0,SUMIFS(Changements!$B:$B,Changements!$A:$A,A216,Changements!$C:$C,B216)+IF(L216&gt;M216,IFERROR(INDEX(Matchs!$F$4:$F$31,MATCH(A216,Matchs!$A$4:$A$31,0)),0),0))</f>
        <v>0</v>
      </c>
      <c r="P216" s="17">
        <f t="shared" si="18"/>
        <v>0</v>
      </c>
      <c r="Q216" s="17">
        <f t="shared" si="19"/>
        <v>0</v>
      </c>
    </row>
    <row r="217" spans="1:17" ht="15" customHeight="1" x14ac:dyDescent="0.25">
      <c r="A217" s="11">
        <f t="shared" si="15"/>
        <v>9</v>
      </c>
      <c r="B217" s="10"/>
      <c r="C217" s="10"/>
      <c r="D217" s="10"/>
      <c r="E217" s="10"/>
      <c r="F217" s="19" t="str">
        <f>IF(B217="","",IF(AND(E217="Oui",COUNTIFS(Changements!$A:$A,A217,Changements!$D:$D,B217)&gt;0),"⚠ Titulaire+entrée ?",IF(ABS(L217-M217)&gt;1,"⚠ vérifier","")))</f>
        <v/>
      </c>
      <c r="G217" s="11" t="str">
        <f>IF(B217="","",IFERROR(INDEX('Effectif Saison'!$D$4:$D$51,MATCH(B217,'Effectif Saison'!$E$4:$E$51,0)),""))</f>
        <v/>
      </c>
      <c r="H217" s="19" t="str">
        <f>IF(L217=0,"",IF(E217="Oui",0,IFERROR(_xlfn.MINIFS(Changements!$B:$B,Changements!$A:$A,A217,Changements!$D:$D,B217),"")))</f>
        <v/>
      </c>
      <c r="I217" s="19" t="str">
        <f>IF(M217=0,"",IFERROR(_xlfn.MAXIFS(Changements!$B:$B,Changements!$A:$A,A217,Changements!$C:$C,B217),""))</f>
        <v/>
      </c>
      <c r="J217" s="11" t="str">
        <f t="shared" si="16"/>
        <v/>
      </c>
      <c r="K217" s="17">
        <f t="shared" si="17"/>
        <v>0</v>
      </c>
      <c r="L217" s="17">
        <f>IF(B217="",0,COUNTIFS(Changements!$A:$A,A217,Changements!$D:$D,B217)+IF(E217="Oui",1,0))</f>
        <v>0</v>
      </c>
      <c r="M217" s="17">
        <f>IF(B217="",0,COUNTIFS(Changements!$A:$A,A217,Changements!$C:$C,B217))</f>
        <v>0</v>
      </c>
      <c r="N217" s="17">
        <f>IF(B217="",0,SUMIFS(Changements!$B:$B,Changements!$A:$A,A217,Changements!$D:$D,B217))</f>
        <v>0</v>
      </c>
      <c r="O217" s="17">
        <f>IF(B217="",0,SUMIFS(Changements!$B:$B,Changements!$A:$A,A217,Changements!$C:$C,B217)+IF(L217&gt;M217,IFERROR(INDEX(Matchs!$F$4:$F$31,MATCH(A217,Matchs!$A$4:$A$31,0)),0),0))</f>
        <v>0</v>
      </c>
      <c r="P217" s="17">
        <f t="shared" si="18"/>
        <v>0</v>
      </c>
      <c r="Q217" s="17">
        <f t="shared" si="19"/>
        <v>0</v>
      </c>
    </row>
    <row r="218" spans="1:17" ht="15" customHeight="1" x14ac:dyDescent="0.25">
      <c r="A218" s="11">
        <f t="shared" si="15"/>
        <v>9</v>
      </c>
      <c r="B218" s="10"/>
      <c r="C218" s="10"/>
      <c r="D218" s="10"/>
      <c r="E218" s="10"/>
      <c r="F218" s="19" t="str">
        <f>IF(B218="","",IF(AND(E218="Oui",COUNTIFS(Changements!$A:$A,A218,Changements!$D:$D,B218)&gt;0),"⚠ Titulaire+entrée ?",IF(ABS(L218-M218)&gt;1,"⚠ vérifier","")))</f>
        <v/>
      </c>
      <c r="G218" s="11" t="str">
        <f>IF(B218="","",IFERROR(INDEX('Effectif Saison'!$D$4:$D$51,MATCH(B218,'Effectif Saison'!$E$4:$E$51,0)),""))</f>
        <v/>
      </c>
      <c r="H218" s="19" t="str">
        <f>IF(L218=0,"",IF(E218="Oui",0,IFERROR(_xlfn.MINIFS(Changements!$B:$B,Changements!$A:$A,A218,Changements!$D:$D,B218),"")))</f>
        <v/>
      </c>
      <c r="I218" s="19" t="str">
        <f>IF(M218=0,"",IFERROR(_xlfn.MAXIFS(Changements!$B:$B,Changements!$A:$A,A218,Changements!$C:$C,B218),""))</f>
        <v/>
      </c>
      <c r="J218" s="11" t="str">
        <f t="shared" si="16"/>
        <v/>
      </c>
      <c r="K218" s="17">
        <f t="shared" si="17"/>
        <v>0</v>
      </c>
      <c r="L218" s="17">
        <f>IF(B218="",0,COUNTIFS(Changements!$A:$A,A218,Changements!$D:$D,B218)+IF(E218="Oui",1,0))</f>
        <v>0</v>
      </c>
      <c r="M218" s="17">
        <f>IF(B218="",0,COUNTIFS(Changements!$A:$A,A218,Changements!$C:$C,B218))</f>
        <v>0</v>
      </c>
      <c r="N218" s="17">
        <f>IF(B218="",0,SUMIFS(Changements!$B:$B,Changements!$A:$A,A218,Changements!$D:$D,B218))</f>
        <v>0</v>
      </c>
      <c r="O218" s="17">
        <f>IF(B218="",0,SUMIFS(Changements!$B:$B,Changements!$A:$A,A218,Changements!$C:$C,B218)+IF(L218&gt;M218,IFERROR(INDEX(Matchs!$F$4:$F$31,MATCH(A218,Matchs!$A$4:$A$31,0)),0),0))</f>
        <v>0</v>
      </c>
      <c r="P218" s="17">
        <f t="shared" si="18"/>
        <v>0</v>
      </c>
      <c r="Q218" s="17">
        <f t="shared" si="19"/>
        <v>0</v>
      </c>
    </row>
    <row r="219" spans="1:17" ht="15" customHeight="1" x14ac:dyDescent="0.25">
      <c r="A219" s="11">
        <f t="shared" si="15"/>
        <v>9</v>
      </c>
      <c r="B219" s="10"/>
      <c r="C219" s="10"/>
      <c r="D219" s="10"/>
      <c r="E219" s="10"/>
      <c r="F219" s="19" t="str">
        <f>IF(B219="","",IF(AND(E219="Oui",COUNTIFS(Changements!$A:$A,A219,Changements!$D:$D,B219)&gt;0),"⚠ Titulaire+entrée ?",IF(ABS(L219-M219)&gt;1,"⚠ vérifier","")))</f>
        <v/>
      </c>
      <c r="G219" s="11" t="str">
        <f>IF(B219="","",IFERROR(INDEX('Effectif Saison'!$D$4:$D$51,MATCH(B219,'Effectif Saison'!$E$4:$E$51,0)),""))</f>
        <v/>
      </c>
      <c r="H219" s="19" t="str">
        <f>IF(L219=0,"",IF(E219="Oui",0,IFERROR(_xlfn.MINIFS(Changements!$B:$B,Changements!$A:$A,A219,Changements!$D:$D,B219),"")))</f>
        <v/>
      </c>
      <c r="I219" s="19" t="str">
        <f>IF(M219=0,"",IFERROR(_xlfn.MAXIFS(Changements!$B:$B,Changements!$A:$A,A219,Changements!$C:$C,B219),""))</f>
        <v/>
      </c>
      <c r="J219" s="11" t="str">
        <f t="shared" si="16"/>
        <v/>
      </c>
      <c r="K219" s="17">
        <f t="shared" si="17"/>
        <v>0</v>
      </c>
      <c r="L219" s="17">
        <f>IF(B219="",0,COUNTIFS(Changements!$A:$A,A219,Changements!$D:$D,B219)+IF(E219="Oui",1,0))</f>
        <v>0</v>
      </c>
      <c r="M219" s="17">
        <f>IF(B219="",0,COUNTIFS(Changements!$A:$A,A219,Changements!$C:$C,B219))</f>
        <v>0</v>
      </c>
      <c r="N219" s="17">
        <f>IF(B219="",0,SUMIFS(Changements!$B:$B,Changements!$A:$A,A219,Changements!$D:$D,B219))</f>
        <v>0</v>
      </c>
      <c r="O219" s="17">
        <f>IF(B219="",0,SUMIFS(Changements!$B:$B,Changements!$A:$A,A219,Changements!$C:$C,B219)+IF(L219&gt;M219,IFERROR(INDEX(Matchs!$F$4:$F$31,MATCH(A219,Matchs!$A$4:$A$31,0)),0),0))</f>
        <v>0</v>
      </c>
      <c r="P219" s="17">
        <f t="shared" si="18"/>
        <v>0</v>
      </c>
      <c r="Q219" s="17">
        <f t="shared" si="19"/>
        <v>0</v>
      </c>
    </row>
    <row r="220" spans="1:17" ht="15" customHeight="1" x14ac:dyDescent="0.25">
      <c r="A220" s="11">
        <f t="shared" si="15"/>
        <v>10</v>
      </c>
      <c r="B220" s="11" t="str">
        <f>INDEX('Effectif Saison'!$E$4:$E$22,1)</f>
        <v>Alan MICHON</v>
      </c>
      <c r="C220" s="10"/>
      <c r="D220" s="10"/>
      <c r="E220" s="10"/>
      <c r="F220" s="19" t="str">
        <f>IF(B220="","",IF(AND(E220="Oui",COUNTIFS(Changements!$A:$A,A220,Changements!$D:$D,B220)&gt;0),"⚠ Titulaire+entrée ?",IF(ABS(L220-M220)&gt;1,"⚠ vérifier","")))</f>
        <v/>
      </c>
      <c r="G220" s="11" t="str">
        <f>IF(B220="","",IFERROR(INDEX('Effectif Saison'!$D$4:$D$51,MATCH(B220,'Effectif Saison'!$E$4:$E$51,0)),""))</f>
        <v>Équipe 1</v>
      </c>
      <c r="H220" s="19" t="str">
        <f>IF(L220=0,"",IF(E220="Oui",0,IFERROR(_xlfn.MINIFS(Changements!$B:$B,Changements!$A:$A,A220,Changements!$D:$D,B220),"")))</f>
        <v/>
      </c>
      <c r="I220" s="19" t="str">
        <f>IF(M220=0,"",IFERROR(_xlfn.MAXIFS(Changements!$B:$B,Changements!$A:$A,A220,Changements!$C:$C,B220),""))</f>
        <v/>
      </c>
      <c r="J220" s="11" t="str">
        <f t="shared" si="16"/>
        <v/>
      </c>
      <c r="K220" s="17">
        <f t="shared" si="17"/>
        <v>0</v>
      </c>
      <c r="L220" s="17">
        <f>IF(B220="",0,COUNTIFS(Changements!$A:$A,A220,Changements!$D:$D,B220)+IF(E220="Oui",1,0))</f>
        <v>0</v>
      </c>
      <c r="M220" s="17">
        <f>IF(B220="",0,COUNTIFS(Changements!$A:$A,A220,Changements!$C:$C,B220))</f>
        <v>0</v>
      </c>
      <c r="N220" s="17">
        <f>IF(B220="",0,SUMIFS(Changements!$B:$B,Changements!$A:$A,A220,Changements!$D:$D,B220))</f>
        <v>0</v>
      </c>
      <c r="O220" s="17">
        <f>IF(B220="",0,SUMIFS(Changements!$B:$B,Changements!$A:$A,A220,Changements!$C:$C,B220)+IF(L220&gt;M220,IFERROR(INDEX(Matchs!$F$4:$F$31,MATCH(A220,Matchs!$A$4:$A$31,0)),0),0))</f>
        <v>0</v>
      </c>
      <c r="P220" s="17">
        <f t="shared" si="18"/>
        <v>0</v>
      </c>
      <c r="Q220" s="17">
        <f t="shared" si="19"/>
        <v>0</v>
      </c>
    </row>
    <row r="221" spans="1:17" ht="15" customHeight="1" x14ac:dyDescent="0.25">
      <c r="A221" s="11">
        <f t="shared" si="15"/>
        <v>10</v>
      </c>
      <c r="B221" s="11" t="str">
        <f>INDEX('Effectif Saison'!$E$4:$E$22,2)</f>
        <v>Jean BRUNTZ</v>
      </c>
      <c r="C221" s="10"/>
      <c r="D221" s="10"/>
      <c r="E221" s="10"/>
      <c r="F221" s="19" t="str">
        <f>IF(B221="","",IF(AND(E221="Oui",COUNTIFS(Changements!$A:$A,A221,Changements!$D:$D,B221)&gt;0),"⚠ Titulaire+entrée ?",IF(ABS(L221-M221)&gt;1,"⚠ vérifier","")))</f>
        <v/>
      </c>
      <c r="G221" s="11" t="str">
        <f>IF(B221="","",IFERROR(INDEX('Effectif Saison'!$D$4:$D$51,MATCH(B221,'Effectif Saison'!$E$4:$E$51,0)),""))</f>
        <v>Équipe 1</v>
      </c>
      <c r="H221" s="19" t="str">
        <f>IF(L221=0,"",IF(E221="Oui",0,IFERROR(_xlfn.MINIFS(Changements!$B:$B,Changements!$A:$A,A221,Changements!$D:$D,B221),"")))</f>
        <v/>
      </c>
      <c r="I221" s="19" t="str">
        <f>IF(M221=0,"",IFERROR(_xlfn.MAXIFS(Changements!$B:$B,Changements!$A:$A,A221,Changements!$C:$C,B221),""))</f>
        <v/>
      </c>
      <c r="J221" s="11" t="str">
        <f t="shared" si="16"/>
        <v/>
      </c>
      <c r="K221" s="17">
        <f t="shared" si="17"/>
        <v>0</v>
      </c>
      <c r="L221" s="17">
        <f>IF(B221="",0,COUNTIFS(Changements!$A:$A,A221,Changements!$D:$D,B221)+IF(E221="Oui",1,0))</f>
        <v>0</v>
      </c>
      <c r="M221" s="17">
        <f>IF(B221="",0,COUNTIFS(Changements!$A:$A,A221,Changements!$C:$C,B221))</f>
        <v>0</v>
      </c>
      <c r="N221" s="17">
        <f>IF(B221="",0,SUMIFS(Changements!$B:$B,Changements!$A:$A,A221,Changements!$D:$D,B221))</f>
        <v>0</v>
      </c>
      <c r="O221" s="17">
        <f>IF(B221="",0,SUMIFS(Changements!$B:$B,Changements!$A:$A,A221,Changements!$C:$C,B221)+IF(L221&gt;M221,IFERROR(INDEX(Matchs!$F$4:$F$31,MATCH(A221,Matchs!$A$4:$A$31,0)),0),0))</f>
        <v>0</v>
      </c>
      <c r="P221" s="17">
        <f t="shared" si="18"/>
        <v>0</v>
      </c>
      <c r="Q221" s="17">
        <f t="shared" si="19"/>
        <v>0</v>
      </c>
    </row>
    <row r="222" spans="1:17" ht="15" customHeight="1" x14ac:dyDescent="0.25">
      <c r="A222" s="11">
        <f t="shared" si="15"/>
        <v>10</v>
      </c>
      <c r="B222" s="11" t="str">
        <f>INDEX('Effectif Saison'!$E$4:$E$22,3)</f>
        <v>Marouane SBK</v>
      </c>
      <c r="C222" s="10"/>
      <c r="D222" s="10"/>
      <c r="E222" s="10"/>
      <c r="F222" s="19" t="str">
        <f>IF(B222="","",IF(AND(E222="Oui",COUNTIFS(Changements!$A:$A,A222,Changements!$D:$D,B222)&gt;0),"⚠ Titulaire+entrée ?",IF(ABS(L222-M222)&gt;1,"⚠ vérifier","")))</f>
        <v/>
      </c>
      <c r="G222" s="11" t="str">
        <f>IF(B222="","",IFERROR(INDEX('Effectif Saison'!$D$4:$D$51,MATCH(B222,'Effectif Saison'!$E$4:$E$51,0)),""))</f>
        <v>Équipe 1</v>
      </c>
      <c r="H222" s="19" t="str">
        <f>IF(L222=0,"",IF(E222="Oui",0,IFERROR(_xlfn.MINIFS(Changements!$B:$B,Changements!$A:$A,A222,Changements!$D:$D,B222),"")))</f>
        <v/>
      </c>
      <c r="I222" s="19" t="str">
        <f>IF(M222=0,"",IFERROR(_xlfn.MAXIFS(Changements!$B:$B,Changements!$A:$A,A222,Changements!$C:$C,B222),""))</f>
        <v/>
      </c>
      <c r="J222" s="11" t="str">
        <f t="shared" si="16"/>
        <v/>
      </c>
      <c r="K222" s="17">
        <f t="shared" si="17"/>
        <v>0</v>
      </c>
      <c r="L222" s="17">
        <f>IF(B222="",0,COUNTIFS(Changements!$A:$A,A222,Changements!$D:$D,B222)+IF(E222="Oui",1,0))</f>
        <v>0</v>
      </c>
      <c r="M222" s="17">
        <f>IF(B222="",0,COUNTIFS(Changements!$A:$A,A222,Changements!$C:$C,B222))</f>
        <v>0</v>
      </c>
      <c r="N222" s="17">
        <f>IF(B222="",0,SUMIFS(Changements!$B:$B,Changements!$A:$A,A222,Changements!$D:$D,B222))</f>
        <v>0</v>
      </c>
      <c r="O222" s="17">
        <f>IF(B222="",0,SUMIFS(Changements!$B:$B,Changements!$A:$A,A222,Changements!$C:$C,B222)+IF(L222&gt;M222,IFERROR(INDEX(Matchs!$F$4:$F$31,MATCH(A222,Matchs!$A$4:$A$31,0)),0),0))</f>
        <v>0</v>
      </c>
      <c r="P222" s="17">
        <f t="shared" si="18"/>
        <v>0</v>
      </c>
      <c r="Q222" s="17">
        <f t="shared" si="19"/>
        <v>0</v>
      </c>
    </row>
    <row r="223" spans="1:17" ht="15" customHeight="1" x14ac:dyDescent="0.25">
      <c r="A223" s="11">
        <f t="shared" si="15"/>
        <v>10</v>
      </c>
      <c r="B223" s="11" t="str">
        <f>INDEX('Effectif Saison'!$E$4:$E$22,4)</f>
        <v>Noé BIHL</v>
      </c>
      <c r="C223" s="10"/>
      <c r="D223" s="10"/>
      <c r="E223" s="10"/>
      <c r="F223" s="19" t="str">
        <f>IF(B223="","",IF(AND(E223="Oui",COUNTIFS(Changements!$A:$A,A223,Changements!$D:$D,B223)&gt;0),"⚠ Titulaire+entrée ?",IF(ABS(L223-M223)&gt;1,"⚠ vérifier","")))</f>
        <v/>
      </c>
      <c r="G223" s="11" t="str">
        <f>IF(B223="","",IFERROR(INDEX('Effectif Saison'!$D$4:$D$51,MATCH(B223,'Effectif Saison'!$E$4:$E$51,0)),""))</f>
        <v>Équipe 1</v>
      </c>
      <c r="H223" s="19" t="str">
        <f>IF(L223=0,"",IF(E223="Oui",0,IFERROR(_xlfn.MINIFS(Changements!$B:$B,Changements!$A:$A,A223,Changements!$D:$D,B223),"")))</f>
        <v/>
      </c>
      <c r="I223" s="19" t="str">
        <f>IF(M223=0,"",IFERROR(_xlfn.MAXIFS(Changements!$B:$B,Changements!$A:$A,A223,Changements!$C:$C,B223),""))</f>
        <v/>
      </c>
      <c r="J223" s="11" t="str">
        <f t="shared" si="16"/>
        <v/>
      </c>
      <c r="K223" s="17">
        <f t="shared" si="17"/>
        <v>0</v>
      </c>
      <c r="L223" s="17">
        <f>IF(B223="",0,COUNTIFS(Changements!$A:$A,A223,Changements!$D:$D,B223)+IF(E223="Oui",1,0))</f>
        <v>0</v>
      </c>
      <c r="M223" s="17">
        <f>IF(B223="",0,COUNTIFS(Changements!$A:$A,A223,Changements!$C:$C,B223))</f>
        <v>0</v>
      </c>
      <c r="N223" s="17">
        <f>IF(B223="",0,SUMIFS(Changements!$B:$B,Changements!$A:$A,A223,Changements!$D:$D,B223))</f>
        <v>0</v>
      </c>
      <c r="O223" s="17">
        <f>IF(B223="",0,SUMIFS(Changements!$B:$B,Changements!$A:$A,A223,Changements!$C:$C,B223)+IF(L223&gt;M223,IFERROR(INDEX(Matchs!$F$4:$F$31,MATCH(A223,Matchs!$A$4:$A$31,0)),0),0))</f>
        <v>0</v>
      </c>
      <c r="P223" s="17">
        <f t="shared" si="18"/>
        <v>0</v>
      </c>
      <c r="Q223" s="17">
        <f t="shared" si="19"/>
        <v>0</v>
      </c>
    </row>
    <row r="224" spans="1:17" ht="15" customHeight="1" x14ac:dyDescent="0.25">
      <c r="A224" s="11">
        <f t="shared" si="15"/>
        <v>10</v>
      </c>
      <c r="B224" s="11" t="str">
        <f>INDEX('Effectif Saison'!$E$4:$E$22,5)</f>
        <v>Luca COLAIANNI</v>
      </c>
      <c r="C224" s="10"/>
      <c r="D224" s="10"/>
      <c r="E224" s="10"/>
      <c r="F224" s="19" t="str">
        <f>IF(B224="","",IF(AND(E224="Oui",COUNTIFS(Changements!$A:$A,A224,Changements!$D:$D,B224)&gt;0),"⚠ Titulaire+entrée ?",IF(ABS(L224-M224)&gt;1,"⚠ vérifier","")))</f>
        <v/>
      </c>
      <c r="G224" s="11" t="str">
        <f>IF(B224="","",IFERROR(INDEX('Effectif Saison'!$D$4:$D$51,MATCH(B224,'Effectif Saison'!$E$4:$E$51,0)),""))</f>
        <v>Équipe 1</v>
      </c>
      <c r="H224" s="19" t="str">
        <f>IF(L224=0,"",IF(E224="Oui",0,IFERROR(_xlfn.MINIFS(Changements!$B:$B,Changements!$A:$A,A224,Changements!$D:$D,B224),"")))</f>
        <v/>
      </c>
      <c r="I224" s="19" t="str">
        <f>IF(M224=0,"",IFERROR(_xlfn.MAXIFS(Changements!$B:$B,Changements!$A:$A,A224,Changements!$C:$C,B224),""))</f>
        <v/>
      </c>
      <c r="J224" s="11" t="str">
        <f t="shared" si="16"/>
        <v/>
      </c>
      <c r="K224" s="17">
        <f t="shared" si="17"/>
        <v>0</v>
      </c>
      <c r="L224" s="17">
        <f>IF(B224="",0,COUNTIFS(Changements!$A:$A,A224,Changements!$D:$D,B224)+IF(E224="Oui",1,0))</f>
        <v>0</v>
      </c>
      <c r="M224" s="17">
        <f>IF(B224="",0,COUNTIFS(Changements!$A:$A,A224,Changements!$C:$C,B224))</f>
        <v>0</v>
      </c>
      <c r="N224" s="17">
        <f>IF(B224="",0,SUMIFS(Changements!$B:$B,Changements!$A:$A,A224,Changements!$D:$D,B224))</f>
        <v>0</v>
      </c>
      <c r="O224" s="17">
        <f>IF(B224="",0,SUMIFS(Changements!$B:$B,Changements!$A:$A,A224,Changements!$C:$C,B224)+IF(L224&gt;M224,IFERROR(INDEX(Matchs!$F$4:$F$31,MATCH(A224,Matchs!$A$4:$A$31,0)),0),0))</f>
        <v>0</v>
      </c>
      <c r="P224" s="17">
        <f t="shared" si="18"/>
        <v>0</v>
      </c>
      <c r="Q224" s="17">
        <f t="shared" si="19"/>
        <v>0</v>
      </c>
    </row>
    <row r="225" spans="1:17" ht="15" customHeight="1" x14ac:dyDescent="0.25">
      <c r="A225" s="11">
        <f t="shared" si="15"/>
        <v>10</v>
      </c>
      <c r="B225" s="11" t="str">
        <f>INDEX('Effectif Saison'!$E$4:$E$22,6)</f>
        <v>Atilla ER</v>
      </c>
      <c r="C225" s="10"/>
      <c r="D225" s="10"/>
      <c r="E225" s="10"/>
      <c r="F225" s="19" t="str">
        <f>IF(B225="","",IF(AND(E225="Oui",COUNTIFS(Changements!$A:$A,A225,Changements!$D:$D,B225)&gt;0),"⚠ Titulaire+entrée ?",IF(ABS(L225-M225)&gt;1,"⚠ vérifier","")))</f>
        <v/>
      </c>
      <c r="G225" s="11" t="str">
        <f>IF(B225="","",IFERROR(INDEX('Effectif Saison'!$D$4:$D$51,MATCH(B225,'Effectif Saison'!$E$4:$E$51,0)),""))</f>
        <v>Équipe 1</v>
      </c>
      <c r="H225" s="19" t="str">
        <f>IF(L225=0,"",IF(E225="Oui",0,IFERROR(_xlfn.MINIFS(Changements!$B:$B,Changements!$A:$A,A225,Changements!$D:$D,B225),"")))</f>
        <v/>
      </c>
      <c r="I225" s="19" t="str">
        <f>IF(M225=0,"",IFERROR(_xlfn.MAXIFS(Changements!$B:$B,Changements!$A:$A,A225,Changements!$C:$C,B225),""))</f>
        <v/>
      </c>
      <c r="J225" s="11" t="str">
        <f t="shared" si="16"/>
        <v/>
      </c>
      <c r="K225" s="17">
        <f t="shared" si="17"/>
        <v>0</v>
      </c>
      <c r="L225" s="17">
        <f>IF(B225="",0,COUNTIFS(Changements!$A:$A,A225,Changements!$D:$D,B225)+IF(E225="Oui",1,0))</f>
        <v>0</v>
      </c>
      <c r="M225" s="17">
        <f>IF(B225="",0,COUNTIFS(Changements!$A:$A,A225,Changements!$C:$C,B225))</f>
        <v>0</v>
      </c>
      <c r="N225" s="17">
        <f>IF(B225="",0,SUMIFS(Changements!$B:$B,Changements!$A:$A,A225,Changements!$D:$D,B225))</f>
        <v>0</v>
      </c>
      <c r="O225" s="17">
        <f>IF(B225="",0,SUMIFS(Changements!$B:$B,Changements!$A:$A,A225,Changements!$C:$C,B225)+IF(L225&gt;M225,IFERROR(INDEX(Matchs!$F$4:$F$31,MATCH(A225,Matchs!$A$4:$A$31,0)),0),0))</f>
        <v>0</v>
      </c>
      <c r="P225" s="17">
        <f t="shared" si="18"/>
        <v>0</v>
      </c>
      <c r="Q225" s="17">
        <f t="shared" si="19"/>
        <v>0</v>
      </c>
    </row>
    <row r="226" spans="1:17" ht="15" customHeight="1" x14ac:dyDescent="0.25">
      <c r="A226" s="11">
        <f t="shared" si="15"/>
        <v>10</v>
      </c>
      <c r="B226" s="11" t="str">
        <f>INDEX('Effectif Saison'!$E$4:$E$22,7)</f>
        <v>Lucas BUHR</v>
      </c>
      <c r="C226" s="10"/>
      <c r="D226" s="10"/>
      <c r="E226" s="10"/>
      <c r="F226" s="19" t="str">
        <f>IF(B226="","",IF(AND(E226="Oui",COUNTIFS(Changements!$A:$A,A226,Changements!$D:$D,B226)&gt;0),"⚠ Titulaire+entrée ?",IF(ABS(L226-M226)&gt;1,"⚠ vérifier","")))</f>
        <v/>
      </c>
      <c r="G226" s="11" t="str">
        <f>IF(B226="","",IFERROR(INDEX('Effectif Saison'!$D$4:$D$51,MATCH(B226,'Effectif Saison'!$E$4:$E$51,0)),""))</f>
        <v>Équipe 1</v>
      </c>
      <c r="H226" s="19" t="str">
        <f>IF(L226=0,"",IF(E226="Oui",0,IFERROR(_xlfn.MINIFS(Changements!$B:$B,Changements!$A:$A,A226,Changements!$D:$D,B226),"")))</f>
        <v/>
      </c>
      <c r="I226" s="19" t="str">
        <f>IF(M226=0,"",IFERROR(_xlfn.MAXIFS(Changements!$B:$B,Changements!$A:$A,A226,Changements!$C:$C,B226),""))</f>
        <v/>
      </c>
      <c r="J226" s="11" t="str">
        <f t="shared" si="16"/>
        <v/>
      </c>
      <c r="K226" s="17">
        <f t="shared" si="17"/>
        <v>0</v>
      </c>
      <c r="L226" s="17">
        <f>IF(B226="",0,COUNTIFS(Changements!$A:$A,A226,Changements!$D:$D,B226)+IF(E226="Oui",1,0))</f>
        <v>0</v>
      </c>
      <c r="M226" s="17">
        <f>IF(B226="",0,COUNTIFS(Changements!$A:$A,A226,Changements!$C:$C,B226))</f>
        <v>0</v>
      </c>
      <c r="N226" s="17">
        <f>IF(B226="",0,SUMIFS(Changements!$B:$B,Changements!$A:$A,A226,Changements!$D:$D,B226))</f>
        <v>0</v>
      </c>
      <c r="O226" s="17">
        <f>IF(B226="",0,SUMIFS(Changements!$B:$B,Changements!$A:$A,A226,Changements!$C:$C,B226)+IF(L226&gt;M226,IFERROR(INDEX(Matchs!$F$4:$F$31,MATCH(A226,Matchs!$A$4:$A$31,0)),0),0))</f>
        <v>0</v>
      </c>
      <c r="P226" s="17">
        <f t="shared" si="18"/>
        <v>0</v>
      </c>
      <c r="Q226" s="17">
        <f t="shared" si="19"/>
        <v>0</v>
      </c>
    </row>
    <row r="227" spans="1:17" ht="15" customHeight="1" x14ac:dyDescent="0.25">
      <c r="A227" s="11">
        <f t="shared" si="15"/>
        <v>10</v>
      </c>
      <c r="B227" s="11" t="str">
        <f>INDEX('Effectif Saison'!$E$4:$E$22,8)</f>
        <v>Yanis HOUX</v>
      </c>
      <c r="C227" s="10"/>
      <c r="D227" s="10"/>
      <c r="E227" s="10"/>
      <c r="F227" s="19" t="str">
        <f>IF(B227="","",IF(AND(E227="Oui",COUNTIFS(Changements!$A:$A,A227,Changements!$D:$D,B227)&gt;0),"⚠ Titulaire+entrée ?",IF(ABS(L227-M227)&gt;1,"⚠ vérifier","")))</f>
        <v/>
      </c>
      <c r="G227" s="11" t="str">
        <f>IF(B227="","",IFERROR(INDEX('Effectif Saison'!$D$4:$D$51,MATCH(B227,'Effectif Saison'!$E$4:$E$51,0)),""))</f>
        <v>Équipe 1</v>
      </c>
      <c r="H227" s="19" t="str">
        <f>IF(L227=0,"",IF(E227="Oui",0,IFERROR(_xlfn.MINIFS(Changements!$B:$B,Changements!$A:$A,A227,Changements!$D:$D,B227),"")))</f>
        <v/>
      </c>
      <c r="I227" s="19" t="str">
        <f>IF(M227=0,"",IFERROR(_xlfn.MAXIFS(Changements!$B:$B,Changements!$A:$A,A227,Changements!$C:$C,B227),""))</f>
        <v/>
      </c>
      <c r="J227" s="11" t="str">
        <f t="shared" si="16"/>
        <v/>
      </c>
      <c r="K227" s="17">
        <f t="shared" si="17"/>
        <v>0</v>
      </c>
      <c r="L227" s="17">
        <f>IF(B227="",0,COUNTIFS(Changements!$A:$A,A227,Changements!$D:$D,B227)+IF(E227="Oui",1,0))</f>
        <v>0</v>
      </c>
      <c r="M227" s="17">
        <f>IF(B227="",0,COUNTIFS(Changements!$A:$A,A227,Changements!$C:$C,B227))</f>
        <v>0</v>
      </c>
      <c r="N227" s="17">
        <f>IF(B227="",0,SUMIFS(Changements!$B:$B,Changements!$A:$A,A227,Changements!$D:$D,B227))</f>
        <v>0</v>
      </c>
      <c r="O227" s="17">
        <f>IF(B227="",0,SUMIFS(Changements!$B:$B,Changements!$A:$A,A227,Changements!$C:$C,B227)+IF(L227&gt;M227,IFERROR(INDEX(Matchs!$F$4:$F$31,MATCH(A227,Matchs!$A$4:$A$31,0)),0),0))</f>
        <v>0</v>
      </c>
      <c r="P227" s="17">
        <f t="shared" si="18"/>
        <v>0</v>
      </c>
      <c r="Q227" s="17">
        <f t="shared" si="19"/>
        <v>0</v>
      </c>
    </row>
    <row r="228" spans="1:17" ht="15" customHeight="1" x14ac:dyDescent="0.25">
      <c r="A228" s="11">
        <f t="shared" si="15"/>
        <v>10</v>
      </c>
      <c r="B228" s="11" t="str">
        <f>INDEX('Effectif Saison'!$E$4:$E$22,9)</f>
        <v>Tino COLAIANNI</v>
      </c>
      <c r="C228" s="10"/>
      <c r="D228" s="10"/>
      <c r="E228" s="10"/>
      <c r="F228" s="19" t="str">
        <f>IF(B228="","",IF(AND(E228="Oui",COUNTIFS(Changements!$A:$A,A228,Changements!$D:$D,B228)&gt;0),"⚠ Titulaire+entrée ?",IF(ABS(L228-M228)&gt;1,"⚠ vérifier","")))</f>
        <v/>
      </c>
      <c r="G228" s="11" t="str">
        <f>IF(B228="","",IFERROR(INDEX('Effectif Saison'!$D$4:$D$51,MATCH(B228,'Effectif Saison'!$E$4:$E$51,0)),""))</f>
        <v>Équipe 1</v>
      </c>
      <c r="H228" s="19" t="str">
        <f>IF(L228=0,"",IF(E228="Oui",0,IFERROR(_xlfn.MINIFS(Changements!$B:$B,Changements!$A:$A,A228,Changements!$D:$D,B228),"")))</f>
        <v/>
      </c>
      <c r="I228" s="19" t="str">
        <f>IF(M228=0,"",IFERROR(_xlfn.MAXIFS(Changements!$B:$B,Changements!$A:$A,A228,Changements!$C:$C,B228),""))</f>
        <v/>
      </c>
      <c r="J228" s="11" t="str">
        <f t="shared" si="16"/>
        <v/>
      </c>
      <c r="K228" s="17">
        <f t="shared" si="17"/>
        <v>0</v>
      </c>
      <c r="L228" s="17">
        <f>IF(B228="",0,COUNTIFS(Changements!$A:$A,A228,Changements!$D:$D,B228)+IF(E228="Oui",1,0))</f>
        <v>0</v>
      </c>
      <c r="M228" s="17">
        <f>IF(B228="",0,COUNTIFS(Changements!$A:$A,A228,Changements!$C:$C,B228))</f>
        <v>0</v>
      </c>
      <c r="N228" s="17">
        <f>IF(B228="",0,SUMIFS(Changements!$B:$B,Changements!$A:$A,A228,Changements!$D:$D,B228))</f>
        <v>0</v>
      </c>
      <c r="O228" s="17">
        <f>IF(B228="",0,SUMIFS(Changements!$B:$B,Changements!$A:$A,A228,Changements!$C:$C,B228)+IF(L228&gt;M228,IFERROR(INDEX(Matchs!$F$4:$F$31,MATCH(A228,Matchs!$A$4:$A$31,0)),0),0))</f>
        <v>0</v>
      </c>
      <c r="P228" s="17">
        <f t="shared" si="18"/>
        <v>0</v>
      </c>
      <c r="Q228" s="17">
        <f t="shared" si="19"/>
        <v>0</v>
      </c>
    </row>
    <row r="229" spans="1:17" ht="15" customHeight="1" x14ac:dyDescent="0.25">
      <c r="A229" s="11">
        <f t="shared" si="15"/>
        <v>10</v>
      </c>
      <c r="B229" s="11" t="str">
        <f>INDEX('Effectif Saison'!$E$4:$E$22,10)</f>
        <v>Achille KELLERKNECHT</v>
      </c>
      <c r="C229" s="10"/>
      <c r="D229" s="10"/>
      <c r="E229" s="10"/>
      <c r="F229" s="19" t="str">
        <f>IF(B229="","",IF(AND(E229="Oui",COUNTIFS(Changements!$A:$A,A229,Changements!$D:$D,B229)&gt;0),"⚠ Titulaire+entrée ?",IF(ABS(L229-M229)&gt;1,"⚠ vérifier","")))</f>
        <v/>
      </c>
      <c r="G229" s="11" t="str">
        <f>IF(B229="","",IFERROR(INDEX('Effectif Saison'!$D$4:$D$51,MATCH(B229,'Effectif Saison'!$E$4:$E$51,0)),""))</f>
        <v>Équipe 1</v>
      </c>
      <c r="H229" s="19" t="str">
        <f>IF(L229=0,"",IF(E229="Oui",0,IFERROR(_xlfn.MINIFS(Changements!$B:$B,Changements!$A:$A,A229,Changements!$D:$D,B229),"")))</f>
        <v/>
      </c>
      <c r="I229" s="19" t="str">
        <f>IF(M229=0,"",IFERROR(_xlfn.MAXIFS(Changements!$B:$B,Changements!$A:$A,A229,Changements!$C:$C,B229),""))</f>
        <v/>
      </c>
      <c r="J229" s="11" t="str">
        <f t="shared" si="16"/>
        <v/>
      </c>
      <c r="K229" s="17">
        <f t="shared" si="17"/>
        <v>0</v>
      </c>
      <c r="L229" s="17">
        <f>IF(B229="",0,COUNTIFS(Changements!$A:$A,A229,Changements!$D:$D,B229)+IF(E229="Oui",1,0))</f>
        <v>0</v>
      </c>
      <c r="M229" s="17">
        <f>IF(B229="",0,COUNTIFS(Changements!$A:$A,A229,Changements!$C:$C,B229))</f>
        <v>0</v>
      </c>
      <c r="N229" s="17">
        <f>IF(B229="",0,SUMIFS(Changements!$B:$B,Changements!$A:$A,A229,Changements!$D:$D,B229))</f>
        <v>0</v>
      </c>
      <c r="O229" s="17">
        <f>IF(B229="",0,SUMIFS(Changements!$B:$B,Changements!$A:$A,A229,Changements!$C:$C,B229)+IF(L229&gt;M229,IFERROR(INDEX(Matchs!$F$4:$F$31,MATCH(A229,Matchs!$A$4:$A$31,0)),0),0))</f>
        <v>0</v>
      </c>
      <c r="P229" s="17">
        <f t="shared" si="18"/>
        <v>0</v>
      </c>
      <c r="Q229" s="17">
        <f t="shared" si="19"/>
        <v>0</v>
      </c>
    </row>
    <row r="230" spans="1:17" ht="15" customHeight="1" x14ac:dyDescent="0.25">
      <c r="A230" s="11">
        <f t="shared" si="15"/>
        <v>10</v>
      </c>
      <c r="B230" s="11" t="str">
        <f>INDEX('Effectif Saison'!$E$4:$E$22,11)</f>
        <v>Charly LEPERT</v>
      </c>
      <c r="C230" s="10"/>
      <c r="D230" s="10"/>
      <c r="E230" s="10"/>
      <c r="F230" s="19" t="str">
        <f>IF(B230="","",IF(AND(E230="Oui",COUNTIFS(Changements!$A:$A,A230,Changements!$D:$D,B230)&gt;0),"⚠ Titulaire+entrée ?",IF(ABS(L230-M230)&gt;1,"⚠ vérifier","")))</f>
        <v/>
      </c>
      <c r="G230" s="11" t="str">
        <f>IF(B230="","",IFERROR(INDEX('Effectif Saison'!$D$4:$D$51,MATCH(B230,'Effectif Saison'!$E$4:$E$51,0)),""))</f>
        <v>Équipe 1</v>
      </c>
      <c r="H230" s="19" t="str">
        <f>IF(L230=0,"",IF(E230="Oui",0,IFERROR(_xlfn.MINIFS(Changements!$B:$B,Changements!$A:$A,A230,Changements!$D:$D,B230),"")))</f>
        <v/>
      </c>
      <c r="I230" s="19" t="str">
        <f>IF(M230=0,"",IFERROR(_xlfn.MAXIFS(Changements!$B:$B,Changements!$A:$A,A230,Changements!$C:$C,B230),""))</f>
        <v/>
      </c>
      <c r="J230" s="11" t="str">
        <f t="shared" si="16"/>
        <v/>
      </c>
      <c r="K230" s="17">
        <f t="shared" si="17"/>
        <v>0</v>
      </c>
      <c r="L230" s="17">
        <f>IF(B230="",0,COUNTIFS(Changements!$A:$A,A230,Changements!$D:$D,B230)+IF(E230="Oui",1,0))</f>
        <v>0</v>
      </c>
      <c r="M230" s="17">
        <f>IF(B230="",0,COUNTIFS(Changements!$A:$A,A230,Changements!$C:$C,B230))</f>
        <v>0</v>
      </c>
      <c r="N230" s="17">
        <f>IF(B230="",0,SUMIFS(Changements!$B:$B,Changements!$A:$A,A230,Changements!$D:$D,B230))</f>
        <v>0</v>
      </c>
      <c r="O230" s="17">
        <f>IF(B230="",0,SUMIFS(Changements!$B:$B,Changements!$A:$A,A230,Changements!$C:$C,B230)+IF(L230&gt;M230,IFERROR(INDEX(Matchs!$F$4:$F$31,MATCH(A230,Matchs!$A$4:$A$31,0)),0),0))</f>
        <v>0</v>
      </c>
      <c r="P230" s="17">
        <f t="shared" si="18"/>
        <v>0</v>
      </c>
      <c r="Q230" s="17">
        <f t="shared" si="19"/>
        <v>0</v>
      </c>
    </row>
    <row r="231" spans="1:17" ht="15" customHeight="1" x14ac:dyDescent="0.25">
      <c r="A231" s="11">
        <f t="shared" si="15"/>
        <v>10</v>
      </c>
      <c r="B231" s="11" t="str">
        <f>INDEX('Effectif Saison'!$E$4:$E$22,12)</f>
        <v>Basile STANGRET</v>
      </c>
      <c r="C231" s="10"/>
      <c r="D231" s="10"/>
      <c r="E231" s="10"/>
      <c r="F231" s="19" t="str">
        <f>IF(B231="","",IF(AND(E231="Oui",COUNTIFS(Changements!$A:$A,A231,Changements!$D:$D,B231)&gt;0),"⚠ Titulaire+entrée ?",IF(ABS(L231-M231)&gt;1,"⚠ vérifier","")))</f>
        <v/>
      </c>
      <c r="G231" s="11" t="str">
        <f>IF(B231="","",IFERROR(INDEX('Effectif Saison'!$D$4:$D$51,MATCH(B231,'Effectif Saison'!$E$4:$E$51,0)),""))</f>
        <v>Équipe 1</v>
      </c>
      <c r="H231" s="19" t="str">
        <f>IF(L231=0,"",IF(E231="Oui",0,IFERROR(_xlfn.MINIFS(Changements!$B:$B,Changements!$A:$A,A231,Changements!$D:$D,B231),"")))</f>
        <v/>
      </c>
      <c r="I231" s="19" t="str">
        <f>IF(M231=0,"",IFERROR(_xlfn.MAXIFS(Changements!$B:$B,Changements!$A:$A,A231,Changements!$C:$C,B231),""))</f>
        <v/>
      </c>
      <c r="J231" s="11" t="str">
        <f t="shared" si="16"/>
        <v/>
      </c>
      <c r="K231" s="17">
        <f t="shared" si="17"/>
        <v>0</v>
      </c>
      <c r="L231" s="17">
        <f>IF(B231="",0,COUNTIFS(Changements!$A:$A,A231,Changements!$D:$D,B231)+IF(E231="Oui",1,0))</f>
        <v>0</v>
      </c>
      <c r="M231" s="17">
        <f>IF(B231="",0,COUNTIFS(Changements!$A:$A,A231,Changements!$C:$C,B231))</f>
        <v>0</v>
      </c>
      <c r="N231" s="17">
        <f>IF(B231="",0,SUMIFS(Changements!$B:$B,Changements!$A:$A,A231,Changements!$D:$D,B231))</f>
        <v>0</v>
      </c>
      <c r="O231" s="17">
        <f>IF(B231="",0,SUMIFS(Changements!$B:$B,Changements!$A:$A,A231,Changements!$C:$C,B231)+IF(L231&gt;M231,IFERROR(INDEX(Matchs!$F$4:$F$31,MATCH(A231,Matchs!$A$4:$A$31,0)),0),0))</f>
        <v>0</v>
      </c>
      <c r="P231" s="17">
        <f t="shared" si="18"/>
        <v>0</v>
      </c>
      <c r="Q231" s="17">
        <f t="shared" si="19"/>
        <v>0</v>
      </c>
    </row>
    <row r="232" spans="1:17" ht="15" customHeight="1" x14ac:dyDescent="0.25">
      <c r="A232" s="11">
        <f t="shared" si="15"/>
        <v>10</v>
      </c>
      <c r="B232" s="11" t="str">
        <f>INDEX('Effectif Saison'!$E$4:$E$22,13)</f>
        <v>Maxence KELLER</v>
      </c>
      <c r="C232" s="10"/>
      <c r="D232" s="10"/>
      <c r="E232" s="10"/>
      <c r="F232" s="19" t="str">
        <f>IF(B232="","",IF(AND(E232="Oui",COUNTIFS(Changements!$A:$A,A232,Changements!$D:$D,B232)&gt;0),"⚠ Titulaire+entrée ?",IF(ABS(L232-M232)&gt;1,"⚠ vérifier","")))</f>
        <v/>
      </c>
      <c r="G232" s="11" t="str">
        <f>IF(B232="","",IFERROR(INDEX('Effectif Saison'!$D$4:$D$51,MATCH(B232,'Effectif Saison'!$E$4:$E$51,0)),""))</f>
        <v>Équipe 1</v>
      </c>
      <c r="H232" s="19" t="str">
        <f>IF(L232=0,"",IF(E232="Oui",0,IFERROR(_xlfn.MINIFS(Changements!$B:$B,Changements!$A:$A,A232,Changements!$D:$D,B232),"")))</f>
        <v/>
      </c>
      <c r="I232" s="19" t="str">
        <f>IF(M232=0,"",IFERROR(_xlfn.MAXIFS(Changements!$B:$B,Changements!$A:$A,A232,Changements!$C:$C,B232),""))</f>
        <v/>
      </c>
      <c r="J232" s="11" t="str">
        <f t="shared" si="16"/>
        <v/>
      </c>
      <c r="K232" s="17">
        <f t="shared" si="17"/>
        <v>0</v>
      </c>
      <c r="L232" s="17">
        <f>IF(B232="",0,COUNTIFS(Changements!$A:$A,A232,Changements!$D:$D,B232)+IF(E232="Oui",1,0))</f>
        <v>0</v>
      </c>
      <c r="M232" s="17">
        <f>IF(B232="",0,COUNTIFS(Changements!$A:$A,A232,Changements!$C:$C,B232))</f>
        <v>0</v>
      </c>
      <c r="N232" s="17">
        <f>IF(B232="",0,SUMIFS(Changements!$B:$B,Changements!$A:$A,A232,Changements!$D:$D,B232))</f>
        <v>0</v>
      </c>
      <c r="O232" s="17">
        <f>IF(B232="",0,SUMIFS(Changements!$B:$B,Changements!$A:$A,A232,Changements!$C:$C,B232)+IF(L232&gt;M232,IFERROR(INDEX(Matchs!$F$4:$F$31,MATCH(A232,Matchs!$A$4:$A$31,0)),0),0))</f>
        <v>0</v>
      </c>
      <c r="P232" s="17">
        <f t="shared" si="18"/>
        <v>0</v>
      </c>
      <c r="Q232" s="17">
        <f t="shared" si="19"/>
        <v>0</v>
      </c>
    </row>
    <row r="233" spans="1:17" ht="15" customHeight="1" x14ac:dyDescent="0.25">
      <c r="A233" s="11">
        <f t="shared" si="15"/>
        <v>10</v>
      </c>
      <c r="B233" s="11" t="str">
        <f>INDEX('Effectif Saison'!$E$4:$E$22,14)</f>
        <v>Evan SCHMITT</v>
      </c>
      <c r="C233" s="10"/>
      <c r="D233" s="10"/>
      <c r="E233" s="10"/>
      <c r="F233" s="19" t="str">
        <f>IF(B233="","",IF(AND(E233="Oui",COUNTIFS(Changements!$A:$A,A233,Changements!$D:$D,B233)&gt;0),"⚠ Titulaire+entrée ?",IF(ABS(L233-M233)&gt;1,"⚠ vérifier","")))</f>
        <v/>
      </c>
      <c r="G233" s="11" t="str">
        <f>IF(B233="","",IFERROR(INDEX('Effectif Saison'!$D$4:$D$51,MATCH(B233,'Effectif Saison'!$E$4:$E$51,0)),""))</f>
        <v>Équipe 1</v>
      </c>
      <c r="H233" s="19" t="str">
        <f>IF(L233=0,"",IF(E233="Oui",0,IFERROR(_xlfn.MINIFS(Changements!$B:$B,Changements!$A:$A,A233,Changements!$D:$D,B233),"")))</f>
        <v/>
      </c>
      <c r="I233" s="19" t="str">
        <f>IF(M233=0,"",IFERROR(_xlfn.MAXIFS(Changements!$B:$B,Changements!$A:$A,A233,Changements!$C:$C,B233),""))</f>
        <v/>
      </c>
      <c r="J233" s="11" t="str">
        <f t="shared" si="16"/>
        <v/>
      </c>
      <c r="K233" s="17">
        <f t="shared" si="17"/>
        <v>0</v>
      </c>
      <c r="L233" s="17">
        <f>IF(B233="",0,COUNTIFS(Changements!$A:$A,A233,Changements!$D:$D,B233)+IF(E233="Oui",1,0))</f>
        <v>0</v>
      </c>
      <c r="M233" s="17">
        <f>IF(B233="",0,COUNTIFS(Changements!$A:$A,A233,Changements!$C:$C,B233))</f>
        <v>0</v>
      </c>
      <c r="N233" s="17">
        <f>IF(B233="",0,SUMIFS(Changements!$B:$B,Changements!$A:$A,A233,Changements!$D:$D,B233))</f>
        <v>0</v>
      </c>
      <c r="O233" s="17">
        <f>IF(B233="",0,SUMIFS(Changements!$B:$B,Changements!$A:$A,A233,Changements!$C:$C,B233)+IF(L233&gt;M233,IFERROR(INDEX(Matchs!$F$4:$F$31,MATCH(A233,Matchs!$A$4:$A$31,0)),0),0))</f>
        <v>0</v>
      </c>
      <c r="P233" s="17">
        <f t="shared" si="18"/>
        <v>0</v>
      </c>
      <c r="Q233" s="17">
        <f t="shared" si="19"/>
        <v>0</v>
      </c>
    </row>
    <row r="234" spans="1:17" ht="15" customHeight="1" x14ac:dyDescent="0.25">
      <c r="A234" s="11">
        <f t="shared" si="15"/>
        <v>10</v>
      </c>
      <c r="B234" s="11" t="str">
        <f>INDEX('Effectif Saison'!$E$4:$E$22,15)</f>
        <v>William SIMON</v>
      </c>
      <c r="C234" s="10"/>
      <c r="D234" s="10"/>
      <c r="E234" s="10"/>
      <c r="F234" s="19" t="str">
        <f>IF(B234="","",IF(AND(E234="Oui",COUNTIFS(Changements!$A:$A,A234,Changements!$D:$D,B234)&gt;0),"⚠ Titulaire+entrée ?",IF(ABS(L234-M234)&gt;1,"⚠ vérifier","")))</f>
        <v/>
      </c>
      <c r="G234" s="11" t="str">
        <f>IF(B234="","",IFERROR(INDEX('Effectif Saison'!$D$4:$D$51,MATCH(B234,'Effectif Saison'!$E$4:$E$51,0)),""))</f>
        <v>Équipe 1</v>
      </c>
      <c r="H234" s="19" t="str">
        <f>IF(L234=0,"",IF(E234="Oui",0,IFERROR(_xlfn.MINIFS(Changements!$B:$B,Changements!$A:$A,A234,Changements!$D:$D,B234),"")))</f>
        <v/>
      </c>
      <c r="I234" s="19" t="str">
        <f>IF(M234=0,"",IFERROR(_xlfn.MAXIFS(Changements!$B:$B,Changements!$A:$A,A234,Changements!$C:$C,B234),""))</f>
        <v/>
      </c>
      <c r="J234" s="11" t="str">
        <f t="shared" si="16"/>
        <v/>
      </c>
      <c r="K234" s="17">
        <f t="shared" si="17"/>
        <v>0</v>
      </c>
      <c r="L234" s="17">
        <f>IF(B234="",0,COUNTIFS(Changements!$A:$A,A234,Changements!$D:$D,B234)+IF(E234="Oui",1,0))</f>
        <v>0</v>
      </c>
      <c r="M234" s="17">
        <f>IF(B234="",0,COUNTIFS(Changements!$A:$A,A234,Changements!$C:$C,B234))</f>
        <v>0</v>
      </c>
      <c r="N234" s="17">
        <f>IF(B234="",0,SUMIFS(Changements!$B:$B,Changements!$A:$A,A234,Changements!$D:$D,B234))</f>
        <v>0</v>
      </c>
      <c r="O234" s="17">
        <f>IF(B234="",0,SUMIFS(Changements!$B:$B,Changements!$A:$A,A234,Changements!$C:$C,B234)+IF(L234&gt;M234,IFERROR(INDEX(Matchs!$F$4:$F$31,MATCH(A234,Matchs!$A$4:$A$31,0)),0),0))</f>
        <v>0</v>
      </c>
      <c r="P234" s="17">
        <f t="shared" si="18"/>
        <v>0</v>
      </c>
      <c r="Q234" s="17">
        <f t="shared" si="19"/>
        <v>0</v>
      </c>
    </row>
    <row r="235" spans="1:17" ht="15" customHeight="1" x14ac:dyDescent="0.25">
      <c r="A235" s="11">
        <f t="shared" si="15"/>
        <v>10</v>
      </c>
      <c r="B235" s="11" t="str">
        <f>INDEX('Effectif Saison'!$E$4:$E$22,16)</f>
        <v>Lenny LEPPER</v>
      </c>
      <c r="C235" s="10"/>
      <c r="D235" s="10"/>
      <c r="E235" s="10"/>
      <c r="F235" s="19" t="str">
        <f>IF(B235="","",IF(AND(E235="Oui",COUNTIFS(Changements!$A:$A,A235,Changements!$D:$D,B235)&gt;0),"⚠ Titulaire+entrée ?",IF(ABS(L235-M235)&gt;1,"⚠ vérifier","")))</f>
        <v/>
      </c>
      <c r="G235" s="11" t="str">
        <f>IF(B235="","",IFERROR(INDEX('Effectif Saison'!$D$4:$D$51,MATCH(B235,'Effectif Saison'!$E$4:$E$51,0)),""))</f>
        <v>Équipe 1</v>
      </c>
      <c r="H235" s="19" t="str">
        <f>IF(L235=0,"",IF(E235="Oui",0,IFERROR(_xlfn.MINIFS(Changements!$B:$B,Changements!$A:$A,A235,Changements!$D:$D,B235),"")))</f>
        <v/>
      </c>
      <c r="I235" s="19" t="str">
        <f>IF(M235=0,"",IFERROR(_xlfn.MAXIFS(Changements!$B:$B,Changements!$A:$A,A235,Changements!$C:$C,B235),""))</f>
        <v/>
      </c>
      <c r="J235" s="11" t="str">
        <f t="shared" si="16"/>
        <v/>
      </c>
      <c r="K235" s="17">
        <f t="shared" si="17"/>
        <v>0</v>
      </c>
      <c r="L235" s="17">
        <f>IF(B235="",0,COUNTIFS(Changements!$A:$A,A235,Changements!$D:$D,B235)+IF(E235="Oui",1,0))</f>
        <v>0</v>
      </c>
      <c r="M235" s="17">
        <f>IF(B235="",0,COUNTIFS(Changements!$A:$A,A235,Changements!$C:$C,B235))</f>
        <v>0</v>
      </c>
      <c r="N235" s="17">
        <f>IF(B235="",0,SUMIFS(Changements!$B:$B,Changements!$A:$A,A235,Changements!$D:$D,B235))</f>
        <v>0</v>
      </c>
      <c r="O235" s="17">
        <f>IF(B235="",0,SUMIFS(Changements!$B:$B,Changements!$A:$A,A235,Changements!$C:$C,B235)+IF(L235&gt;M235,IFERROR(INDEX(Matchs!$F$4:$F$31,MATCH(A235,Matchs!$A$4:$A$31,0)),0),0))</f>
        <v>0</v>
      </c>
      <c r="P235" s="17">
        <f t="shared" si="18"/>
        <v>0</v>
      </c>
      <c r="Q235" s="17">
        <f t="shared" si="19"/>
        <v>0</v>
      </c>
    </row>
    <row r="236" spans="1:17" ht="15" customHeight="1" x14ac:dyDescent="0.25">
      <c r="A236" s="11">
        <f t="shared" si="15"/>
        <v>10</v>
      </c>
      <c r="B236" s="11" t="str">
        <f>INDEX('Effectif Saison'!$E$4:$E$22,17)</f>
        <v>Malo KELLER</v>
      </c>
      <c r="C236" s="10"/>
      <c r="D236" s="10"/>
      <c r="E236" s="10"/>
      <c r="F236" s="19" t="str">
        <f>IF(B236="","",IF(AND(E236="Oui",COUNTIFS(Changements!$A:$A,A236,Changements!$D:$D,B236)&gt;0),"⚠ Titulaire+entrée ?",IF(ABS(L236-M236)&gt;1,"⚠ vérifier","")))</f>
        <v/>
      </c>
      <c r="G236" s="11" t="str">
        <f>IF(B236="","",IFERROR(INDEX('Effectif Saison'!$D$4:$D$51,MATCH(B236,'Effectif Saison'!$E$4:$E$51,0)),""))</f>
        <v>Équipe 1</v>
      </c>
      <c r="H236" s="19" t="str">
        <f>IF(L236=0,"",IF(E236="Oui",0,IFERROR(_xlfn.MINIFS(Changements!$B:$B,Changements!$A:$A,A236,Changements!$D:$D,B236),"")))</f>
        <v/>
      </c>
      <c r="I236" s="19" t="str">
        <f>IF(M236=0,"",IFERROR(_xlfn.MAXIFS(Changements!$B:$B,Changements!$A:$A,A236,Changements!$C:$C,B236),""))</f>
        <v/>
      </c>
      <c r="J236" s="11" t="str">
        <f t="shared" si="16"/>
        <v/>
      </c>
      <c r="K236" s="17">
        <f t="shared" si="17"/>
        <v>0</v>
      </c>
      <c r="L236" s="17">
        <f>IF(B236="",0,COUNTIFS(Changements!$A:$A,A236,Changements!$D:$D,B236)+IF(E236="Oui",1,0))</f>
        <v>0</v>
      </c>
      <c r="M236" s="17">
        <f>IF(B236="",0,COUNTIFS(Changements!$A:$A,A236,Changements!$C:$C,B236))</f>
        <v>0</v>
      </c>
      <c r="N236" s="17">
        <f>IF(B236="",0,SUMIFS(Changements!$B:$B,Changements!$A:$A,A236,Changements!$D:$D,B236))</f>
        <v>0</v>
      </c>
      <c r="O236" s="17">
        <f>IF(B236="",0,SUMIFS(Changements!$B:$B,Changements!$A:$A,A236,Changements!$C:$C,B236)+IF(L236&gt;M236,IFERROR(INDEX(Matchs!$F$4:$F$31,MATCH(A236,Matchs!$A$4:$A$31,0)),0),0))</f>
        <v>0</v>
      </c>
      <c r="P236" s="17">
        <f t="shared" si="18"/>
        <v>0</v>
      </c>
      <c r="Q236" s="17">
        <f t="shared" si="19"/>
        <v>0</v>
      </c>
    </row>
    <row r="237" spans="1:17" ht="15" customHeight="1" x14ac:dyDescent="0.25">
      <c r="A237" s="11">
        <f t="shared" si="15"/>
        <v>10</v>
      </c>
      <c r="B237" s="11" t="str">
        <f>INDEX('Effectif Saison'!$E$4:$E$22,18)</f>
        <v>Tom SCHILLER</v>
      </c>
      <c r="C237" s="10"/>
      <c r="D237" s="10"/>
      <c r="E237" s="10"/>
      <c r="F237" s="19" t="str">
        <f>IF(B237="","",IF(AND(E237="Oui",COUNTIFS(Changements!$A:$A,A237,Changements!$D:$D,B237)&gt;0),"⚠ Titulaire+entrée ?",IF(ABS(L237-M237)&gt;1,"⚠ vérifier","")))</f>
        <v/>
      </c>
      <c r="G237" s="11" t="str">
        <f>IF(B237="","",IFERROR(INDEX('Effectif Saison'!$D$4:$D$51,MATCH(B237,'Effectif Saison'!$E$4:$E$51,0)),""))</f>
        <v>Équipe 1</v>
      </c>
      <c r="H237" s="19" t="str">
        <f>IF(L237=0,"",IF(E237="Oui",0,IFERROR(_xlfn.MINIFS(Changements!$B:$B,Changements!$A:$A,A237,Changements!$D:$D,B237),"")))</f>
        <v/>
      </c>
      <c r="I237" s="19" t="str">
        <f>IF(M237=0,"",IFERROR(_xlfn.MAXIFS(Changements!$B:$B,Changements!$A:$A,A237,Changements!$C:$C,B237),""))</f>
        <v/>
      </c>
      <c r="J237" s="11" t="str">
        <f t="shared" si="16"/>
        <v/>
      </c>
      <c r="K237" s="17">
        <f t="shared" si="17"/>
        <v>0</v>
      </c>
      <c r="L237" s="17">
        <f>IF(B237="",0,COUNTIFS(Changements!$A:$A,A237,Changements!$D:$D,B237)+IF(E237="Oui",1,0))</f>
        <v>0</v>
      </c>
      <c r="M237" s="17">
        <f>IF(B237="",0,COUNTIFS(Changements!$A:$A,A237,Changements!$C:$C,B237))</f>
        <v>0</v>
      </c>
      <c r="N237" s="17">
        <f>IF(B237="",0,SUMIFS(Changements!$B:$B,Changements!$A:$A,A237,Changements!$D:$D,B237))</f>
        <v>0</v>
      </c>
      <c r="O237" s="17">
        <f>IF(B237="",0,SUMIFS(Changements!$B:$B,Changements!$A:$A,A237,Changements!$C:$C,B237)+IF(L237&gt;M237,IFERROR(INDEX(Matchs!$F$4:$F$31,MATCH(A237,Matchs!$A$4:$A$31,0)),0),0))</f>
        <v>0</v>
      </c>
      <c r="P237" s="17">
        <f t="shared" si="18"/>
        <v>0</v>
      </c>
      <c r="Q237" s="17">
        <f t="shared" si="19"/>
        <v>0</v>
      </c>
    </row>
    <row r="238" spans="1:17" ht="15" customHeight="1" x14ac:dyDescent="0.25">
      <c r="A238" s="11">
        <f t="shared" si="15"/>
        <v>10</v>
      </c>
      <c r="B238" s="11" t="str">
        <f>INDEX('Effectif Saison'!$E$4:$E$22,19)</f>
        <v>Eliot LEIBY</v>
      </c>
      <c r="C238" s="10"/>
      <c r="D238" s="10"/>
      <c r="E238" s="10"/>
      <c r="F238" s="19" t="str">
        <f>IF(B238="","",IF(AND(E238="Oui",COUNTIFS(Changements!$A:$A,A238,Changements!$D:$D,B238)&gt;0),"⚠ Titulaire+entrée ?",IF(ABS(L238-M238)&gt;1,"⚠ vérifier","")))</f>
        <v/>
      </c>
      <c r="G238" s="11" t="str">
        <f>IF(B238="","",IFERROR(INDEX('Effectif Saison'!$D$4:$D$51,MATCH(B238,'Effectif Saison'!$E$4:$E$51,0)),""))</f>
        <v>Équipe 1</v>
      </c>
      <c r="H238" s="19" t="str">
        <f>IF(L238=0,"",IF(E238="Oui",0,IFERROR(_xlfn.MINIFS(Changements!$B:$B,Changements!$A:$A,A238,Changements!$D:$D,B238),"")))</f>
        <v/>
      </c>
      <c r="I238" s="19" t="str">
        <f>IF(M238=0,"",IFERROR(_xlfn.MAXIFS(Changements!$B:$B,Changements!$A:$A,A238,Changements!$C:$C,B238),""))</f>
        <v/>
      </c>
      <c r="J238" s="11" t="str">
        <f t="shared" si="16"/>
        <v/>
      </c>
      <c r="K238" s="17">
        <f t="shared" si="17"/>
        <v>0</v>
      </c>
      <c r="L238" s="17">
        <f>IF(B238="",0,COUNTIFS(Changements!$A:$A,A238,Changements!$D:$D,B238)+IF(E238="Oui",1,0))</f>
        <v>0</v>
      </c>
      <c r="M238" s="17">
        <f>IF(B238="",0,COUNTIFS(Changements!$A:$A,A238,Changements!$C:$C,B238))</f>
        <v>0</v>
      </c>
      <c r="N238" s="17">
        <f>IF(B238="",0,SUMIFS(Changements!$B:$B,Changements!$A:$A,A238,Changements!$D:$D,B238))</f>
        <v>0</v>
      </c>
      <c r="O238" s="17">
        <f>IF(B238="",0,SUMIFS(Changements!$B:$B,Changements!$A:$A,A238,Changements!$C:$C,B238)+IF(L238&gt;M238,IFERROR(INDEX(Matchs!$F$4:$F$31,MATCH(A238,Matchs!$A$4:$A$31,0)),0),0))</f>
        <v>0</v>
      </c>
      <c r="P238" s="17">
        <f t="shared" si="18"/>
        <v>0</v>
      </c>
      <c r="Q238" s="17">
        <f t="shared" si="19"/>
        <v>0</v>
      </c>
    </row>
    <row r="239" spans="1:17" ht="15" customHeight="1" x14ac:dyDescent="0.25">
      <c r="A239" s="11">
        <f t="shared" si="15"/>
        <v>10</v>
      </c>
      <c r="B239" s="10"/>
      <c r="C239" s="10"/>
      <c r="D239" s="10"/>
      <c r="E239" s="10"/>
      <c r="F239" s="19" t="str">
        <f>IF(B239="","",IF(AND(E239="Oui",COUNTIFS(Changements!$A:$A,A239,Changements!$D:$D,B239)&gt;0),"⚠ Titulaire+entrée ?",IF(ABS(L239-M239)&gt;1,"⚠ vérifier","")))</f>
        <v/>
      </c>
      <c r="G239" s="11" t="str">
        <f>IF(B239="","",IFERROR(INDEX('Effectif Saison'!$D$4:$D$51,MATCH(B239,'Effectif Saison'!$E$4:$E$51,0)),""))</f>
        <v/>
      </c>
      <c r="H239" s="19" t="str">
        <f>IF(L239=0,"",IF(E239="Oui",0,IFERROR(_xlfn.MINIFS(Changements!$B:$B,Changements!$A:$A,A239,Changements!$D:$D,B239),"")))</f>
        <v/>
      </c>
      <c r="I239" s="19" t="str">
        <f>IF(M239=0,"",IFERROR(_xlfn.MAXIFS(Changements!$B:$B,Changements!$A:$A,A239,Changements!$C:$C,B239),""))</f>
        <v/>
      </c>
      <c r="J239" s="11" t="str">
        <f t="shared" si="16"/>
        <v/>
      </c>
      <c r="K239" s="17">
        <f t="shared" si="17"/>
        <v>0</v>
      </c>
      <c r="L239" s="17">
        <f>IF(B239="",0,COUNTIFS(Changements!$A:$A,A239,Changements!$D:$D,B239)+IF(E239="Oui",1,0))</f>
        <v>0</v>
      </c>
      <c r="M239" s="17">
        <f>IF(B239="",0,COUNTIFS(Changements!$A:$A,A239,Changements!$C:$C,B239))</f>
        <v>0</v>
      </c>
      <c r="N239" s="17">
        <f>IF(B239="",0,SUMIFS(Changements!$B:$B,Changements!$A:$A,A239,Changements!$D:$D,B239))</f>
        <v>0</v>
      </c>
      <c r="O239" s="17">
        <f>IF(B239="",0,SUMIFS(Changements!$B:$B,Changements!$A:$A,A239,Changements!$C:$C,B239)+IF(L239&gt;M239,IFERROR(INDEX(Matchs!$F$4:$F$31,MATCH(A239,Matchs!$A$4:$A$31,0)),0),0))</f>
        <v>0</v>
      </c>
      <c r="P239" s="17">
        <f t="shared" si="18"/>
        <v>0</v>
      </c>
      <c r="Q239" s="17">
        <f t="shared" si="19"/>
        <v>0</v>
      </c>
    </row>
    <row r="240" spans="1:17" ht="15" customHeight="1" x14ac:dyDescent="0.25">
      <c r="A240" s="11">
        <f t="shared" si="15"/>
        <v>10</v>
      </c>
      <c r="B240" s="10"/>
      <c r="C240" s="10"/>
      <c r="D240" s="10"/>
      <c r="E240" s="10"/>
      <c r="F240" s="19" t="str">
        <f>IF(B240="","",IF(AND(E240="Oui",COUNTIFS(Changements!$A:$A,A240,Changements!$D:$D,B240)&gt;0),"⚠ Titulaire+entrée ?",IF(ABS(L240-M240)&gt;1,"⚠ vérifier","")))</f>
        <v/>
      </c>
      <c r="G240" s="11" t="str">
        <f>IF(B240="","",IFERROR(INDEX('Effectif Saison'!$D$4:$D$51,MATCH(B240,'Effectif Saison'!$E$4:$E$51,0)),""))</f>
        <v/>
      </c>
      <c r="H240" s="19" t="str">
        <f>IF(L240=0,"",IF(E240="Oui",0,IFERROR(_xlfn.MINIFS(Changements!$B:$B,Changements!$A:$A,A240,Changements!$D:$D,B240),"")))</f>
        <v/>
      </c>
      <c r="I240" s="19" t="str">
        <f>IF(M240=0,"",IFERROR(_xlfn.MAXIFS(Changements!$B:$B,Changements!$A:$A,A240,Changements!$C:$C,B240),""))</f>
        <v/>
      </c>
      <c r="J240" s="11" t="str">
        <f t="shared" si="16"/>
        <v/>
      </c>
      <c r="K240" s="17">
        <f t="shared" si="17"/>
        <v>0</v>
      </c>
      <c r="L240" s="17">
        <f>IF(B240="",0,COUNTIFS(Changements!$A:$A,A240,Changements!$D:$D,B240)+IF(E240="Oui",1,0))</f>
        <v>0</v>
      </c>
      <c r="M240" s="17">
        <f>IF(B240="",0,COUNTIFS(Changements!$A:$A,A240,Changements!$C:$C,B240))</f>
        <v>0</v>
      </c>
      <c r="N240" s="17">
        <f>IF(B240="",0,SUMIFS(Changements!$B:$B,Changements!$A:$A,A240,Changements!$D:$D,B240))</f>
        <v>0</v>
      </c>
      <c r="O240" s="17">
        <f>IF(B240="",0,SUMIFS(Changements!$B:$B,Changements!$A:$A,A240,Changements!$C:$C,B240)+IF(L240&gt;M240,IFERROR(INDEX(Matchs!$F$4:$F$31,MATCH(A240,Matchs!$A$4:$A$31,0)),0),0))</f>
        <v>0</v>
      </c>
      <c r="P240" s="17">
        <f t="shared" si="18"/>
        <v>0</v>
      </c>
      <c r="Q240" s="17">
        <f t="shared" si="19"/>
        <v>0</v>
      </c>
    </row>
    <row r="241" spans="1:17" ht="15" customHeight="1" x14ac:dyDescent="0.25">
      <c r="A241" s="11">
        <f t="shared" si="15"/>
        <v>10</v>
      </c>
      <c r="B241" s="10"/>
      <c r="C241" s="10"/>
      <c r="D241" s="10"/>
      <c r="E241" s="10"/>
      <c r="F241" s="19" t="str">
        <f>IF(B241="","",IF(AND(E241="Oui",COUNTIFS(Changements!$A:$A,A241,Changements!$D:$D,B241)&gt;0),"⚠ Titulaire+entrée ?",IF(ABS(L241-M241)&gt;1,"⚠ vérifier","")))</f>
        <v/>
      </c>
      <c r="G241" s="11" t="str">
        <f>IF(B241="","",IFERROR(INDEX('Effectif Saison'!$D$4:$D$51,MATCH(B241,'Effectif Saison'!$E$4:$E$51,0)),""))</f>
        <v/>
      </c>
      <c r="H241" s="19" t="str">
        <f>IF(L241=0,"",IF(E241="Oui",0,IFERROR(_xlfn.MINIFS(Changements!$B:$B,Changements!$A:$A,A241,Changements!$D:$D,B241),"")))</f>
        <v/>
      </c>
      <c r="I241" s="19" t="str">
        <f>IF(M241=0,"",IFERROR(_xlfn.MAXIFS(Changements!$B:$B,Changements!$A:$A,A241,Changements!$C:$C,B241),""))</f>
        <v/>
      </c>
      <c r="J241" s="11" t="str">
        <f t="shared" si="16"/>
        <v/>
      </c>
      <c r="K241" s="17">
        <f t="shared" si="17"/>
        <v>0</v>
      </c>
      <c r="L241" s="17">
        <f>IF(B241="",0,COUNTIFS(Changements!$A:$A,A241,Changements!$D:$D,B241)+IF(E241="Oui",1,0))</f>
        <v>0</v>
      </c>
      <c r="M241" s="17">
        <f>IF(B241="",0,COUNTIFS(Changements!$A:$A,A241,Changements!$C:$C,B241))</f>
        <v>0</v>
      </c>
      <c r="N241" s="17">
        <f>IF(B241="",0,SUMIFS(Changements!$B:$B,Changements!$A:$A,A241,Changements!$D:$D,B241))</f>
        <v>0</v>
      </c>
      <c r="O241" s="17">
        <f>IF(B241="",0,SUMIFS(Changements!$B:$B,Changements!$A:$A,A241,Changements!$C:$C,B241)+IF(L241&gt;M241,IFERROR(INDEX(Matchs!$F$4:$F$31,MATCH(A241,Matchs!$A$4:$A$31,0)),0),0))</f>
        <v>0</v>
      </c>
      <c r="P241" s="17">
        <f t="shared" si="18"/>
        <v>0</v>
      </c>
      <c r="Q241" s="17">
        <f t="shared" si="19"/>
        <v>0</v>
      </c>
    </row>
    <row r="242" spans="1:17" ht="15" customHeight="1" x14ac:dyDescent="0.25">
      <c r="A242" s="11">
        <f t="shared" si="15"/>
        <v>10</v>
      </c>
      <c r="B242" s="10"/>
      <c r="C242" s="10"/>
      <c r="D242" s="10"/>
      <c r="E242" s="10"/>
      <c r="F242" s="19" t="str">
        <f>IF(B242="","",IF(AND(E242="Oui",COUNTIFS(Changements!$A:$A,A242,Changements!$D:$D,B242)&gt;0),"⚠ Titulaire+entrée ?",IF(ABS(L242-M242)&gt;1,"⚠ vérifier","")))</f>
        <v/>
      </c>
      <c r="G242" s="11" t="str">
        <f>IF(B242="","",IFERROR(INDEX('Effectif Saison'!$D$4:$D$51,MATCH(B242,'Effectif Saison'!$E$4:$E$51,0)),""))</f>
        <v/>
      </c>
      <c r="H242" s="19" t="str">
        <f>IF(L242=0,"",IF(E242="Oui",0,IFERROR(_xlfn.MINIFS(Changements!$B:$B,Changements!$A:$A,A242,Changements!$D:$D,B242),"")))</f>
        <v/>
      </c>
      <c r="I242" s="19" t="str">
        <f>IF(M242=0,"",IFERROR(_xlfn.MAXIFS(Changements!$B:$B,Changements!$A:$A,A242,Changements!$C:$C,B242),""))</f>
        <v/>
      </c>
      <c r="J242" s="11" t="str">
        <f t="shared" si="16"/>
        <v/>
      </c>
      <c r="K242" s="17">
        <f t="shared" si="17"/>
        <v>0</v>
      </c>
      <c r="L242" s="17">
        <f>IF(B242="",0,COUNTIFS(Changements!$A:$A,A242,Changements!$D:$D,B242)+IF(E242="Oui",1,0))</f>
        <v>0</v>
      </c>
      <c r="M242" s="17">
        <f>IF(B242="",0,COUNTIFS(Changements!$A:$A,A242,Changements!$C:$C,B242))</f>
        <v>0</v>
      </c>
      <c r="N242" s="17">
        <f>IF(B242="",0,SUMIFS(Changements!$B:$B,Changements!$A:$A,A242,Changements!$D:$D,B242))</f>
        <v>0</v>
      </c>
      <c r="O242" s="17">
        <f>IF(B242="",0,SUMIFS(Changements!$B:$B,Changements!$A:$A,A242,Changements!$C:$C,B242)+IF(L242&gt;M242,IFERROR(INDEX(Matchs!$F$4:$F$31,MATCH(A242,Matchs!$A$4:$A$31,0)),0),0))</f>
        <v>0</v>
      </c>
      <c r="P242" s="17">
        <f t="shared" si="18"/>
        <v>0</v>
      </c>
      <c r="Q242" s="17">
        <f t="shared" si="19"/>
        <v>0</v>
      </c>
    </row>
    <row r="243" spans="1:17" ht="15" customHeight="1" x14ac:dyDescent="0.25">
      <c r="A243" s="11">
        <f t="shared" si="15"/>
        <v>10</v>
      </c>
      <c r="B243" s="10"/>
      <c r="C243" s="10"/>
      <c r="D243" s="10"/>
      <c r="E243" s="10"/>
      <c r="F243" s="19" t="str">
        <f>IF(B243="","",IF(AND(E243="Oui",COUNTIFS(Changements!$A:$A,A243,Changements!$D:$D,B243)&gt;0),"⚠ Titulaire+entrée ?",IF(ABS(L243-M243)&gt;1,"⚠ vérifier","")))</f>
        <v/>
      </c>
      <c r="G243" s="11" t="str">
        <f>IF(B243="","",IFERROR(INDEX('Effectif Saison'!$D$4:$D$51,MATCH(B243,'Effectif Saison'!$E$4:$E$51,0)),""))</f>
        <v/>
      </c>
      <c r="H243" s="19" t="str">
        <f>IF(L243=0,"",IF(E243="Oui",0,IFERROR(_xlfn.MINIFS(Changements!$B:$B,Changements!$A:$A,A243,Changements!$D:$D,B243),"")))</f>
        <v/>
      </c>
      <c r="I243" s="19" t="str">
        <f>IF(M243=0,"",IFERROR(_xlfn.MAXIFS(Changements!$B:$B,Changements!$A:$A,A243,Changements!$C:$C,B243),""))</f>
        <v/>
      </c>
      <c r="J243" s="11" t="str">
        <f t="shared" si="16"/>
        <v/>
      </c>
      <c r="K243" s="17">
        <f t="shared" si="17"/>
        <v>0</v>
      </c>
      <c r="L243" s="17">
        <f>IF(B243="",0,COUNTIFS(Changements!$A:$A,A243,Changements!$D:$D,B243)+IF(E243="Oui",1,0))</f>
        <v>0</v>
      </c>
      <c r="M243" s="17">
        <f>IF(B243="",0,COUNTIFS(Changements!$A:$A,A243,Changements!$C:$C,B243))</f>
        <v>0</v>
      </c>
      <c r="N243" s="17">
        <f>IF(B243="",0,SUMIFS(Changements!$B:$B,Changements!$A:$A,A243,Changements!$D:$D,B243))</f>
        <v>0</v>
      </c>
      <c r="O243" s="17">
        <f>IF(B243="",0,SUMIFS(Changements!$B:$B,Changements!$A:$A,A243,Changements!$C:$C,B243)+IF(L243&gt;M243,IFERROR(INDEX(Matchs!$F$4:$F$31,MATCH(A243,Matchs!$A$4:$A$31,0)),0),0))</f>
        <v>0</v>
      </c>
      <c r="P243" s="17">
        <f t="shared" si="18"/>
        <v>0</v>
      </c>
      <c r="Q243" s="17">
        <f t="shared" si="19"/>
        <v>0</v>
      </c>
    </row>
    <row r="244" spans="1:17" ht="15" customHeight="1" x14ac:dyDescent="0.25">
      <c r="A244" s="11">
        <f t="shared" si="15"/>
        <v>11</v>
      </c>
      <c r="B244" s="11" t="str">
        <f>INDEX('Effectif Saison'!$E$4:$E$22,1)</f>
        <v>Alan MICHON</v>
      </c>
      <c r="C244" s="10"/>
      <c r="D244" s="10"/>
      <c r="E244" s="10"/>
      <c r="F244" s="19" t="str">
        <f>IF(B244="","",IF(AND(E244="Oui",COUNTIFS(Changements!$A:$A,A244,Changements!$D:$D,B244)&gt;0),"⚠ Titulaire+entrée ?",IF(ABS(L244-M244)&gt;1,"⚠ vérifier","")))</f>
        <v/>
      </c>
      <c r="G244" s="11" t="str">
        <f>IF(B244="","",IFERROR(INDEX('Effectif Saison'!$D$4:$D$51,MATCH(B244,'Effectif Saison'!$E$4:$E$51,0)),""))</f>
        <v>Équipe 1</v>
      </c>
      <c r="H244" s="19" t="str">
        <f>IF(L244=0,"",IF(E244="Oui",0,IFERROR(_xlfn.MINIFS(Changements!$B:$B,Changements!$A:$A,A244,Changements!$D:$D,B244),"")))</f>
        <v/>
      </c>
      <c r="I244" s="19" t="str">
        <f>IF(M244=0,"",IFERROR(_xlfn.MAXIFS(Changements!$B:$B,Changements!$A:$A,A244,Changements!$C:$C,B244),""))</f>
        <v/>
      </c>
      <c r="J244" s="11" t="str">
        <f t="shared" si="16"/>
        <v/>
      </c>
      <c r="K244" s="17">
        <f t="shared" si="17"/>
        <v>0</v>
      </c>
      <c r="L244" s="17">
        <f>IF(B244="",0,COUNTIFS(Changements!$A:$A,A244,Changements!$D:$D,B244)+IF(E244="Oui",1,0))</f>
        <v>0</v>
      </c>
      <c r="M244" s="17">
        <f>IF(B244="",0,COUNTIFS(Changements!$A:$A,A244,Changements!$C:$C,B244))</f>
        <v>0</v>
      </c>
      <c r="N244" s="17">
        <f>IF(B244="",0,SUMIFS(Changements!$B:$B,Changements!$A:$A,A244,Changements!$D:$D,B244))</f>
        <v>0</v>
      </c>
      <c r="O244" s="17">
        <f>IF(B244="",0,SUMIFS(Changements!$B:$B,Changements!$A:$A,A244,Changements!$C:$C,B244)+IF(L244&gt;M244,IFERROR(INDEX(Matchs!$F$4:$F$31,MATCH(A244,Matchs!$A$4:$A$31,0)),0),0))</f>
        <v>0</v>
      </c>
      <c r="P244" s="17">
        <f t="shared" si="18"/>
        <v>0</v>
      </c>
      <c r="Q244" s="17">
        <f t="shared" si="19"/>
        <v>0</v>
      </c>
    </row>
    <row r="245" spans="1:17" ht="15" customHeight="1" x14ac:dyDescent="0.25">
      <c r="A245" s="11">
        <f t="shared" si="15"/>
        <v>11</v>
      </c>
      <c r="B245" s="11" t="str">
        <f>INDEX('Effectif Saison'!$E$4:$E$22,2)</f>
        <v>Jean BRUNTZ</v>
      </c>
      <c r="C245" s="10"/>
      <c r="D245" s="10"/>
      <c r="E245" s="10"/>
      <c r="F245" s="19" t="str">
        <f>IF(B245="","",IF(AND(E245="Oui",COUNTIFS(Changements!$A:$A,A245,Changements!$D:$D,B245)&gt;0),"⚠ Titulaire+entrée ?",IF(ABS(L245-M245)&gt;1,"⚠ vérifier","")))</f>
        <v/>
      </c>
      <c r="G245" s="11" t="str">
        <f>IF(B245="","",IFERROR(INDEX('Effectif Saison'!$D$4:$D$51,MATCH(B245,'Effectif Saison'!$E$4:$E$51,0)),""))</f>
        <v>Équipe 1</v>
      </c>
      <c r="H245" s="19" t="str">
        <f>IF(L245=0,"",IF(E245="Oui",0,IFERROR(_xlfn.MINIFS(Changements!$B:$B,Changements!$A:$A,A245,Changements!$D:$D,B245),"")))</f>
        <v/>
      </c>
      <c r="I245" s="19" t="str">
        <f>IF(M245=0,"",IFERROR(_xlfn.MAXIFS(Changements!$B:$B,Changements!$A:$A,A245,Changements!$C:$C,B245),""))</f>
        <v/>
      </c>
      <c r="J245" s="11" t="str">
        <f t="shared" si="16"/>
        <v/>
      </c>
      <c r="K245" s="17">
        <f t="shared" si="17"/>
        <v>0</v>
      </c>
      <c r="L245" s="17">
        <f>IF(B245="",0,COUNTIFS(Changements!$A:$A,A245,Changements!$D:$D,B245)+IF(E245="Oui",1,0))</f>
        <v>0</v>
      </c>
      <c r="M245" s="17">
        <f>IF(B245="",0,COUNTIFS(Changements!$A:$A,A245,Changements!$C:$C,B245))</f>
        <v>0</v>
      </c>
      <c r="N245" s="17">
        <f>IF(B245="",0,SUMIFS(Changements!$B:$B,Changements!$A:$A,A245,Changements!$D:$D,B245))</f>
        <v>0</v>
      </c>
      <c r="O245" s="17">
        <f>IF(B245="",0,SUMIFS(Changements!$B:$B,Changements!$A:$A,A245,Changements!$C:$C,B245)+IF(L245&gt;M245,IFERROR(INDEX(Matchs!$F$4:$F$31,MATCH(A245,Matchs!$A$4:$A$31,0)),0),0))</f>
        <v>0</v>
      </c>
      <c r="P245" s="17">
        <f t="shared" si="18"/>
        <v>0</v>
      </c>
      <c r="Q245" s="17">
        <f t="shared" si="19"/>
        <v>0</v>
      </c>
    </row>
    <row r="246" spans="1:17" ht="15" customHeight="1" x14ac:dyDescent="0.25">
      <c r="A246" s="11">
        <f t="shared" si="15"/>
        <v>11</v>
      </c>
      <c r="B246" s="11" t="str">
        <f>INDEX('Effectif Saison'!$E$4:$E$22,3)</f>
        <v>Marouane SBK</v>
      </c>
      <c r="C246" s="10"/>
      <c r="D246" s="10"/>
      <c r="E246" s="10"/>
      <c r="F246" s="19" t="str">
        <f>IF(B246="","",IF(AND(E246="Oui",COUNTIFS(Changements!$A:$A,A246,Changements!$D:$D,B246)&gt;0),"⚠ Titulaire+entrée ?",IF(ABS(L246-M246)&gt;1,"⚠ vérifier","")))</f>
        <v/>
      </c>
      <c r="G246" s="11" t="str">
        <f>IF(B246="","",IFERROR(INDEX('Effectif Saison'!$D$4:$D$51,MATCH(B246,'Effectif Saison'!$E$4:$E$51,0)),""))</f>
        <v>Équipe 1</v>
      </c>
      <c r="H246" s="19" t="str">
        <f>IF(L246=0,"",IF(E246="Oui",0,IFERROR(_xlfn.MINIFS(Changements!$B:$B,Changements!$A:$A,A246,Changements!$D:$D,B246),"")))</f>
        <v/>
      </c>
      <c r="I246" s="19" t="str">
        <f>IF(M246=0,"",IFERROR(_xlfn.MAXIFS(Changements!$B:$B,Changements!$A:$A,A246,Changements!$C:$C,B246),""))</f>
        <v/>
      </c>
      <c r="J246" s="11" t="str">
        <f t="shared" si="16"/>
        <v/>
      </c>
      <c r="K246" s="17">
        <f t="shared" si="17"/>
        <v>0</v>
      </c>
      <c r="L246" s="17">
        <f>IF(B246="",0,COUNTIFS(Changements!$A:$A,A246,Changements!$D:$D,B246)+IF(E246="Oui",1,0))</f>
        <v>0</v>
      </c>
      <c r="M246" s="17">
        <f>IF(B246="",0,COUNTIFS(Changements!$A:$A,A246,Changements!$C:$C,B246))</f>
        <v>0</v>
      </c>
      <c r="N246" s="17">
        <f>IF(B246="",0,SUMIFS(Changements!$B:$B,Changements!$A:$A,A246,Changements!$D:$D,B246))</f>
        <v>0</v>
      </c>
      <c r="O246" s="17">
        <f>IF(B246="",0,SUMIFS(Changements!$B:$B,Changements!$A:$A,A246,Changements!$C:$C,B246)+IF(L246&gt;M246,IFERROR(INDEX(Matchs!$F$4:$F$31,MATCH(A246,Matchs!$A$4:$A$31,0)),0),0))</f>
        <v>0</v>
      </c>
      <c r="P246" s="17">
        <f t="shared" si="18"/>
        <v>0</v>
      </c>
      <c r="Q246" s="17">
        <f t="shared" si="19"/>
        <v>0</v>
      </c>
    </row>
    <row r="247" spans="1:17" ht="15" customHeight="1" x14ac:dyDescent="0.25">
      <c r="A247" s="11">
        <f t="shared" si="15"/>
        <v>11</v>
      </c>
      <c r="B247" s="11" t="str">
        <f>INDEX('Effectif Saison'!$E$4:$E$22,4)</f>
        <v>Noé BIHL</v>
      </c>
      <c r="C247" s="10"/>
      <c r="D247" s="10"/>
      <c r="E247" s="10"/>
      <c r="F247" s="19" t="str">
        <f>IF(B247="","",IF(AND(E247="Oui",COUNTIFS(Changements!$A:$A,A247,Changements!$D:$D,B247)&gt;0),"⚠ Titulaire+entrée ?",IF(ABS(L247-M247)&gt;1,"⚠ vérifier","")))</f>
        <v/>
      </c>
      <c r="G247" s="11" t="str">
        <f>IF(B247="","",IFERROR(INDEX('Effectif Saison'!$D$4:$D$51,MATCH(B247,'Effectif Saison'!$E$4:$E$51,0)),""))</f>
        <v>Équipe 1</v>
      </c>
      <c r="H247" s="19" t="str">
        <f>IF(L247=0,"",IF(E247="Oui",0,IFERROR(_xlfn.MINIFS(Changements!$B:$B,Changements!$A:$A,A247,Changements!$D:$D,B247),"")))</f>
        <v/>
      </c>
      <c r="I247" s="19" t="str">
        <f>IF(M247=0,"",IFERROR(_xlfn.MAXIFS(Changements!$B:$B,Changements!$A:$A,A247,Changements!$C:$C,B247),""))</f>
        <v/>
      </c>
      <c r="J247" s="11" t="str">
        <f t="shared" si="16"/>
        <v/>
      </c>
      <c r="K247" s="17">
        <f t="shared" si="17"/>
        <v>0</v>
      </c>
      <c r="L247" s="17">
        <f>IF(B247="",0,COUNTIFS(Changements!$A:$A,A247,Changements!$D:$D,B247)+IF(E247="Oui",1,0))</f>
        <v>0</v>
      </c>
      <c r="M247" s="17">
        <f>IF(B247="",0,COUNTIFS(Changements!$A:$A,A247,Changements!$C:$C,B247))</f>
        <v>0</v>
      </c>
      <c r="N247" s="17">
        <f>IF(B247="",0,SUMIFS(Changements!$B:$B,Changements!$A:$A,A247,Changements!$D:$D,B247))</f>
        <v>0</v>
      </c>
      <c r="O247" s="17">
        <f>IF(B247="",0,SUMIFS(Changements!$B:$B,Changements!$A:$A,A247,Changements!$C:$C,B247)+IF(L247&gt;M247,IFERROR(INDEX(Matchs!$F$4:$F$31,MATCH(A247,Matchs!$A$4:$A$31,0)),0),0))</f>
        <v>0</v>
      </c>
      <c r="P247" s="17">
        <f t="shared" si="18"/>
        <v>0</v>
      </c>
      <c r="Q247" s="17">
        <f t="shared" si="19"/>
        <v>0</v>
      </c>
    </row>
    <row r="248" spans="1:17" ht="15" customHeight="1" x14ac:dyDescent="0.25">
      <c r="A248" s="11">
        <f t="shared" si="15"/>
        <v>11</v>
      </c>
      <c r="B248" s="11" t="str">
        <f>INDEX('Effectif Saison'!$E$4:$E$22,5)</f>
        <v>Luca COLAIANNI</v>
      </c>
      <c r="C248" s="10"/>
      <c r="D248" s="10"/>
      <c r="E248" s="10"/>
      <c r="F248" s="19" t="str">
        <f>IF(B248="","",IF(AND(E248="Oui",COUNTIFS(Changements!$A:$A,A248,Changements!$D:$D,B248)&gt;0),"⚠ Titulaire+entrée ?",IF(ABS(L248-M248)&gt;1,"⚠ vérifier","")))</f>
        <v/>
      </c>
      <c r="G248" s="11" t="str">
        <f>IF(B248="","",IFERROR(INDEX('Effectif Saison'!$D$4:$D$51,MATCH(B248,'Effectif Saison'!$E$4:$E$51,0)),""))</f>
        <v>Équipe 1</v>
      </c>
      <c r="H248" s="19" t="str">
        <f>IF(L248=0,"",IF(E248="Oui",0,IFERROR(_xlfn.MINIFS(Changements!$B:$B,Changements!$A:$A,A248,Changements!$D:$D,B248),"")))</f>
        <v/>
      </c>
      <c r="I248" s="19" t="str">
        <f>IF(M248=0,"",IFERROR(_xlfn.MAXIFS(Changements!$B:$B,Changements!$A:$A,A248,Changements!$C:$C,B248),""))</f>
        <v/>
      </c>
      <c r="J248" s="11" t="str">
        <f t="shared" si="16"/>
        <v/>
      </c>
      <c r="K248" s="17">
        <f t="shared" si="17"/>
        <v>0</v>
      </c>
      <c r="L248" s="17">
        <f>IF(B248="",0,COUNTIFS(Changements!$A:$A,A248,Changements!$D:$D,B248)+IF(E248="Oui",1,0))</f>
        <v>0</v>
      </c>
      <c r="M248" s="17">
        <f>IF(B248="",0,COUNTIFS(Changements!$A:$A,A248,Changements!$C:$C,B248))</f>
        <v>0</v>
      </c>
      <c r="N248" s="17">
        <f>IF(B248="",0,SUMIFS(Changements!$B:$B,Changements!$A:$A,A248,Changements!$D:$D,B248))</f>
        <v>0</v>
      </c>
      <c r="O248" s="17">
        <f>IF(B248="",0,SUMIFS(Changements!$B:$B,Changements!$A:$A,A248,Changements!$C:$C,B248)+IF(L248&gt;M248,IFERROR(INDEX(Matchs!$F$4:$F$31,MATCH(A248,Matchs!$A$4:$A$31,0)),0),0))</f>
        <v>0</v>
      </c>
      <c r="P248" s="17">
        <f t="shared" si="18"/>
        <v>0</v>
      </c>
      <c r="Q248" s="17">
        <f t="shared" si="19"/>
        <v>0</v>
      </c>
    </row>
    <row r="249" spans="1:17" ht="15" customHeight="1" x14ac:dyDescent="0.25">
      <c r="A249" s="11">
        <f t="shared" si="15"/>
        <v>11</v>
      </c>
      <c r="B249" s="11" t="str">
        <f>INDEX('Effectif Saison'!$E$4:$E$22,6)</f>
        <v>Atilla ER</v>
      </c>
      <c r="C249" s="10"/>
      <c r="D249" s="10"/>
      <c r="E249" s="10"/>
      <c r="F249" s="19" t="str">
        <f>IF(B249="","",IF(AND(E249="Oui",COUNTIFS(Changements!$A:$A,A249,Changements!$D:$D,B249)&gt;0),"⚠ Titulaire+entrée ?",IF(ABS(L249-M249)&gt;1,"⚠ vérifier","")))</f>
        <v/>
      </c>
      <c r="G249" s="11" t="str">
        <f>IF(B249="","",IFERROR(INDEX('Effectif Saison'!$D$4:$D$51,MATCH(B249,'Effectif Saison'!$E$4:$E$51,0)),""))</f>
        <v>Équipe 1</v>
      </c>
      <c r="H249" s="19" t="str">
        <f>IF(L249=0,"",IF(E249="Oui",0,IFERROR(_xlfn.MINIFS(Changements!$B:$B,Changements!$A:$A,A249,Changements!$D:$D,B249),"")))</f>
        <v/>
      </c>
      <c r="I249" s="19" t="str">
        <f>IF(M249=0,"",IFERROR(_xlfn.MAXIFS(Changements!$B:$B,Changements!$A:$A,A249,Changements!$C:$C,B249),""))</f>
        <v/>
      </c>
      <c r="J249" s="11" t="str">
        <f t="shared" si="16"/>
        <v/>
      </c>
      <c r="K249" s="17">
        <f t="shared" si="17"/>
        <v>0</v>
      </c>
      <c r="L249" s="17">
        <f>IF(B249="",0,COUNTIFS(Changements!$A:$A,A249,Changements!$D:$D,B249)+IF(E249="Oui",1,0))</f>
        <v>0</v>
      </c>
      <c r="M249" s="17">
        <f>IF(B249="",0,COUNTIFS(Changements!$A:$A,A249,Changements!$C:$C,B249))</f>
        <v>0</v>
      </c>
      <c r="N249" s="17">
        <f>IF(B249="",0,SUMIFS(Changements!$B:$B,Changements!$A:$A,A249,Changements!$D:$D,B249))</f>
        <v>0</v>
      </c>
      <c r="O249" s="17">
        <f>IF(B249="",0,SUMIFS(Changements!$B:$B,Changements!$A:$A,A249,Changements!$C:$C,B249)+IF(L249&gt;M249,IFERROR(INDEX(Matchs!$F$4:$F$31,MATCH(A249,Matchs!$A$4:$A$31,0)),0),0))</f>
        <v>0</v>
      </c>
      <c r="P249" s="17">
        <f t="shared" si="18"/>
        <v>0</v>
      </c>
      <c r="Q249" s="17">
        <f t="shared" si="19"/>
        <v>0</v>
      </c>
    </row>
    <row r="250" spans="1:17" ht="15" customHeight="1" x14ac:dyDescent="0.25">
      <c r="A250" s="11">
        <f t="shared" si="15"/>
        <v>11</v>
      </c>
      <c r="B250" s="11" t="str">
        <f>INDEX('Effectif Saison'!$E$4:$E$22,7)</f>
        <v>Lucas BUHR</v>
      </c>
      <c r="C250" s="10"/>
      <c r="D250" s="10"/>
      <c r="E250" s="10"/>
      <c r="F250" s="19" t="str">
        <f>IF(B250="","",IF(AND(E250="Oui",COUNTIFS(Changements!$A:$A,A250,Changements!$D:$D,B250)&gt;0),"⚠ Titulaire+entrée ?",IF(ABS(L250-M250)&gt;1,"⚠ vérifier","")))</f>
        <v/>
      </c>
      <c r="G250" s="11" t="str">
        <f>IF(B250="","",IFERROR(INDEX('Effectif Saison'!$D$4:$D$51,MATCH(B250,'Effectif Saison'!$E$4:$E$51,0)),""))</f>
        <v>Équipe 1</v>
      </c>
      <c r="H250" s="19" t="str">
        <f>IF(L250=0,"",IF(E250="Oui",0,IFERROR(_xlfn.MINIFS(Changements!$B:$B,Changements!$A:$A,A250,Changements!$D:$D,B250),"")))</f>
        <v/>
      </c>
      <c r="I250" s="19" t="str">
        <f>IF(M250=0,"",IFERROR(_xlfn.MAXIFS(Changements!$B:$B,Changements!$A:$A,A250,Changements!$C:$C,B250),""))</f>
        <v/>
      </c>
      <c r="J250" s="11" t="str">
        <f t="shared" si="16"/>
        <v/>
      </c>
      <c r="K250" s="17">
        <f t="shared" si="17"/>
        <v>0</v>
      </c>
      <c r="L250" s="17">
        <f>IF(B250="",0,COUNTIFS(Changements!$A:$A,A250,Changements!$D:$D,B250)+IF(E250="Oui",1,0))</f>
        <v>0</v>
      </c>
      <c r="M250" s="17">
        <f>IF(B250="",0,COUNTIFS(Changements!$A:$A,A250,Changements!$C:$C,B250))</f>
        <v>0</v>
      </c>
      <c r="N250" s="17">
        <f>IF(B250="",0,SUMIFS(Changements!$B:$B,Changements!$A:$A,A250,Changements!$D:$D,B250))</f>
        <v>0</v>
      </c>
      <c r="O250" s="17">
        <f>IF(B250="",0,SUMIFS(Changements!$B:$B,Changements!$A:$A,A250,Changements!$C:$C,B250)+IF(L250&gt;M250,IFERROR(INDEX(Matchs!$F$4:$F$31,MATCH(A250,Matchs!$A$4:$A$31,0)),0),0))</f>
        <v>0</v>
      </c>
      <c r="P250" s="17">
        <f t="shared" si="18"/>
        <v>0</v>
      </c>
      <c r="Q250" s="17">
        <f t="shared" si="19"/>
        <v>0</v>
      </c>
    </row>
    <row r="251" spans="1:17" ht="15" customHeight="1" x14ac:dyDescent="0.25">
      <c r="A251" s="11">
        <f t="shared" si="15"/>
        <v>11</v>
      </c>
      <c r="B251" s="11" t="str">
        <f>INDEX('Effectif Saison'!$E$4:$E$22,8)</f>
        <v>Yanis HOUX</v>
      </c>
      <c r="C251" s="10"/>
      <c r="D251" s="10"/>
      <c r="E251" s="10"/>
      <c r="F251" s="19" t="str">
        <f>IF(B251="","",IF(AND(E251="Oui",COUNTIFS(Changements!$A:$A,A251,Changements!$D:$D,B251)&gt;0),"⚠ Titulaire+entrée ?",IF(ABS(L251-M251)&gt;1,"⚠ vérifier","")))</f>
        <v/>
      </c>
      <c r="G251" s="11" t="str">
        <f>IF(B251="","",IFERROR(INDEX('Effectif Saison'!$D$4:$D$51,MATCH(B251,'Effectif Saison'!$E$4:$E$51,0)),""))</f>
        <v>Équipe 1</v>
      </c>
      <c r="H251" s="19" t="str">
        <f>IF(L251=0,"",IF(E251="Oui",0,IFERROR(_xlfn.MINIFS(Changements!$B:$B,Changements!$A:$A,A251,Changements!$D:$D,B251),"")))</f>
        <v/>
      </c>
      <c r="I251" s="19" t="str">
        <f>IF(M251=0,"",IFERROR(_xlfn.MAXIFS(Changements!$B:$B,Changements!$A:$A,A251,Changements!$C:$C,B251),""))</f>
        <v/>
      </c>
      <c r="J251" s="11" t="str">
        <f t="shared" si="16"/>
        <v/>
      </c>
      <c r="K251" s="17">
        <f t="shared" si="17"/>
        <v>0</v>
      </c>
      <c r="L251" s="17">
        <f>IF(B251="",0,COUNTIFS(Changements!$A:$A,A251,Changements!$D:$D,B251)+IF(E251="Oui",1,0))</f>
        <v>0</v>
      </c>
      <c r="M251" s="17">
        <f>IF(B251="",0,COUNTIFS(Changements!$A:$A,A251,Changements!$C:$C,B251))</f>
        <v>0</v>
      </c>
      <c r="N251" s="17">
        <f>IF(B251="",0,SUMIFS(Changements!$B:$B,Changements!$A:$A,A251,Changements!$D:$D,B251))</f>
        <v>0</v>
      </c>
      <c r="O251" s="17">
        <f>IF(B251="",0,SUMIFS(Changements!$B:$B,Changements!$A:$A,A251,Changements!$C:$C,B251)+IF(L251&gt;M251,IFERROR(INDEX(Matchs!$F$4:$F$31,MATCH(A251,Matchs!$A$4:$A$31,0)),0),0))</f>
        <v>0</v>
      </c>
      <c r="P251" s="17">
        <f t="shared" si="18"/>
        <v>0</v>
      </c>
      <c r="Q251" s="17">
        <f t="shared" si="19"/>
        <v>0</v>
      </c>
    </row>
    <row r="252" spans="1:17" ht="15" customHeight="1" x14ac:dyDescent="0.25">
      <c r="A252" s="11">
        <f t="shared" si="15"/>
        <v>11</v>
      </c>
      <c r="B252" s="11" t="str">
        <f>INDEX('Effectif Saison'!$E$4:$E$22,9)</f>
        <v>Tino COLAIANNI</v>
      </c>
      <c r="C252" s="10"/>
      <c r="D252" s="10"/>
      <c r="E252" s="10"/>
      <c r="F252" s="19" t="str">
        <f>IF(B252="","",IF(AND(E252="Oui",COUNTIFS(Changements!$A:$A,A252,Changements!$D:$D,B252)&gt;0),"⚠ Titulaire+entrée ?",IF(ABS(L252-M252)&gt;1,"⚠ vérifier","")))</f>
        <v/>
      </c>
      <c r="G252" s="11" t="str">
        <f>IF(B252="","",IFERROR(INDEX('Effectif Saison'!$D$4:$D$51,MATCH(B252,'Effectif Saison'!$E$4:$E$51,0)),""))</f>
        <v>Équipe 1</v>
      </c>
      <c r="H252" s="19" t="str">
        <f>IF(L252=0,"",IF(E252="Oui",0,IFERROR(_xlfn.MINIFS(Changements!$B:$B,Changements!$A:$A,A252,Changements!$D:$D,B252),"")))</f>
        <v/>
      </c>
      <c r="I252" s="19" t="str">
        <f>IF(M252=0,"",IFERROR(_xlfn.MAXIFS(Changements!$B:$B,Changements!$A:$A,A252,Changements!$C:$C,B252),""))</f>
        <v/>
      </c>
      <c r="J252" s="11" t="str">
        <f t="shared" si="16"/>
        <v/>
      </c>
      <c r="K252" s="17">
        <f t="shared" si="17"/>
        <v>0</v>
      </c>
      <c r="L252" s="17">
        <f>IF(B252="",0,COUNTIFS(Changements!$A:$A,A252,Changements!$D:$D,B252)+IF(E252="Oui",1,0))</f>
        <v>0</v>
      </c>
      <c r="M252" s="17">
        <f>IF(B252="",0,COUNTIFS(Changements!$A:$A,A252,Changements!$C:$C,B252))</f>
        <v>0</v>
      </c>
      <c r="N252" s="17">
        <f>IF(B252="",0,SUMIFS(Changements!$B:$B,Changements!$A:$A,A252,Changements!$D:$D,B252))</f>
        <v>0</v>
      </c>
      <c r="O252" s="17">
        <f>IF(B252="",0,SUMIFS(Changements!$B:$B,Changements!$A:$A,A252,Changements!$C:$C,B252)+IF(L252&gt;M252,IFERROR(INDEX(Matchs!$F$4:$F$31,MATCH(A252,Matchs!$A$4:$A$31,0)),0),0))</f>
        <v>0</v>
      </c>
      <c r="P252" s="17">
        <f t="shared" si="18"/>
        <v>0</v>
      </c>
      <c r="Q252" s="17">
        <f t="shared" si="19"/>
        <v>0</v>
      </c>
    </row>
    <row r="253" spans="1:17" ht="15" customHeight="1" x14ac:dyDescent="0.25">
      <c r="A253" s="11">
        <f t="shared" si="15"/>
        <v>11</v>
      </c>
      <c r="B253" s="11" t="str">
        <f>INDEX('Effectif Saison'!$E$4:$E$22,10)</f>
        <v>Achille KELLERKNECHT</v>
      </c>
      <c r="C253" s="10"/>
      <c r="D253" s="10"/>
      <c r="E253" s="10"/>
      <c r="F253" s="19" t="str">
        <f>IF(B253="","",IF(AND(E253="Oui",COUNTIFS(Changements!$A:$A,A253,Changements!$D:$D,B253)&gt;0),"⚠ Titulaire+entrée ?",IF(ABS(L253-M253)&gt;1,"⚠ vérifier","")))</f>
        <v/>
      </c>
      <c r="G253" s="11" t="str">
        <f>IF(B253="","",IFERROR(INDEX('Effectif Saison'!$D$4:$D$51,MATCH(B253,'Effectif Saison'!$E$4:$E$51,0)),""))</f>
        <v>Équipe 1</v>
      </c>
      <c r="H253" s="19" t="str">
        <f>IF(L253=0,"",IF(E253="Oui",0,IFERROR(_xlfn.MINIFS(Changements!$B:$B,Changements!$A:$A,A253,Changements!$D:$D,B253),"")))</f>
        <v/>
      </c>
      <c r="I253" s="19" t="str">
        <f>IF(M253=0,"",IFERROR(_xlfn.MAXIFS(Changements!$B:$B,Changements!$A:$A,A253,Changements!$C:$C,B253),""))</f>
        <v/>
      </c>
      <c r="J253" s="11" t="str">
        <f t="shared" si="16"/>
        <v/>
      </c>
      <c r="K253" s="17">
        <f t="shared" si="17"/>
        <v>0</v>
      </c>
      <c r="L253" s="17">
        <f>IF(B253="",0,COUNTIFS(Changements!$A:$A,A253,Changements!$D:$D,B253)+IF(E253="Oui",1,0))</f>
        <v>0</v>
      </c>
      <c r="M253" s="17">
        <f>IF(B253="",0,COUNTIFS(Changements!$A:$A,A253,Changements!$C:$C,B253))</f>
        <v>0</v>
      </c>
      <c r="N253" s="17">
        <f>IF(B253="",0,SUMIFS(Changements!$B:$B,Changements!$A:$A,A253,Changements!$D:$D,B253))</f>
        <v>0</v>
      </c>
      <c r="O253" s="17">
        <f>IF(B253="",0,SUMIFS(Changements!$B:$B,Changements!$A:$A,A253,Changements!$C:$C,B253)+IF(L253&gt;M253,IFERROR(INDEX(Matchs!$F$4:$F$31,MATCH(A253,Matchs!$A$4:$A$31,0)),0),0))</f>
        <v>0</v>
      </c>
      <c r="P253" s="17">
        <f t="shared" si="18"/>
        <v>0</v>
      </c>
      <c r="Q253" s="17">
        <f t="shared" si="19"/>
        <v>0</v>
      </c>
    </row>
    <row r="254" spans="1:17" ht="15" customHeight="1" x14ac:dyDescent="0.25">
      <c r="A254" s="11">
        <f t="shared" si="15"/>
        <v>11</v>
      </c>
      <c r="B254" s="11" t="str">
        <f>INDEX('Effectif Saison'!$E$4:$E$22,11)</f>
        <v>Charly LEPERT</v>
      </c>
      <c r="C254" s="10"/>
      <c r="D254" s="10"/>
      <c r="E254" s="10"/>
      <c r="F254" s="19" t="str">
        <f>IF(B254="","",IF(AND(E254="Oui",COUNTIFS(Changements!$A:$A,A254,Changements!$D:$D,B254)&gt;0),"⚠ Titulaire+entrée ?",IF(ABS(L254-M254)&gt;1,"⚠ vérifier","")))</f>
        <v/>
      </c>
      <c r="G254" s="11" t="str">
        <f>IF(B254="","",IFERROR(INDEX('Effectif Saison'!$D$4:$D$51,MATCH(B254,'Effectif Saison'!$E$4:$E$51,0)),""))</f>
        <v>Équipe 1</v>
      </c>
      <c r="H254" s="19" t="str">
        <f>IF(L254=0,"",IF(E254="Oui",0,IFERROR(_xlfn.MINIFS(Changements!$B:$B,Changements!$A:$A,A254,Changements!$D:$D,B254),"")))</f>
        <v/>
      </c>
      <c r="I254" s="19" t="str">
        <f>IF(M254=0,"",IFERROR(_xlfn.MAXIFS(Changements!$B:$B,Changements!$A:$A,A254,Changements!$C:$C,B254),""))</f>
        <v/>
      </c>
      <c r="J254" s="11" t="str">
        <f t="shared" si="16"/>
        <v/>
      </c>
      <c r="K254" s="17">
        <f t="shared" si="17"/>
        <v>0</v>
      </c>
      <c r="L254" s="17">
        <f>IF(B254="",0,COUNTIFS(Changements!$A:$A,A254,Changements!$D:$D,B254)+IF(E254="Oui",1,0))</f>
        <v>0</v>
      </c>
      <c r="M254" s="17">
        <f>IF(B254="",0,COUNTIFS(Changements!$A:$A,A254,Changements!$C:$C,B254))</f>
        <v>0</v>
      </c>
      <c r="N254" s="17">
        <f>IF(B254="",0,SUMIFS(Changements!$B:$B,Changements!$A:$A,A254,Changements!$D:$D,B254))</f>
        <v>0</v>
      </c>
      <c r="O254" s="17">
        <f>IF(B254="",0,SUMIFS(Changements!$B:$B,Changements!$A:$A,A254,Changements!$C:$C,B254)+IF(L254&gt;M254,IFERROR(INDEX(Matchs!$F$4:$F$31,MATCH(A254,Matchs!$A$4:$A$31,0)),0),0))</f>
        <v>0</v>
      </c>
      <c r="P254" s="17">
        <f t="shared" si="18"/>
        <v>0</v>
      </c>
      <c r="Q254" s="17">
        <f t="shared" si="19"/>
        <v>0</v>
      </c>
    </row>
    <row r="255" spans="1:17" ht="15" customHeight="1" x14ac:dyDescent="0.25">
      <c r="A255" s="11">
        <f t="shared" si="15"/>
        <v>11</v>
      </c>
      <c r="B255" s="11" t="str">
        <f>INDEX('Effectif Saison'!$E$4:$E$22,12)</f>
        <v>Basile STANGRET</v>
      </c>
      <c r="C255" s="10"/>
      <c r="D255" s="10"/>
      <c r="E255" s="10"/>
      <c r="F255" s="19" t="str">
        <f>IF(B255="","",IF(AND(E255="Oui",COUNTIFS(Changements!$A:$A,A255,Changements!$D:$D,B255)&gt;0),"⚠ Titulaire+entrée ?",IF(ABS(L255-M255)&gt;1,"⚠ vérifier","")))</f>
        <v/>
      </c>
      <c r="G255" s="11" t="str">
        <f>IF(B255="","",IFERROR(INDEX('Effectif Saison'!$D$4:$D$51,MATCH(B255,'Effectif Saison'!$E$4:$E$51,0)),""))</f>
        <v>Équipe 1</v>
      </c>
      <c r="H255" s="19" t="str">
        <f>IF(L255=0,"",IF(E255="Oui",0,IFERROR(_xlfn.MINIFS(Changements!$B:$B,Changements!$A:$A,A255,Changements!$D:$D,B255),"")))</f>
        <v/>
      </c>
      <c r="I255" s="19" t="str">
        <f>IF(M255=0,"",IFERROR(_xlfn.MAXIFS(Changements!$B:$B,Changements!$A:$A,A255,Changements!$C:$C,B255),""))</f>
        <v/>
      </c>
      <c r="J255" s="11" t="str">
        <f t="shared" si="16"/>
        <v/>
      </c>
      <c r="K255" s="17">
        <f t="shared" si="17"/>
        <v>0</v>
      </c>
      <c r="L255" s="17">
        <f>IF(B255="",0,COUNTIFS(Changements!$A:$A,A255,Changements!$D:$D,B255)+IF(E255="Oui",1,0))</f>
        <v>0</v>
      </c>
      <c r="M255" s="17">
        <f>IF(B255="",0,COUNTIFS(Changements!$A:$A,A255,Changements!$C:$C,B255))</f>
        <v>0</v>
      </c>
      <c r="N255" s="17">
        <f>IF(B255="",0,SUMIFS(Changements!$B:$B,Changements!$A:$A,A255,Changements!$D:$D,B255))</f>
        <v>0</v>
      </c>
      <c r="O255" s="17">
        <f>IF(B255="",0,SUMIFS(Changements!$B:$B,Changements!$A:$A,A255,Changements!$C:$C,B255)+IF(L255&gt;M255,IFERROR(INDEX(Matchs!$F$4:$F$31,MATCH(A255,Matchs!$A$4:$A$31,0)),0),0))</f>
        <v>0</v>
      </c>
      <c r="P255" s="17">
        <f t="shared" si="18"/>
        <v>0</v>
      </c>
      <c r="Q255" s="17">
        <f t="shared" si="19"/>
        <v>0</v>
      </c>
    </row>
    <row r="256" spans="1:17" ht="15" customHeight="1" x14ac:dyDescent="0.25">
      <c r="A256" s="11">
        <f t="shared" si="15"/>
        <v>11</v>
      </c>
      <c r="B256" s="11" t="str">
        <f>INDEX('Effectif Saison'!$E$4:$E$22,13)</f>
        <v>Maxence KELLER</v>
      </c>
      <c r="C256" s="10"/>
      <c r="D256" s="10"/>
      <c r="E256" s="10"/>
      <c r="F256" s="19" t="str">
        <f>IF(B256="","",IF(AND(E256="Oui",COUNTIFS(Changements!$A:$A,A256,Changements!$D:$D,B256)&gt;0),"⚠ Titulaire+entrée ?",IF(ABS(L256-M256)&gt;1,"⚠ vérifier","")))</f>
        <v/>
      </c>
      <c r="G256" s="11" t="str">
        <f>IF(B256="","",IFERROR(INDEX('Effectif Saison'!$D$4:$D$51,MATCH(B256,'Effectif Saison'!$E$4:$E$51,0)),""))</f>
        <v>Équipe 1</v>
      </c>
      <c r="H256" s="19" t="str">
        <f>IF(L256=0,"",IF(E256="Oui",0,IFERROR(_xlfn.MINIFS(Changements!$B:$B,Changements!$A:$A,A256,Changements!$D:$D,B256),"")))</f>
        <v/>
      </c>
      <c r="I256" s="19" t="str">
        <f>IF(M256=0,"",IFERROR(_xlfn.MAXIFS(Changements!$B:$B,Changements!$A:$A,A256,Changements!$C:$C,B256),""))</f>
        <v/>
      </c>
      <c r="J256" s="11" t="str">
        <f t="shared" si="16"/>
        <v/>
      </c>
      <c r="K256" s="17">
        <f t="shared" si="17"/>
        <v>0</v>
      </c>
      <c r="L256" s="17">
        <f>IF(B256="",0,COUNTIFS(Changements!$A:$A,A256,Changements!$D:$D,B256)+IF(E256="Oui",1,0))</f>
        <v>0</v>
      </c>
      <c r="M256" s="17">
        <f>IF(B256="",0,COUNTIFS(Changements!$A:$A,A256,Changements!$C:$C,B256))</f>
        <v>0</v>
      </c>
      <c r="N256" s="17">
        <f>IF(B256="",0,SUMIFS(Changements!$B:$B,Changements!$A:$A,A256,Changements!$D:$D,B256))</f>
        <v>0</v>
      </c>
      <c r="O256" s="17">
        <f>IF(B256="",0,SUMIFS(Changements!$B:$B,Changements!$A:$A,A256,Changements!$C:$C,B256)+IF(L256&gt;M256,IFERROR(INDEX(Matchs!$F$4:$F$31,MATCH(A256,Matchs!$A$4:$A$31,0)),0),0))</f>
        <v>0</v>
      </c>
      <c r="P256" s="17">
        <f t="shared" si="18"/>
        <v>0</v>
      </c>
      <c r="Q256" s="17">
        <f t="shared" si="19"/>
        <v>0</v>
      </c>
    </row>
    <row r="257" spans="1:17" ht="15" customHeight="1" x14ac:dyDescent="0.25">
      <c r="A257" s="11">
        <f t="shared" si="15"/>
        <v>11</v>
      </c>
      <c r="B257" s="11" t="str">
        <f>INDEX('Effectif Saison'!$E$4:$E$22,14)</f>
        <v>Evan SCHMITT</v>
      </c>
      <c r="C257" s="10"/>
      <c r="D257" s="10"/>
      <c r="E257" s="10"/>
      <c r="F257" s="19" t="str">
        <f>IF(B257="","",IF(AND(E257="Oui",COUNTIFS(Changements!$A:$A,A257,Changements!$D:$D,B257)&gt;0),"⚠ Titulaire+entrée ?",IF(ABS(L257-M257)&gt;1,"⚠ vérifier","")))</f>
        <v/>
      </c>
      <c r="G257" s="11" t="str">
        <f>IF(B257="","",IFERROR(INDEX('Effectif Saison'!$D$4:$D$51,MATCH(B257,'Effectif Saison'!$E$4:$E$51,0)),""))</f>
        <v>Équipe 1</v>
      </c>
      <c r="H257" s="19" t="str">
        <f>IF(L257=0,"",IF(E257="Oui",0,IFERROR(_xlfn.MINIFS(Changements!$B:$B,Changements!$A:$A,A257,Changements!$D:$D,B257),"")))</f>
        <v/>
      </c>
      <c r="I257" s="19" t="str">
        <f>IF(M257=0,"",IFERROR(_xlfn.MAXIFS(Changements!$B:$B,Changements!$A:$A,A257,Changements!$C:$C,B257),""))</f>
        <v/>
      </c>
      <c r="J257" s="11" t="str">
        <f t="shared" si="16"/>
        <v/>
      </c>
      <c r="K257" s="17">
        <f t="shared" si="17"/>
        <v>0</v>
      </c>
      <c r="L257" s="17">
        <f>IF(B257="",0,COUNTIFS(Changements!$A:$A,A257,Changements!$D:$D,B257)+IF(E257="Oui",1,0))</f>
        <v>0</v>
      </c>
      <c r="M257" s="17">
        <f>IF(B257="",0,COUNTIFS(Changements!$A:$A,A257,Changements!$C:$C,B257))</f>
        <v>0</v>
      </c>
      <c r="N257" s="17">
        <f>IF(B257="",0,SUMIFS(Changements!$B:$B,Changements!$A:$A,A257,Changements!$D:$D,B257))</f>
        <v>0</v>
      </c>
      <c r="O257" s="17">
        <f>IF(B257="",0,SUMIFS(Changements!$B:$B,Changements!$A:$A,A257,Changements!$C:$C,B257)+IF(L257&gt;M257,IFERROR(INDEX(Matchs!$F$4:$F$31,MATCH(A257,Matchs!$A$4:$A$31,0)),0),0))</f>
        <v>0</v>
      </c>
      <c r="P257" s="17">
        <f t="shared" si="18"/>
        <v>0</v>
      </c>
      <c r="Q257" s="17">
        <f t="shared" si="19"/>
        <v>0</v>
      </c>
    </row>
    <row r="258" spans="1:17" ht="15" customHeight="1" x14ac:dyDescent="0.25">
      <c r="A258" s="11">
        <f t="shared" si="15"/>
        <v>11</v>
      </c>
      <c r="B258" s="11" t="str">
        <f>INDEX('Effectif Saison'!$E$4:$E$22,15)</f>
        <v>William SIMON</v>
      </c>
      <c r="C258" s="10"/>
      <c r="D258" s="10"/>
      <c r="E258" s="10"/>
      <c r="F258" s="19" t="str">
        <f>IF(B258="","",IF(AND(E258="Oui",COUNTIFS(Changements!$A:$A,A258,Changements!$D:$D,B258)&gt;0),"⚠ Titulaire+entrée ?",IF(ABS(L258-M258)&gt;1,"⚠ vérifier","")))</f>
        <v/>
      </c>
      <c r="G258" s="11" t="str">
        <f>IF(B258="","",IFERROR(INDEX('Effectif Saison'!$D$4:$D$51,MATCH(B258,'Effectif Saison'!$E$4:$E$51,0)),""))</f>
        <v>Équipe 1</v>
      </c>
      <c r="H258" s="19" t="str">
        <f>IF(L258=0,"",IF(E258="Oui",0,IFERROR(_xlfn.MINIFS(Changements!$B:$B,Changements!$A:$A,A258,Changements!$D:$D,B258),"")))</f>
        <v/>
      </c>
      <c r="I258" s="19" t="str">
        <f>IF(M258=0,"",IFERROR(_xlfn.MAXIFS(Changements!$B:$B,Changements!$A:$A,A258,Changements!$C:$C,B258),""))</f>
        <v/>
      </c>
      <c r="J258" s="11" t="str">
        <f t="shared" si="16"/>
        <v/>
      </c>
      <c r="K258" s="17">
        <f t="shared" si="17"/>
        <v>0</v>
      </c>
      <c r="L258" s="17">
        <f>IF(B258="",0,COUNTIFS(Changements!$A:$A,A258,Changements!$D:$D,B258)+IF(E258="Oui",1,0))</f>
        <v>0</v>
      </c>
      <c r="M258" s="17">
        <f>IF(B258="",0,COUNTIFS(Changements!$A:$A,A258,Changements!$C:$C,B258))</f>
        <v>0</v>
      </c>
      <c r="N258" s="17">
        <f>IF(B258="",0,SUMIFS(Changements!$B:$B,Changements!$A:$A,A258,Changements!$D:$D,B258))</f>
        <v>0</v>
      </c>
      <c r="O258" s="17">
        <f>IF(B258="",0,SUMIFS(Changements!$B:$B,Changements!$A:$A,A258,Changements!$C:$C,B258)+IF(L258&gt;M258,IFERROR(INDEX(Matchs!$F$4:$F$31,MATCH(A258,Matchs!$A$4:$A$31,0)),0),0))</f>
        <v>0</v>
      </c>
      <c r="P258" s="17">
        <f t="shared" si="18"/>
        <v>0</v>
      </c>
      <c r="Q258" s="17">
        <f t="shared" si="19"/>
        <v>0</v>
      </c>
    </row>
    <row r="259" spans="1:17" ht="15" customHeight="1" x14ac:dyDescent="0.25">
      <c r="A259" s="11">
        <f t="shared" si="15"/>
        <v>11</v>
      </c>
      <c r="B259" s="11" t="str">
        <f>INDEX('Effectif Saison'!$E$4:$E$22,16)</f>
        <v>Lenny LEPPER</v>
      </c>
      <c r="C259" s="10"/>
      <c r="D259" s="10"/>
      <c r="E259" s="10"/>
      <c r="F259" s="19" t="str">
        <f>IF(B259="","",IF(AND(E259="Oui",COUNTIFS(Changements!$A:$A,A259,Changements!$D:$D,B259)&gt;0),"⚠ Titulaire+entrée ?",IF(ABS(L259-M259)&gt;1,"⚠ vérifier","")))</f>
        <v/>
      </c>
      <c r="G259" s="11" t="str">
        <f>IF(B259="","",IFERROR(INDEX('Effectif Saison'!$D$4:$D$51,MATCH(B259,'Effectif Saison'!$E$4:$E$51,0)),""))</f>
        <v>Équipe 1</v>
      </c>
      <c r="H259" s="19" t="str">
        <f>IF(L259=0,"",IF(E259="Oui",0,IFERROR(_xlfn.MINIFS(Changements!$B:$B,Changements!$A:$A,A259,Changements!$D:$D,B259),"")))</f>
        <v/>
      </c>
      <c r="I259" s="19" t="str">
        <f>IF(M259=0,"",IFERROR(_xlfn.MAXIFS(Changements!$B:$B,Changements!$A:$A,A259,Changements!$C:$C,B259),""))</f>
        <v/>
      </c>
      <c r="J259" s="11" t="str">
        <f t="shared" si="16"/>
        <v/>
      </c>
      <c r="K259" s="17">
        <f t="shared" si="17"/>
        <v>0</v>
      </c>
      <c r="L259" s="17">
        <f>IF(B259="",0,COUNTIFS(Changements!$A:$A,A259,Changements!$D:$D,B259)+IF(E259="Oui",1,0))</f>
        <v>0</v>
      </c>
      <c r="M259" s="17">
        <f>IF(B259="",0,COUNTIFS(Changements!$A:$A,A259,Changements!$C:$C,B259))</f>
        <v>0</v>
      </c>
      <c r="N259" s="17">
        <f>IF(B259="",0,SUMIFS(Changements!$B:$B,Changements!$A:$A,A259,Changements!$D:$D,B259))</f>
        <v>0</v>
      </c>
      <c r="O259" s="17">
        <f>IF(B259="",0,SUMIFS(Changements!$B:$B,Changements!$A:$A,A259,Changements!$C:$C,B259)+IF(L259&gt;M259,IFERROR(INDEX(Matchs!$F$4:$F$31,MATCH(A259,Matchs!$A$4:$A$31,0)),0),0))</f>
        <v>0</v>
      </c>
      <c r="P259" s="17">
        <f t="shared" si="18"/>
        <v>0</v>
      </c>
      <c r="Q259" s="17">
        <f t="shared" si="19"/>
        <v>0</v>
      </c>
    </row>
    <row r="260" spans="1:17" ht="15" customHeight="1" x14ac:dyDescent="0.25">
      <c r="A260" s="11">
        <f t="shared" ref="A260:A323" si="20">INT((ROW()-4)/24)+1</f>
        <v>11</v>
      </c>
      <c r="B260" s="11" t="str">
        <f>INDEX('Effectif Saison'!$E$4:$E$22,17)</f>
        <v>Malo KELLER</v>
      </c>
      <c r="C260" s="10"/>
      <c r="D260" s="10"/>
      <c r="E260" s="10"/>
      <c r="F260" s="19" t="str">
        <f>IF(B260="","",IF(AND(E260="Oui",COUNTIFS(Changements!$A:$A,A260,Changements!$D:$D,B260)&gt;0),"⚠ Titulaire+entrée ?",IF(ABS(L260-M260)&gt;1,"⚠ vérifier","")))</f>
        <v/>
      </c>
      <c r="G260" s="11" t="str">
        <f>IF(B260="","",IFERROR(INDEX('Effectif Saison'!$D$4:$D$51,MATCH(B260,'Effectif Saison'!$E$4:$E$51,0)),""))</f>
        <v>Équipe 1</v>
      </c>
      <c r="H260" s="19" t="str">
        <f>IF(L260=0,"",IF(E260="Oui",0,IFERROR(_xlfn.MINIFS(Changements!$B:$B,Changements!$A:$A,A260,Changements!$D:$D,B260),"")))</f>
        <v/>
      </c>
      <c r="I260" s="19" t="str">
        <f>IF(M260=0,"",IFERROR(_xlfn.MAXIFS(Changements!$B:$B,Changements!$A:$A,A260,Changements!$C:$C,B260),""))</f>
        <v/>
      </c>
      <c r="J260" s="11" t="str">
        <f t="shared" ref="J260:J323" si="21">IF(OR(B260="",C260&lt;&gt;"Oui"),"",O260-N260)</f>
        <v/>
      </c>
      <c r="K260" s="17">
        <f t="shared" ref="K260:K323" si="22">IF(AND(B260&lt;&gt;"",ISNUMBER(J260)),1,0)</f>
        <v>0</v>
      </c>
      <c r="L260" s="17">
        <f>IF(B260="",0,COUNTIFS(Changements!$A:$A,A260,Changements!$D:$D,B260)+IF(E260="Oui",1,0))</f>
        <v>0</v>
      </c>
      <c r="M260" s="17">
        <f>IF(B260="",0,COUNTIFS(Changements!$A:$A,A260,Changements!$C:$C,B260))</f>
        <v>0</v>
      </c>
      <c r="N260" s="17">
        <f>IF(B260="",0,SUMIFS(Changements!$B:$B,Changements!$A:$A,A260,Changements!$D:$D,B260))</f>
        <v>0</v>
      </c>
      <c r="O260" s="17">
        <f>IF(B260="",0,SUMIFS(Changements!$B:$B,Changements!$A:$A,A260,Changements!$C:$C,B260)+IF(L260&gt;M260,IFERROR(INDEX(Matchs!$F$4:$F$31,MATCH(A260,Matchs!$A$4:$A$31,0)),0),0))</f>
        <v>0</v>
      </c>
      <c r="P260" s="17">
        <f t="shared" ref="P260:P323" si="23">IF(AND(B260&lt;&gt;"",C260="Oui"),1,0)</f>
        <v>0</v>
      </c>
      <c r="Q260" s="17">
        <f t="shared" ref="Q260:Q323" si="24">IF(AND(B260&lt;&gt;"",E260="Oui"),1,0)</f>
        <v>0</v>
      </c>
    </row>
    <row r="261" spans="1:17" ht="15" customHeight="1" x14ac:dyDescent="0.25">
      <c r="A261" s="11">
        <f t="shared" si="20"/>
        <v>11</v>
      </c>
      <c r="B261" s="11" t="str">
        <f>INDEX('Effectif Saison'!$E$4:$E$22,18)</f>
        <v>Tom SCHILLER</v>
      </c>
      <c r="C261" s="10"/>
      <c r="D261" s="10"/>
      <c r="E261" s="10"/>
      <c r="F261" s="19" t="str">
        <f>IF(B261="","",IF(AND(E261="Oui",COUNTIFS(Changements!$A:$A,A261,Changements!$D:$D,B261)&gt;0),"⚠ Titulaire+entrée ?",IF(ABS(L261-M261)&gt;1,"⚠ vérifier","")))</f>
        <v/>
      </c>
      <c r="G261" s="11" t="str">
        <f>IF(B261="","",IFERROR(INDEX('Effectif Saison'!$D$4:$D$51,MATCH(B261,'Effectif Saison'!$E$4:$E$51,0)),""))</f>
        <v>Équipe 1</v>
      </c>
      <c r="H261" s="19" t="str">
        <f>IF(L261=0,"",IF(E261="Oui",0,IFERROR(_xlfn.MINIFS(Changements!$B:$B,Changements!$A:$A,A261,Changements!$D:$D,B261),"")))</f>
        <v/>
      </c>
      <c r="I261" s="19" t="str">
        <f>IF(M261=0,"",IFERROR(_xlfn.MAXIFS(Changements!$B:$B,Changements!$A:$A,A261,Changements!$C:$C,B261),""))</f>
        <v/>
      </c>
      <c r="J261" s="11" t="str">
        <f t="shared" si="21"/>
        <v/>
      </c>
      <c r="K261" s="17">
        <f t="shared" si="22"/>
        <v>0</v>
      </c>
      <c r="L261" s="17">
        <f>IF(B261="",0,COUNTIFS(Changements!$A:$A,A261,Changements!$D:$D,B261)+IF(E261="Oui",1,0))</f>
        <v>0</v>
      </c>
      <c r="M261" s="17">
        <f>IF(B261="",0,COUNTIFS(Changements!$A:$A,A261,Changements!$C:$C,B261))</f>
        <v>0</v>
      </c>
      <c r="N261" s="17">
        <f>IF(B261="",0,SUMIFS(Changements!$B:$B,Changements!$A:$A,A261,Changements!$D:$D,B261))</f>
        <v>0</v>
      </c>
      <c r="O261" s="17">
        <f>IF(B261="",0,SUMIFS(Changements!$B:$B,Changements!$A:$A,A261,Changements!$C:$C,B261)+IF(L261&gt;M261,IFERROR(INDEX(Matchs!$F$4:$F$31,MATCH(A261,Matchs!$A$4:$A$31,0)),0),0))</f>
        <v>0</v>
      </c>
      <c r="P261" s="17">
        <f t="shared" si="23"/>
        <v>0</v>
      </c>
      <c r="Q261" s="17">
        <f t="shared" si="24"/>
        <v>0</v>
      </c>
    </row>
    <row r="262" spans="1:17" ht="15" customHeight="1" x14ac:dyDescent="0.25">
      <c r="A262" s="11">
        <f t="shared" si="20"/>
        <v>11</v>
      </c>
      <c r="B262" s="11" t="str">
        <f>INDEX('Effectif Saison'!$E$4:$E$22,19)</f>
        <v>Eliot LEIBY</v>
      </c>
      <c r="C262" s="10"/>
      <c r="D262" s="10"/>
      <c r="E262" s="10"/>
      <c r="F262" s="19" t="str">
        <f>IF(B262="","",IF(AND(E262="Oui",COUNTIFS(Changements!$A:$A,A262,Changements!$D:$D,B262)&gt;0),"⚠ Titulaire+entrée ?",IF(ABS(L262-M262)&gt;1,"⚠ vérifier","")))</f>
        <v/>
      </c>
      <c r="G262" s="11" t="str">
        <f>IF(B262="","",IFERROR(INDEX('Effectif Saison'!$D$4:$D$51,MATCH(B262,'Effectif Saison'!$E$4:$E$51,0)),""))</f>
        <v>Équipe 1</v>
      </c>
      <c r="H262" s="19" t="str">
        <f>IF(L262=0,"",IF(E262="Oui",0,IFERROR(_xlfn.MINIFS(Changements!$B:$B,Changements!$A:$A,A262,Changements!$D:$D,B262),"")))</f>
        <v/>
      </c>
      <c r="I262" s="19" t="str">
        <f>IF(M262=0,"",IFERROR(_xlfn.MAXIFS(Changements!$B:$B,Changements!$A:$A,A262,Changements!$C:$C,B262),""))</f>
        <v/>
      </c>
      <c r="J262" s="11" t="str">
        <f t="shared" si="21"/>
        <v/>
      </c>
      <c r="K262" s="17">
        <f t="shared" si="22"/>
        <v>0</v>
      </c>
      <c r="L262" s="17">
        <f>IF(B262="",0,COUNTIFS(Changements!$A:$A,A262,Changements!$D:$D,B262)+IF(E262="Oui",1,0))</f>
        <v>0</v>
      </c>
      <c r="M262" s="17">
        <f>IF(B262="",0,COUNTIFS(Changements!$A:$A,A262,Changements!$C:$C,B262))</f>
        <v>0</v>
      </c>
      <c r="N262" s="17">
        <f>IF(B262="",0,SUMIFS(Changements!$B:$B,Changements!$A:$A,A262,Changements!$D:$D,B262))</f>
        <v>0</v>
      </c>
      <c r="O262" s="17">
        <f>IF(B262="",0,SUMIFS(Changements!$B:$B,Changements!$A:$A,A262,Changements!$C:$C,B262)+IF(L262&gt;M262,IFERROR(INDEX(Matchs!$F$4:$F$31,MATCH(A262,Matchs!$A$4:$A$31,0)),0),0))</f>
        <v>0</v>
      </c>
      <c r="P262" s="17">
        <f t="shared" si="23"/>
        <v>0</v>
      </c>
      <c r="Q262" s="17">
        <f t="shared" si="24"/>
        <v>0</v>
      </c>
    </row>
    <row r="263" spans="1:17" ht="15" customHeight="1" x14ac:dyDescent="0.25">
      <c r="A263" s="11">
        <f t="shared" si="20"/>
        <v>11</v>
      </c>
      <c r="B263" s="10"/>
      <c r="C263" s="10"/>
      <c r="D263" s="10"/>
      <c r="E263" s="10"/>
      <c r="F263" s="19" t="str">
        <f>IF(B263="","",IF(AND(E263="Oui",COUNTIFS(Changements!$A:$A,A263,Changements!$D:$D,B263)&gt;0),"⚠ Titulaire+entrée ?",IF(ABS(L263-M263)&gt;1,"⚠ vérifier","")))</f>
        <v/>
      </c>
      <c r="G263" s="11" t="str">
        <f>IF(B263="","",IFERROR(INDEX('Effectif Saison'!$D$4:$D$51,MATCH(B263,'Effectif Saison'!$E$4:$E$51,0)),""))</f>
        <v/>
      </c>
      <c r="H263" s="19" t="str">
        <f>IF(L263=0,"",IF(E263="Oui",0,IFERROR(_xlfn.MINIFS(Changements!$B:$B,Changements!$A:$A,A263,Changements!$D:$D,B263),"")))</f>
        <v/>
      </c>
      <c r="I263" s="19" t="str">
        <f>IF(M263=0,"",IFERROR(_xlfn.MAXIFS(Changements!$B:$B,Changements!$A:$A,A263,Changements!$C:$C,B263),""))</f>
        <v/>
      </c>
      <c r="J263" s="11" t="str">
        <f t="shared" si="21"/>
        <v/>
      </c>
      <c r="K263" s="17">
        <f t="shared" si="22"/>
        <v>0</v>
      </c>
      <c r="L263" s="17">
        <f>IF(B263="",0,COUNTIFS(Changements!$A:$A,A263,Changements!$D:$D,B263)+IF(E263="Oui",1,0))</f>
        <v>0</v>
      </c>
      <c r="M263" s="17">
        <f>IF(B263="",0,COUNTIFS(Changements!$A:$A,A263,Changements!$C:$C,B263))</f>
        <v>0</v>
      </c>
      <c r="N263" s="17">
        <f>IF(B263="",0,SUMIFS(Changements!$B:$B,Changements!$A:$A,A263,Changements!$D:$D,B263))</f>
        <v>0</v>
      </c>
      <c r="O263" s="17">
        <f>IF(B263="",0,SUMIFS(Changements!$B:$B,Changements!$A:$A,A263,Changements!$C:$C,B263)+IF(L263&gt;M263,IFERROR(INDEX(Matchs!$F$4:$F$31,MATCH(A263,Matchs!$A$4:$A$31,0)),0),0))</f>
        <v>0</v>
      </c>
      <c r="P263" s="17">
        <f t="shared" si="23"/>
        <v>0</v>
      </c>
      <c r="Q263" s="17">
        <f t="shared" si="24"/>
        <v>0</v>
      </c>
    </row>
    <row r="264" spans="1:17" ht="15" customHeight="1" x14ac:dyDescent="0.25">
      <c r="A264" s="11">
        <f t="shared" si="20"/>
        <v>11</v>
      </c>
      <c r="B264" s="10"/>
      <c r="C264" s="10"/>
      <c r="D264" s="10"/>
      <c r="E264" s="10"/>
      <c r="F264" s="19" t="str">
        <f>IF(B264="","",IF(AND(E264="Oui",COUNTIFS(Changements!$A:$A,A264,Changements!$D:$D,B264)&gt;0),"⚠ Titulaire+entrée ?",IF(ABS(L264-M264)&gt;1,"⚠ vérifier","")))</f>
        <v/>
      </c>
      <c r="G264" s="11" t="str">
        <f>IF(B264="","",IFERROR(INDEX('Effectif Saison'!$D$4:$D$51,MATCH(B264,'Effectif Saison'!$E$4:$E$51,0)),""))</f>
        <v/>
      </c>
      <c r="H264" s="19" t="str">
        <f>IF(L264=0,"",IF(E264="Oui",0,IFERROR(_xlfn.MINIFS(Changements!$B:$B,Changements!$A:$A,A264,Changements!$D:$D,B264),"")))</f>
        <v/>
      </c>
      <c r="I264" s="19" t="str">
        <f>IF(M264=0,"",IFERROR(_xlfn.MAXIFS(Changements!$B:$B,Changements!$A:$A,A264,Changements!$C:$C,B264),""))</f>
        <v/>
      </c>
      <c r="J264" s="11" t="str">
        <f t="shared" si="21"/>
        <v/>
      </c>
      <c r="K264" s="17">
        <f t="shared" si="22"/>
        <v>0</v>
      </c>
      <c r="L264" s="17">
        <f>IF(B264="",0,COUNTIFS(Changements!$A:$A,A264,Changements!$D:$D,B264)+IF(E264="Oui",1,0))</f>
        <v>0</v>
      </c>
      <c r="M264" s="17">
        <f>IF(B264="",0,COUNTIFS(Changements!$A:$A,A264,Changements!$C:$C,B264))</f>
        <v>0</v>
      </c>
      <c r="N264" s="17">
        <f>IF(B264="",0,SUMIFS(Changements!$B:$B,Changements!$A:$A,A264,Changements!$D:$D,B264))</f>
        <v>0</v>
      </c>
      <c r="O264" s="17">
        <f>IF(B264="",0,SUMIFS(Changements!$B:$B,Changements!$A:$A,A264,Changements!$C:$C,B264)+IF(L264&gt;M264,IFERROR(INDEX(Matchs!$F$4:$F$31,MATCH(A264,Matchs!$A$4:$A$31,0)),0),0))</f>
        <v>0</v>
      </c>
      <c r="P264" s="17">
        <f t="shared" si="23"/>
        <v>0</v>
      </c>
      <c r="Q264" s="17">
        <f t="shared" si="24"/>
        <v>0</v>
      </c>
    </row>
    <row r="265" spans="1:17" ht="15" customHeight="1" x14ac:dyDescent="0.25">
      <c r="A265" s="11">
        <f t="shared" si="20"/>
        <v>11</v>
      </c>
      <c r="B265" s="10"/>
      <c r="C265" s="10"/>
      <c r="D265" s="10"/>
      <c r="E265" s="10"/>
      <c r="F265" s="19" t="str">
        <f>IF(B265="","",IF(AND(E265="Oui",COUNTIFS(Changements!$A:$A,A265,Changements!$D:$D,B265)&gt;0),"⚠ Titulaire+entrée ?",IF(ABS(L265-M265)&gt;1,"⚠ vérifier","")))</f>
        <v/>
      </c>
      <c r="G265" s="11" t="str">
        <f>IF(B265="","",IFERROR(INDEX('Effectif Saison'!$D$4:$D$51,MATCH(B265,'Effectif Saison'!$E$4:$E$51,0)),""))</f>
        <v/>
      </c>
      <c r="H265" s="19" t="str">
        <f>IF(L265=0,"",IF(E265="Oui",0,IFERROR(_xlfn.MINIFS(Changements!$B:$B,Changements!$A:$A,A265,Changements!$D:$D,B265),"")))</f>
        <v/>
      </c>
      <c r="I265" s="19" t="str">
        <f>IF(M265=0,"",IFERROR(_xlfn.MAXIFS(Changements!$B:$B,Changements!$A:$A,A265,Changements!$C:$C,B265),""))</f>
        <v/>
      </c>
      <c r="J265" s="11" t="str">
        <f t="shared" si="21"/>
        <v/>
      </c>
      <c r="K265" s="17">
        <f t="shared" si="22"/>
        <v>0</v>
      </c>
      <c r="L265" s="17">
        <f>IF(B265="",0,COUNTIFS(Changements!$A:$A,A265,Changements!$D:$D,B265)+IF(E265="Oui",1,0))</f>
        <v>0</v>
      </c>
      <c r="M265" s="17">
        <f>IF(B265="",0,COUNTIFS(Changements!$A:$A,A265,Changements!$C:$C,B265))</f>
        <v>0</v>
      </c>
      <c r="N265" s="17">
        <f>IF(B265="",0,SUMIFS(Changements!$B:$B,Changements!$A:$A,A265,Changements!$D:$D,B265))</f>
        <v>0</v>
      </c>
      <c r="O265" s="17">
        <f>IF(B265="",0,SUMIFS(Changements!$B:$B,Changements!$A:$A,A265,Changements!$C:$C,B265)+IF(L265&gt;M265,IFERROR(INDEX(Matchs!$F$4:$F$31,MATCH(A265,Matchs!$A$4:$A$31,0)),0),0))</f>
        <v>0</v>
      </c>
      <c r="P265" s="17">
        <f t="shared" si="23"/>
        <v>0</v>
      </c>
      <c r="Q265" s="17">
        <f t="shared" si="24"/>
        <v>0</v>
      </c>
    </row>
    <row r="266" spans="1:17" ht="15" customHeight="1" x14ac:dyDescent="0.25">
      <c r="A266" s="11">
        <f t="shared" si="20"/>
        <v>11</v>
      </c>
      <c r="B266" s="10"/>
      <c r="C266" s="10"/>
      <c r="D266" s="10"/>
      <c r="E266" s="10"/>
      <c r="F266" s="19" t="str">
        <f>IF(B266="","",IF(AND(E266="Oui",COUNTIFS(Changements!$A:$A,A266,Changements!$D:$D,B266)&gt;0),"⚠ Titulaire+entrée ?",IF(ABS(L266-M266)&gt;1,"⚠ vérifier","")))</f>
        <v/>
      </c>
      <c r="G266" s="11" t="str">
        <f>IF(B266="","",IFERROR(INDEX('Effectif Saison'!$D$4:$D$51,MATCH(B266,'Effectif Saison'!$E$4:$E$51,0)),""))</f>
        <v/>
      </c>
      <c r="H266" s="19" t="str">
        <f>IF(L266=0,"",IF(E266="Oui",0,IFERROR(_xlfn.MINIFS(Changements!$B:$B,Changements!$A:$A,A266,Changements!$D:$D,B266),"")))</f>
        <v/>
      </c>
      <c r="I266" s="19" t="str">
        <f>IF(M266=0,"",IFERROR(_xlfn.MAXIFS(Changements!$B:$B,Changements!$A:$A,A266,Changements!$C:$C,B266),""))</f>
        <v/>
      </c>
      <c r="J266" s="11" t="str">
        <f t="shared" si="21"/>
        <v/>
      </c>
      <c r="K266" s="17">
        <f t="shared" si="22"/>
        <v>0</v>
      </c>
      <c r="L266" s="17">
        <f>IF(B266="",0,COUNTIFS(Changements!$A:$A,A266,Changements!$D:$D,B266)+IF(E266="Oui",1,0))</f>
        <v>0</v>
      </c>
      <c r="M266" s="17">
        <f>IF(B266="",0,COUNTIFS(Changements!$A:$A,A266,Changements!$C:$C,B266))</f>
        <v>0</v>
      </c>
      <c r="N266" s="17">
        <f>IF(B266="",0,SUMIFS(Changements!$B:$B,Changements!$A:$A,A266,Changements!$D:$D,B266))</f>
        <v>0</v>
      </c>
      <c r="O266" s="17">
        <f>IF(B266="",0,SUMIFS(Changements!$B:$B,Changements!$A:$A,A266,Changements!$C:$C,B266)+IF(L266&gt;M266,IFERROR(INDEX(Matchs!$F$4:$F$31,MATCH(A266,Matchs!$A$4:$A$31,0)),0),0))</f>
        <v>0</v>
      </c>
      <c r="P266" s="17">
        <f t="shared" si="23"/>
        <v>0</v>
      </c>
      <c r="Q266" s="17">
        <f t="shared" si="24"/>
        <v>0</v>
      </c>
    </row>
    <row r="267" spans="1:17" ht="15" customHeight="1" x14ac:dyDescent="0.25">
      <c r="A267" s="11">
        <f t="shared" si="20"/>
        <v>11</v>
      </c>
      <c r="B267" s="10"/>
      <c r="C267" s="10"/>
      <c r="D267" s="10"/>
      <c r="E267" s="10"/>
      <c r="F267" s="19" t="str">
        <f>IF(B267="","",IF(AND(E267="Oui",COUNTIFS(Changements!$A:$A,A267,Changements!$D:$D,B267)&gt;0),"⚠ Titulaire+entrée ?",IF(ABS(L267-M267)&gt;1,"⚠ vérifier","")))</f>
        <v/>
      </c>
      <c r="G267" s="11" t="str">
        <f>IF(B267="","",IFERROR(INDEX('Effectif Saison'!$D$4:$D$51,MATCH(B267,'Effectif Saison'!$E$4:$E$51,0)),""))</f>
        <v/>
      </c>
      <c r="H267" s="19" t="str">
        <f>IF(L267=0,"",IF(E267="Oui",0,IFERROR(_xlfn.MINIFS(Changements!$B:$B,Changements!$A:$A,A267,Changements!$D:$D,B267),"")))</f>
        <v/>
      </c>
      <c r="I267" s="19" t="str">
        <f>IF(M267=0,"",IFERROR(_xlfn.MAXIFS(Changements!$B:$B,Changements!$A:$A,A267,Changements!$C:$C,B267),""))</f>
        <v/>
      </c>
      <c r="J267" s="11" t="str">
        <f t="shared" si="21"/>
        <v/>
      </c>
      <c r="K267" s="17">
        <f t="shared" si="22"/>
        <v>0</v>
      </c>
      <c r="L267" s="17">
        <f>IF(B267="",0,COUNTIFS(Changements!$A:$A,A267,Changements!$D:$D,B267)+IF(E267="Oui",1,0))</f>
        <v>0</v>
      </c>
      <c r="M267" s="17">
        <f>IF(B267="",0,COUNTIFS(Changements!$A:$A,A267,Changements!$C:$C,B267))</f>
        <v>0</v>
      </c>
      <c r="N267" s="17">
        <f>IF(B267="",0,SUMIFS(Changements!$B:$B,Changements!$A:$A,A267,Changements!$D:$D,B267))</f>
        <v>0</v>
      </c>
      <c r="O267" s="17">
        <f>IF(B267="",0,SUMIFS(Changements!$B:$B,Changements!$A:$A,A267,Changements!$C:$C,B267)+IF(L267&gt;M267,IFERROR(INDEX(Matchs!$F$4:$F$31,MATCH(A267,Matchs!$A$4:$A$31,0)),0),0))</f>
        <v>0</v>
      </c>
      <c r="P267" s="17">
        <f t="shared" si="23"/>
        <v>0</v>
      </c>
      <c r="Q267" s="17">
        <f t="shared" si="24"/>
        <v>0</v>
      </c>
    </row>
    <row r="268" spans="1:17" ht="15" customHeight="1" x14ac:dyDescent="0.25">
      <c r="A268" s="11">
        <f t="shared" si="20"/>
        <v>12</v>
      </c>
      <c r="B268" s="11" t="str">
        <f>INDEX('Effectif Saison'!$E$4:$E$22,1)</f>
        <v>Alan MICHON</v>
      </c>
      <c r="C268" s="10"/>
      <c r="D268" s="10"/>
      <c r="E268" s="10"/>
      <c r="F268" s="19" t="str">
        <f>IF(B268="","",IF(AND(E268="Oui",COUNTIFS(Changements!$A:$A,A268,Changements!$D:$D,B268)&gt;0),"⚠ Titulaire+entrée ?",IF(ABS(L268-M268)&gt;1,"⚠ vérifier","")))</f>
        <v/>
      </c>
      <c r="G268" s="11" t="str">
        <f>IF(B268="","",IFERROR(INDEX('Effectif Saison'!$D$4:$D$51,MATCH(B268,'Effectif Saison'!$E$4:$E$51,0)),""))</f>
        <v>Équipe 1</v>
      </c>
      <c r="H268" s="19" t="str">
        <f>IF(L268=0,"",IF(E268="Oui",0,IFERROR(_xlfn.MINIFS(Changements!$B:$B,Changements!$A:$A,A268,Changements!$D:$D,B268),"")))</f>
        <v/>
      </c>
      <c r="I268" s="19" t="str">
        <f>IF(M268=0,"",IFERROR(_xlfn.MAXIFS(Changements!$B:$B,Changements!$A:$A,A268,Changements!$C:$C,B268),""))</f>
        <v/>
      </c>
      <c r="J268" s="11" t="str">
        <f t="shared" si="21"/>
        <v/>
      </c>
      <c r="K268" s="17">
        <f t="shared" si="22"/>
        <v>0</v>
      </c>
      <c r="L268" s="17">
        <f>IF(B268="",0,COUNTIFS(Changements!$A:$A,A268,Changements!$D:$D,B268)+IF(E268="Oui",1,0))</f>
        <v>0</v>
      </c>
      <c r="M268" s="17">
        <f>IF(B268="",0,COUNTIFS(Changements!$A:$A,A268,Changements!$C:$C,B268))</f>
        <v>0</v>
      </c>
      <c r="N268" s="17">
        <f>IF(B268="",0,SUMIFS(Changements!$B:$B,Changements!$A:$A,A268,Changements!$D:$D,B268))</f>
        <v>0</v>
      </c>
      <c r="O268" s="17">
        <f>IF(B268="",0,SUMIFS(Changements!$B:$B,Changements!$A:$A,A268,Changements!$C:$C,B268)+IF(L268&gt;M268,IFERROR(INDEX(Matchs!$F$4:$F$31,MATCH(A268,Matchs!$A$4:$A$31,0)),0),0))</f>
        <v>0</v>
      </c>
      <c r="P268" s="17">
        <f t="shared" si="23"/>
        <v>0</v>
      </c>
      <c r="Q268" s="17">
        <f t="shared" si="24"/>
        <v>0</v>
      </c>
    </row>
    <row r="269" spans="1:17" ht="15" customHeight="1" x14ac:dyDescent="0.25">
      <c r="A269" s="11">
        <f t="shared" si="20"/>
        <v>12</v>
      </c>
      <c r="B269" s="11" t="str">
        <f>INDEX('Effectif Saison'!$E$4:$E$22,2)</f>
        <v>Jean BRUNTZ</v>
      </c>
      <c r="C269" s="10"/>
      <c r="D269" s="10"/>
      <c r="E269" s="10"/>
      <c r="F269" s="19" t="str">
        <f>IF(B269="","",IF(AND(E269="Oui",COUNTIFS(Changements!$A:$A,A269,Changements!$D:$D,B269)&gt;0),"⚠ Titulaire+entrée ?",IF(ABS(L269-M269)&gt;1,"⚠ vérifier","")))</f>
        <v/>
      </c>
      <c r="G269" s="11" t="str">
        <f>IF(B269="","",IFERROR(INDEX('Effectif Saison'!$D$4:$D$51,MATCH(B269,'Effectif Saison'!$E$4:$E$51,0)),""))</f>
        <v>Équipe 1</v>
      </c>
      <c r="H269" s="19" t="str">
        <f>IF(L269=0,"",IF(E269="Oui",0,IFERROR(_xlfn.MINIFS(Changements!$B:$B,Changements!$A:$A,A269,Changements!$D:$D,B269),"")))</f>
        <v/>
      </c>
      <c r="I269" s="19" t="str">
        <f>IF(M269=0,"",IFERROR(_xlfn.MAXIFS(Changements!$B:$B,Changements!$A:$A,A269,Changements!$C:$C,B269),""))</f>
        <v/>
      </c>
      <c r="J269" s="11" t="str">
        <f t="shared" si="21"/>
        <v/>
      </c>
      <c r="K269" s="17">
        <f t="shared" si="22"/>
        <v>0</v>
      </c>
      <c r="L269" s="17">
        <f>IF(B269="",0,COUNTIFS(Changements!$A:$A,A269,Changements!$D:$D,B269)+IF(E269="Oui",1,0))</f>
        <v>0</v>
      </c>
      <c r="M269" s="17">
        <f>IF(B269="",0,COUNTIFS(Changements!$A:$A,A269,Changements!$C:$C,B269))</f>
        <v>0</v>
      </c>
      <c r="N269" s="17">
        <f>IF(B269="",0,SUMIFS(Changements!$B:$B,Changements!$A:$A,A269,Changements!$D:$D,B269))</f>
        <v>0</v>
      </c>
      <c r="O269" s="17">
        <f>IF(B269="",0,SUMIFS(Changements!$B:$B,Changements!$A:$A,A269,Changements!$C:$C,B269)+IF(L269&gt;M269,IFERROR(INDEX(Matchs!$F$4:$F$31,MATCH(A269,Matchs!$A$4:$A$31,0)),0),0))</f>
        <v>0</v>
      </c>
      <c r="P269" s="17">
        <f t="shared" si="23"/>
        <v>0</v>
      </c>
      <c r="Q269" s="17">
        <f t="shared" si="24"/>
        <v>0</v>
      </c>
    </row>
    <row r="270" spans="1:17" ht="15" customHeight="1" x14ac:dyDescent="0.25">
      <c r="A270" s="11">
        <f t="shared" si="20"/>
        <v>12</v>
      </c>
      <c r="B270" s="11" t="str">
        <f>INDEX('Effectif Saison'!$E$4:$E$22,3)</f>
        <v>Marouane SBK</v>
      </c>
      <c r="C270" s="10"/>
      <c r="D270" s="10"/>
      <c r="E270" s="10"/>
      <c r="F270" s="19" t="str">
        <f>IF(B270="","",IF(AND(E270="Oui",COUNTIFS(Changements!$A:$A,A270,Changements!$D:$D,B270)&gt;0),"⚠ Titulaire+entrée ?",IF(ABS(L270-M270)&gt;1,"⚠ vérifier","")))</f>
        <v/>
      </c>
      <c r="G270" s="11" t="str">
        <f>IF(B270="","",IFERROR(INDEX('Effectif Saison'!$D$4:$D$51,MATCH(B270,'Effectif Saison'!$E$4:$E$51,0)),""))</f>
        <v>Équipe 1</v>
      </c>
      <c r="H270" s="19" t="str">
        <f>IF(L270=0,"",IF(E270="Oui",0,IFERROR(_xlfn.MINIFS(Changements!$B:$B,Changements!$A:$A,A270,Changements!$D:$D,B270),"")))</f>
        <v/>
      </c>
      <c r="I270" s="19" t="str">
        <f>IF(M270=0,"",IFERROR(_xlfn.MAXIFS(Changements!$B:$B,Changements!$A:$A,A270,Changements!$C:$C,B270),""))</f>
        <v/>
      </c>
      <c r="J270" s="11" t="str">
        <f t="shared" si="21"/>
        <v/>
      </c>
      <c r="K270" s="17">
        <f t="shared" si="22"/>
        <v>0</v>
      </c>
      <c r="L270" s="17">
        <f>IF(B270="",0,COUNTIFS(Changements!$A:$A,A270,Changements!$D:$D,B270)+IF(E270="Oui",1,0))</f>
        <v>0</v>
      </c>
      <c r="M270" s="17">
        <f>IF(B270="",0,COUNTIFS(Changements!$A:$A,A270,Changements!$C:$C,B270))</f>
        <v>0</v>
      </c>
      <c r="N270" s="17">
        <f>IF(B270="",0,SUMIFS(Changements!$B:$B,Changements!$A:$A,A270,Changements!$D:$D,B270))</f>
        <v>0</v>
      </c>
      <c r="O270" s="17">
        <f>IF(B270="",0,SUMIFS(Changements!$B:$B,Changements!$A:$A,A270,Changements!$C:$C,B270)+IF(L270&gt;M270,IFERROR(INDEX(Matchs!$F$4:$F$31,MATCH(A270,Matchs!$A$4:$A$31,0)),0),0))</f>
        <v>0</v>
      </c>
      <c r="P270" s="17">
        <f t="shared" si="23"/>
        <v>0</v>
      </c>
      <c r="Q270" s="17">
        <f t="shared" si="24"/>
        <v>0</v>
      </c>
    </row>
    <row r="271" spans="1:17" ht="15" customHeight="1" x14ac:dyDescent="0.25">
      <c r="A271" s="11">
        <f t="shared" si="20"/>
        <v>12</v>
      </c>
      <c r="B271" s="11" t="str">
        <f>INDEX('Effectif Saison'!$E$4:$E$22,4)</f>
        <v>Noé BIHL</v>
      </c>
      <c r="C271" s="10"/>
      <c r="D271" s="10"/>
      <c r="E271" s="10"/>
      <c r="F271" s="19" t="str">
        <f>IF(B271="","",IF(AND(E271="Oui",COUNTIFS(Changements!$A:$A,A271,Changements!$D:$D,B271)&gt;0),"⚠ Titulaire+entrée ?",IF(ABS(L271-M271)&gt;1,"⚠ vérifier","")))</f>
        <v/>
      </c>
      <c r="G271" s="11" t="str">
        <f>IF(B271="","",IFERROR(INDEX('Effectif Saison'!$D$4:$D$51,MATCH(B271,'Effectif Saison'!$E$4:$E$51,0)),""))</f>
        <v>Équipe 1</v>
      </c>
      <c r="H271" s="19" t="str">
        <f>IF(L271=0,"",IF(E271="Oui",0,IFERROR(_xlfn.MINIFS(Changements!$B:$B,Changements!$A:$A,A271,Changements!$D:$D,B271),"")))</f>
        <v/>
      </c>
      <c r="I271" s="19" t="str">
        <f>IF(M271=0,"",IFERROR(_xlfn.MAXIFS(Changements!$B:$B,Changements!$A:$A,A271,Changements!$C:$C,B271),""))</f>
        <v/>
      </c>
      <c r="J271" s="11" t="str">
        <f t="shared" si="21"/>
        <v/>
      </c>
      <c r="K271" s="17">
        <f t="shared" si="22"/>
        <v>0</v>
      </c>
      <c r="L271" s="17">
        <f>IF(B271="",0,COUNTIFS(Changements!$A:$A,A271,Changements!$D:$D,B271)+IF(E271="Oui",1,0))</f>
        <v>0</v>
      </c>
      <c r="M271" s="17">
        <f>IF(B271="",0,COUNTIFS(Changements!$A:$A,A271,Changements!$C:$C,B271))</f>
        <v>0</v>
      </c>
      <c r="N271" s="17">
        <f>IF(B271="",0,SUMIFS(Changements!$B:$B,Changements!$A:$A,A271,Changements!$D:$D,B271))</f>
        <v>0</v>
      </c>
      <c r="O271" s="17">
        <f>IF(B271="",0,SUMIFS(Changements!$B:$B,Changements!$A:$A,A271,Changements!$C:$C,B271)+IF(L271&gt;M271,IFERROR(INDEX(Matchs!$F$4:$F$31,MATCH(A271,Matchs!$A$4:$A$31,0)),0),0))</f>
        <v>0</v>
      </c>
      <c r="P271" s="17">
        <f t="shared" si="23"/>
        <v>0</v>
      </c>
      <c r="Q271" s="17">
        <f t="shared" si="24"/>
        <v>0</v>
      </c>
    </row>
    <row r="272" spans="1:17" ht="15" customHeight="1" x14ac:dyDescent="0.25">
      <c r="A272" s="11">
        <f t="shared" si="20"/>
        <v>12</v>
      </c>
      <c r="B272" s="11" t="str">
        <f>INDEX('Effectif Saison'!$E$4:$E$22,5)</f>
        <v>Luca COLAIANNI</v>
      </c>
      <c r="C272" s="10"/>
      <c r="D272" s="10"/>
      <c r="E272" s="10"/>
      <c r="F272" s="19" t="str">
        <f>IF(B272="","",IF(AND(E272="Oui",COUNTIFS(Changements!$A:$A,A272,Changements!$D:$D,B272)&gt;0),"⚠ Titulaire+entrée ?",IF(ABS(L272-M272)&gt;1,"⚠ vérifier","")))</f>
        <v/>
      </c>
      <c r="G272" s="11" t="str">
        <f>IF(B272="","",IFERROR(INDEX('Effectif Saison'!$D$4:$D$51,MATCH(B272,'Effectif Saison'!$E$4:$E$51,0)),""))</f>
        <v>Équipe 1</v>
      </c>
      <c r="H272" s="19" t="str">
        <f>IF(L272=0,"",IF(E272="Oui",0,IFERROR(_xlfn.MINIFS(Changements!$B:$B,Changements!$A:$A,A272,Changements!$D:$D,B272),"")))</f>
        <v/>
      </c>
      <c r="I272" s="19" t="str">
        <f>IF(M272=0,"",IFERROR(_xlfn.MAXIFS(Changements!$B:$B,Changements!$A:$A,A272,Changements!$C:$C,B272),""))</f>
        <v/>
      </c>
      <c r="J272" s="11" t="str">
        <f t="shared" si="21"/>
        <v/>
      </c>
      <c r="K272" s="17">
        <f t="shared" si="22"/>
        <v>0</v>
      </c>
      <c r="L272" s="17">
        <f>IF(B272="",0,COUNTIFS(Changements!$A:$A,A272,Changements!$D:$D,B272)+IF(E272="Oui",1,0))</f>
        <v>0</v>
      </c>
      <c r="M272" s="17">
        <f>IF(B272="",0,COUNTIFS(Changements!$A:$A,A272,Changements!$C:$C,B272))</f>
        <v>0</v>
      </c>
      <c r="N272" s="17">
        <f>IF(B272="",0,SUMIFS(Changements!$B:$B,Changements!$A:$A,A272,Changements!$D:$D,B272))</f>
        <v>0</v>
      </c>
      <c r="O272" s="17">
        <f>IF(B272="",0,SUMIFS(Changements!$B:$B,Changements!$A:$A,A272,Changements!$C:$C,B272)+IF(L272&gt;M272,IFERROR(INDEX(Matchs!$F$4:$F$31,MATCH(A272,Matchs!$A$4:$A$31,0)),0),0))</f>
        <v>0</v>
      </c>
      <c r="P272" s="17">
        <f t="shared" si="23"/>
        <v>0</v>
      </c>
      <c r="Q272" s="17">
        <f t="shared" si="24"/>
        <v>0</v>
      </c>
    </row>
    <row r="273" spans="1:17" ht="15" customHeight="1" x14ac:dyDescent="0.25">
      <c r="A273" s="11">
        <f t="shared" si="20"/>
        <v>12</v>
      </c>
      <c r="B273" s="11" t="str">
        <f>INDEX('Effectif Saison'!$E$4:$E$22,6)</f>
        <v>Atilla ER</v>
      </c>
      <c r="C273" s="10"/>
      <c r="D273" s="10"/>
      <c r="E273" s="10"/>
      <c r="F273" s="19" t="str">
        <f>IF(B273="","",IF(AND(E273="Oui",COUNTIFS(Changements!$A:$A,A273,Changements!$D:$D,B273)&gt;0),"⚠ Titulaire+entrée ?",IF(ABS(L273-M273)&gt;1,"⚠ vérifier","")))</f>
        <v/>
      </c>
      <c r="G273" s="11" t="str">
        <f>IF(B273="","",IFERROR(INDEX('Effectif Saison'!$D$4:$D$51,MATCH(B273,'Effectif Saison'!$E$4:$E$51,0)),""))</f>
        <v>Équipe 1</v>
      </c>
      <c r="H273" s="19" t="str">
        <f>IF(L273=0,"",IF(E273="Oui",0,IFERROR(_xlfn.MINIFS(Changements!$B:$B,Changements!$A:$A,A273,Changements!$D:$D,B273),"")))</f>
        <v/>
      </c>
      <c r="I273" s="19" t="str">
        <f>IF(M273=0,"",IFERROR(_xlfn.MAXIFS(Changements!$B:$B,Changements!$A:$A,A273,Changements!$C:$C,B273),""))</f>
        <v/>
      </c>
      <c r="J273" s="11" t="str">
        <f t="shared" si="21"/>
        <v/>
      </c>
      <c r="K273" s="17">
        <f t="shared" si="22"/>
        <v>0</v>
      </c>
      <c r="L273" s="17">
        <f>IF(B273="",0,COUNTIFS(Changements!$A:$A,A273,Changements!$D:$D,B273)+IF(E273="Oui",1,0))</f>
        <v>0</v>
      </c>
      <c r="M273" s="17">
        <f>IF(B273="",0,COUNTIFS(Changements!$A:$A,A273,Changements!$C:$C,B273))</f>
        <v>0</v>
      </c>
      <c r="N273" s="17">
        <f>IF(B273="",0,SUMIFS(Changements!$B:$B,Changements!$A:$A,A273,Changements!$D:$D,B273))</f>
        <v>0</v>
      </c>
      <c r="O273" s="17">
        <f>IF(B273="",0,SUMIFS(Changements!$B:$B,Changements!$A:$A,A273,Changements!$C:$C,B273)+IF(L273&gt;M273,IFERROR(INDEX(Matchs!$F$4:$F$31,MATCH(A273,Matchs!$A$4:$A$31,0)),0),0))</f>
        <v>0</v>
      </c>
      <c r="P273" s="17">
        <f t="shared" si="23"/>
        <v>0</v>
      </c>
      <c r="Q273" s="17">
        <f t="shared" si="24"/>
        <v>0</v>
      </c>
    </row>
    <row r="274" spans="1:17" ht="15" customHeight="1" x14ac:dyDescent="0.25">
      <c r="A274" s="11">
        <f t="shared" si="20"/>
        <v>12</v>
      </c>
      <c r="B274" s="11" t="str">
        <f>INDEX('Effectif Saison'!$E$4:$E$22,7)</f>
        <v>Lucas BUHR</v>
      </c>
      <c r="C274" s="10"/>
      <c r="D274" s="10"/>
      <c r="E274" s="10"/>
      <c r="F274" s="19" t="str">
        <f>IF(B274="","",IF(AND(E274="Oui",COUNTIFS(Changements!$A:$A,A274,Changements!$D:$D,B274)&gt;0),"⚠ Titulaire+entrée ?",IF(ABS(L274-M274)&gt;1,"⚠ vérifier","")))</f>
        <v/>
      </c>
      <c r="G274" s="11" t="str">
        <f>IF(B274="","",IFERROR(INDEX('Effectif Saison'!$D$4:$D$51,MATCH(B274,'Effectif Saison'!$E$4:$E$51,0)),""))</f>
        <v>Équipe 1</v>
      </c>
      <c r="H274" s="19" t="str">
        <f>IF(L274=0,"",IF(E274="Oui",0,IFERROR(_xlfn.MINIFS(Changements!$B:$B,Changements!$A:$A,A274,Changements!$D:$D,B274),"")))</f>
        <v/>
      </c>
      <c r="I274" s="19" t="str">
        <f>IF(M274=0,"",IFERROR(_xlfn.MAXIFS(Changements!$B:$B,Changements!$A:$A,A274,Changements!$C:$C,B274),""))</f>
        <v/>
      </c>
      <c r="J274" s="11" t="str">
        <f t="shared" si="21"/>
        <v/>
      </c>
      <c r="K274" s="17">
        <f t="shared" si="22"/>
        <v>0</v>
      </c>
      <c r="L274" s="17">
        <f>IF(B274="",0,COUNTIFS(Changements!$A:$A,A274,Changements!$D:$D,B274)+IF(E274="Oui",1,0))</f>
        <v>0</v>
      </c>
      <c r="M274" s="17">
        <f>IF(B274="",0,COUNTIFS(Changements!$A:$A,A274,Changements!$C:$C,B274))</f>
        <v>0</v>
      </c>
      <c r="N274" s="17">
        <f>IF(B274="",0,SUMIFS(Changements!$B:$B,Changements!$A:$A,A274,Changements!$D:$D,B274))</f>
        <v>0</v>
      </c>
      <c r="O274" s="17">
        <f>IF(B274="",0,SUMIFS(Changements!$B:$B,Changements!$A:$A,A274,Changements!$C:$C,B274)+IF(L274&gt;M274,IFERROR(INDEX(Matchs!$F$4:$F$31,MATCH(A274,Matchs!$A$4:$A$31,0)),0),0))</f>
        <v>0</v>
      </c>
      <c r="P274" s="17">
        <f t="shared" si="23"/>
        <v>0</v>
      </c>
      <c r="Q274" s="17">
        <f t="shared" si="24"/>
        <v>0</v>
      </c>
    </row>
    <row r="275" spans="1:17" ht="15" customHeight="1" x14ac:dyDescent="0.25">
      <c r="A275" s="11">
        <f t="shared" si="20"/>
        <v>12</v>
      </c>
      <c r="B275" s="11" t="str">
        <f>INDEX('Effectif Saison'!$E$4:$E$22,8)</f>
        <v>Yanis HOUX</v>
      </c>
      <c r="C275" s="10"/>
      <c r="D275" s="10"/>
      <c r="E275" s="10"/>
      <c r="F275" s="19" t="str">
        <f>IF(B275="","",IF(AND(E275="Oui",COUNTIFS(Changements!$A:$A,A275,Changements!$D:$D,B275)&gt;0),"⚠ Titulaire+entrée ?",IF(ABS(L275-M275)&gt;1,"⚠ vérifier","")))</f>
        <v/>
      </c>
      <c r="G275" s="11" t="str">
        <f>IF(B275="","",IFERROR(INDEX('Effectif Saison'!$D$4:$D$51,MATCH(B275,'Effectif Saison'!$E$4:$E$51,0)),""))</f>
        <v>Équipe 1</v>
      </c>
      <c r="H275" s="19" t="str">
        <f>IF(L275=0,"",IF(E275="Oui",0,IFERROR(_xlfn.MINIFS(Changements!$B:$B,Changements!$A:$A,A275,Changements!$D:$D,B275),"")))</f>
        <v/>
      </c>
      <c r="I275" s="19" t="str">
        <f>IF(M275=0,"",IFERROR(_xlfn.MAXIFS(Changements!$B:$B,Changements!$A:$A,A275,Changements!$C:$C,B275),""))</f>
        <v/>
      </c>
      <c r="J275" s="11" t="str">
        <f t="shared" si="21"/>
        <v/>
      </c>
      <c r="K275" s="17">
        <f t="shared" si="22"/>
        <v>0</v>
      </c>
      <c r="L275" s="17">
        <f>IF(B275="",0,COUNTIFS(Changements!$A:$A,A275,Changements!$D:$D,B275)+IF(E275="Oui",1,0))</f>
        <v>0</v>
      </c>
      <c r="M275" s="17">
        <f>IF(B275="",0,COUNTIFS(Changements!$A:$A,A275,Changements!$C:$C,B275))</f>
        <v>0</v>
      </c>
      <c r="N275" s="17">
        <f>IF(B275="",0,SUMIFS(Changements!$B:$B,Changements!$A:$A,A275,Changements!$D:$D,B275))</f>
        <v>0</v>
      </c>
      <c r="O275" s="17">
        <f>IF(B275="",0,SUMIFS(Changements!$B:$B,Changements!$A:$A,A275,Changements!$C:$C,B275)+IF(L275&gt;M275,IFERROR(INDEX(Matchs!$F$4:$F$31,MATCH(A275,Matchs!$A$4:$A$31,0)),0),0))</f>
        <v>0</v>
      </c>
      <c r="P275" s="17">
        <f t="shared" si="23"/>
        <v>0</v>
      </c>
      <c r="Q275" s="17">
        <f t="shared" si="24"/>
        <v>0</v>
      </c>
    </row>
    <row r="276" spans="1:17" ht="15" customHeight="1" x14ac:dyDescent="0.25">
      <c r="A276" s="11">
        <f t="shared" si="20"/>
        <v>12</v>
      </c>
      <c r="B276" s="11" t="str">
        <f>INDEX('Effectif Saison'!$E$4:$E$22,9)</f>
        <v>Tino COLAIANNI</v>
      </c>
      <c r="C276" s="10"/>
      <c r="D276" s="10"/>
      <c r="E276" s="10"/>
      <c r="F276" s="19" t="str">
        <f>IF(B276="","",IF(AND(E276="Oui",COUNTIFS(Changements!$A:$A,A276,Changements!$D:$D,B276)&gt;0),"⚠ Titulaire+entrée ?",IF(ABS(L276-M276)&gt;1,"⚠ vérifier","")))</f>
        <v/>
      </c>
      <c r="G276" s="11" t="str">
        <f>IF(B276="","",IFERROR(INDEX('Effectif Saison'!$D$4:$D$51,MATCH(B276,'Effectif Saison'!$E$4:$E$51,0)),""))</f>
        <v>Équipe 1</v>
      </c>
      <c r="H276" s="19" t="str">
        <f>IF(L276=0,"",IF(E276="Oui",0,IFERROR(_xlfn.MINIFS(Changements!$B:$B,Changements!$A:$A,A276,Changements!$D:$D,B276),"")))</f>
        <v/>
      </c>
      <c r="I276" s="19" t="str">
        <f>IF(M276=0,"",IFERROR(_xlfn.MAXIFS(Changements!$B:$B,Changements!$A:$A,A276,Changements!$C:$C,B276),""))</f>
        <v/>
      </c>
      <c r="J276" s="11" t="str">
        <f t="shared" si="21"/>
        <v/>
      </c>
      <c r="K276" s="17">
        <f t="shared" si="22"/>
        <v>0</v>
      </c>
      <c r="L276" s="17">
        <f>IF(B276="",0,COUNTIFS(Changements!$A:$A,A276,Changements!$D:$D,B276)+IF(E276="Oui",1,0))</f>
        <v>0</v>
      </c>
      <c r="M276" s="17">
        <f>IF(B276="",0,COUNTIFS(Changements!$A:$A,A276,Changements!$C:$C,B276))</f>
        <v>0</v>
      </c>
      <c r="N276" s="17">
        <f>IF(B276="",0,SUMIFS(Changements!$B:$B,Changements!$A:$A,A276,Changements!$D:$D,B276))</f>
        <v>0</v>
      </c>
      <c r="O276" s="17">
        <f>IF(B276="",0,SUMIFS(Changements!$B:$B,Changements!$A:$A,A276,Changements!$C:$C,B276)+IF(L276&gt;M276,IFERROR(INDEX(Matchs!$F$4:$F$31,MATCH(A276,Matchs!$A$4:$A$31,0)),0),0))</f>
        <v>0</v>
      </c>
      <c r="P276" s="17">
        <f t="shared" si="23"/>
        <v>0</v>
      </c>
      <c r="Q276" s="17">
        <f t="shared" si="24"/>
        <v>0</v>
      </c>
    </row>
    <row r="277" spans="1:17" ht="15" customHeight="1" x14ac:dyDescent="0.25">
      <c r="A277" s="11">
        <f t="shared" si="20"/>
        <v>12</v>
      </c>
      <c r="B277" s="11" t="str">
        <f>INDEX('Effectif Saison'!$E$4:$E$22,10)</f>
        <v>Achille KELLERKNECHT</v>
      </c>
      <c r="C277" s="10"/>
      <c r="D277" s="10"/>
      <c r="E277" s="10"/>
      <c r="F277" s="19" t="str">
        <f>IF(B277="","",IF(AND(E277="Oui",COUNTIFS(Changements!$A:$A,A277,Changements!$D:$D,B277)&gt;0),"⚠ Titulaire+entrée ?",IF(ABS(L277-M277)&gt;1,"⚠ vérifier","")))</f>
        <v/>
      </c>
      <c r="G277" s="11" t="str">
        <f>IF(B277="","",IFERROR(INDEX('Effectif Saison'!$D$4:$D$51,MATCH(B277,'Effectif Saison'!$E$4:$E$51,0)),""))</f>
        <v>Équipe 1</v>
      </c>
      <c r="H277" s="19" t="str">
        <f>IF(L277=0,"",IF(E277="Oui",0,IFERROR(_xlfn.MINIFS(Changements!$B:$B,Changements!$A:$A,A277,Changements!$D:$D,B277),"")))</f>
        <v/>
      </c>
      <c r="I277" s="19" t="str">
        <f>IF(M277=0,"",IFERROR(_xlfn.MAXIFS(Changements!$B:$B,Changements!$A:$A,A277,Changements!$C:$C,B277),""))</f>
        <v/>
      </c>
      <c r="J277" s="11" t="str">
        <f t="shared" si="21"/>
        <v/>
      </c>
      <c r="K277" s="17">
        <f t="shared" si="22"/>
        <v>0</v>
      </c>
      <c r="L277" s="17">
        <f>IF(B277="",0,COUNTIFS(Changements!$A:$A,A277,Changements!$D:$D,B277)+IF(E277="Oui",1,0))</f>
        <v>0</v>
      </c>
      <c r="M277" s="17">
        <f>IF(B277="",0,COUNTIFS(Changements!$A:$A,A277,Changements!$C:$C,B277))</f>
        <v>0</v>
      </c>
      <c r="N277" s="17">
        <f>IF(B277="",0,SUMIFS(Changements!$B:$B,Changements!$A:$A,A277,Changements!$D:$D,B277))</f>
        <v>0</v>
      </c>
      <c r="O277" s="17">
        <f>IF(B277="",0,SUMIFS(Changements!$B:$B,Changements!$A:$A,A277,Changements!$C:$C,B277)+IF(L277&gt;M277,IFERROR(INDEX(Matchs!$F$4:$F$31,MATCH(A277,Matchs!$A$4:$A$31,0)),0),0))</f>
        <v>0</v>
      </c>
      <c r="P277" s="17">
        <f t="shared" si="23"/>
        <v>0</v>
      </c>
      <c r="Q277" s="17">
        <f t="shared" si="24"/>
        <v>0</v>
      </c>
    </row>
    <row r="278" spans="1:17" ht="15" customHeight="1" x14ac:dyDescent="0.25">
      <c r="A278" s="11">
        <f t="shared" si="20"/>
        <v>12</v>
      </c>
      <c r="B278" s="11" t="str">
        <f>INDEX('Effectif Saison'!$E$4:$E$22,11)</f>
        <v>Charly LEPERT</v>
      </c>
      <c r="C278" s="10"/>
      <c r="D278" s="10"/>
      <c r="E278" s="10"/>
      <c r="F278" s="19" t="str">
        <f>IF(B278="","",IF(AND(E278="Oui",COUNTIFS(Changements!$A:$A,A278,Changements!$D:$D,B278)&gt;0),"⚠ Titulaire+entrée ?",IF(ABS(L278-M278)&gt;1,"⚠ vérifier","")))</f>
        <v/>
      </c>
      <c r="G278" s="11" t="str">
        <f>IF(B278="","",IFERROR(INDEX('Effectif Saison'!$D$4:$D$51,MATCH(B278,'Effectif Saison'!$E$4:$E$51,0)),""))</f>
        <v>Équipe 1</v>
      </c>
      <c r="H278" s="19" t="str">
        <f>IF(L278=0,"",IF(E278="Oui",0,IFERROR(_xlfn.MINIFS(Changements!$B:$B,Changements!$A:$A,A278,Changements!$D:$D,B278),"")))</f>
        <v/>
      </c>
      <c r="I278" s="19" t="str">
        <f>IF(M278=0,"",IFERROR(_xlfn.MAXIFS(Changements!$B:$B,Changements!$A:$A,A278,Changements!$C:$C,B278),""))</f>
        <v/>
      </c>
      <c r="J278" s="11" t="str">
        <f t="shared" si="21"/>
        <v/>
      </c>
      <c r="K278" s="17">
        <f t="shared" si="22"/>
        <v>0</v>
      </c>
      <c r="L278" s="17">
        <f>IF(B278="",0,COUNTIFS(Changements!$A:$A,A278,Changements!$D:$D,B278)+IF(E278="Oui",1,0))</f>
        <v>0</v>
      </c>
      <c r="M278" s="17">
        <f>IF(B278="",0,COUNTIFS(Changements!$A:$A,A278,Changements!$C:$C,B278))</f>
        <v>0</v>
      </c>
      <c r="N278" s="17">
        <f>IF(B278="",0,SUMIFS(Changements!$B:$B,Changements!$A:$A,A278,Changements!$D:$D,B278))</f>
        <v>0</v>
      </c>
      <c r="O278" s="17">
        <f>IF(B278="",0,SUMIFS(Changements!$B:$B,Changements!$A:$A,A278,Changements!$C:$C,B278)+IF(L278&gt;M278,IFERROR(INDEX(Matchs!$F$4:$F$31,MATCH(A278,Matchs!$A$4:$A$31,0)),0),0))</f>
        <v>0</v>
      </c>
      <c r="P278" s="17">
        <f t="shared" si="23"/>
        <v>0</v>
      </c>
      <c r="Q278" s="17">
        <f t="shared" si="24"/>
        <v>0</v>
      </c>
    </row>
    <row r="279" spans="1:17" ht="15" customHeight="1" x14ac:dyDescent="0.25">
      <c r="A279" s="11">
        <f t="shared" si="20"/>
        <v>12</v>
      </c>
      <c r="B279" s="11" t="str">
        <f>INDEX('Effectif Saison'!$E$4:$E$22,12)</f>
        <v>Basile STANGRET</v>
      </c>
      <c r="C279" s="10"/>
      <c r="D279" s="10"/>
      <c r="E279" s="10"/>
      <c r="F279" s="19" t="str">
        <f>IF(B279="","",IF(AND(E279="Oui",COUNTIFS(Changements!$A:$A,A279,Changements!$D:$D,B279)&gt;0),"⚠ Titulaire+entrée ?",IF(ABS(L279-M279)&gt;1,"⚠ vérifier","")))</f>
        <v/>
      </c>
      <c r="G279" s="11" t="str">
        <f>IF(B279="","",IFERROR(INDEX('Effectif Saison'!$D$4:$D$51,MATCH(B279,'Effectif Saison'!$E$4:$E$51,0)),""))</f>
        <v>Équipe 1</v>
      </c>
      <c r="H279" s="19" t="str">
        <f>IF(L279=0,"",IF(E279="Oui",0,IFERROR(_xlfn.MINIFS(Changements!$B:$B,Changements!$A:$A,A279,Changements!$D:$D,B279),"")))</f>
        <v/>
      </c>
      <c r="I279" s="19" t="str">
        <f>IF(M279=0,"",IFERROR(_xlfn.MAXIFS(Changements!$B:$B,Changements!$A:$A,A279,Changements!$C:$C,B279),""))</f>
        <v/>
      </c>
      <c r="J279" s="11" t="str">
        <f t="shared" si="21"/>
        <v/>
      </c>
      <c r="K279" s="17">
        <f t="shared" si="22"/>
        <v>0</v>
      </c>
      <c r="L279" s="17">
        <f>IF(B279="",0,COUNTIFS(Changements!$A:$A,A279,Changements!$D:$D,B279)+IF(E279="Oui",1,0))</f>
        <v>0</v>
      </c>
      <c r="M279" s="17">
        <f>IF(B279="",0,COUNTIFS(Changements!$A:$A,A279,Changements!$C:$C,B279))</f>
        <v>0</v>
      </c>
      <c r="N279" s="17">
        <f>IF(B279="",0,SUMIFS(Changements!$B:$B,Changements!$A:$A,A279,Changements!$D:$D,B279))</f>
        <v>0</v>
      </c>
      <c r="O279" s="17">
        <f>IF(B279="",0,SUMIFS(Changements!$B:$B,Changements!$A:$A,A279,Changements!$C:$C,B279)+IF(L279&gt;M279,IFERROR(INDEX(Matchs!$F$4:$F$31,MATCH(A279,Matchs!$A$4:$A$31,0)),0),0))</f>
        <v>0</v>
      </c>
      <c r="P279" s="17">
        <f t="shared" si="23"/>
        <v>0</v>
      </c>
      <c r="Q279" s="17">
        <f t="shared" si="24"/>
        <v>0</v>
      </c>
    </row>
    <row r="280" spans="1:17" ht="15" customHeight="1" x14ac:dyDescent="0.25">
      <c r="A280" s="11">
        <f t="shared" si="20"/>
        <v>12</v>
      </c>
      <c r="B280" s="11" t="str">
        <f>INDEX('Effectif Saison'!$E$4:$E$22,13)</f>
        <v>Maxence KELLER</v>
      </c>
      <c r="C280" s="10"/>
      <c r="D280" s="10"/>
      <c r="E280" s="10"/>
      <c r="F280" s="19" t="str">
        <f>IF(B280="","",IF(AND(E280="Oui",COUNTIFS(Changements!$A:$A,A280,Changements!$D:$D,B280)&gt;0),"⚠ Titulaire+entrée ?",IF(ABS(L280-M280)&gt;1,"⚠ vérifier","")))</f>
        <v/>
      </c>
      <c r="G280" s="11" t="str">
        <f>IF(B280="","",IFERROR(INDEX('Effectif Saison'!$D$4:$D$51,MATCH(B280,'Effectif Saison'!$E$4:$E$51,0)),""))</f>
        <v>Équipe 1</v>
      </c>
      <c r="H280" s="19" t="str">
        <f>IF(L280=0,"",IF(E280="Oui",0,IFERROR(_xlfn.MINIFS(Changements!$B:$B,Changements!$A:$A,A280,Changements!$D:$D,B280),"")))</f>
        <v/>
      </c>
      <c r="I280" s="19" t="str">
        <f>IF(M280=0,"",IFERROR(_xlfn.MAXIFS(Changements!$B:$B,Changements!$A:$A,A280,Changements!$C:$C,B280),""))</f>
        <v/>
      </c>
      <c r="J280" s="11" t="str">
        <f t="shared" si="21"/>
        <v/>
      </c>
      <c r="K280" s="17">
        <f t="shared" si="22"/>
        <v>0</v>
      </c>
      <c r="L280" s="17">
        <f>IF(B280="",0,COUNTIFS(Changements!$A:$A,A280,Changements!$D:$D,B280)+IF(E280="Oui",1,0))</f>
        <v>0</v>
      </c>
      <c r="M280" s="17">
        <f>IF(B280="",0,COUNTIFS(Changements!$A:$A,A280,Changements!$C:$C,B280))</f>
        <v>0</v>
      </c>
      <c r="N280" s="17">
        <f>IF(B280="",0,SUMIFS(Changements!$B:$B,Changements!$A:$A,A280,Changements!$D:$D,B280))</f>
        <v>0</v>
      </c>
      <c r="O280" s="17">
        <f>IF(B280="",0,SUMIFS(Changements!$B:$B,Changements!$A:$A,A280,Changements!$C:$C,B280)+IF(L280&gt;M280,IFERROR(INDEX(Matchs!$F$4:$F$31,MATCH(A280,Matchs!$A$4:$A$31,0)),0),0))</f>
        <v>0</v>
      </c>
      <c r="P280" s="17">
        <f t="shared" si="23"/>
        <v>0</v>
      </c>
      <c r="Q280" s="17">
        <f t="shared" si="24"/>
        <v>0</v>
      </c>
    </row>
    <row r="281" spans="1:17" ht="15" customHeight="1" x14ac:dyDescent="0.25">
      <c r="A281" s="11">
        <f t="shared" si="20"/>
        <v>12</v>
      </c>
      <c r="B281" s="11" t="str">
        <f>INDEX('Effectif Saison'!$E$4:$E$22,14)</f>
        <v>Evan SCHMITT</v>
      </c>
      <c r="C281" s="10"/>
      <c r="D281" s="10"/>
      <c r="E281" s="10"/>
      <c r="F281" s="19" t="str">
        <f>IF(B281="","",IF(AND(E281="Oui",COUNTIFS(Changements!$A:$A,A281,Changements!$D:$D,B281)&gt;0),"⚠ Titulaire+entrée ?",IF(ABS(L281-M281)&gt;1,"⚠ vérifier","")))</f>
        <v/>
      </c>
      <c r="G281" s="11" t="str">
        <f>IF(B281="","",IFERROR(INDEX('Effectif Saison'!$D$4:$D$51,MATCH(B281,'Effectif Saison'!$E$4:$E$51,0)),""))</f>
        <v>Équipe 1</v>
      </c>
      <c r="H281" s="19" t="str">
        <f>IF(L281=0,"",IF(E281="Oui",0,IFERROR(_xlfn.MINIFS(Changements!$B:$B,Changements!$A:$A,A281,Changements!$D:$D,B281),"")))</f>
        <v/>
      </c>
      <c r="I281" s="19" t="str">
        <f>IF(M281=0,"",IFERROR(_xlfn.MAXIFS(Changements!$B:$B,Changements!$A:$A,A281,Changements!$C:$C,B281),""))</f>
        <v/>
      </c>
      <c r="J281" s="11" t="str">
        <f t="shared" si="21"/>
        <v/>
      </c>
      <c r="K281" s="17">
        <f t="shared" si="22"/>
        <v>0</v>
      </c>
      <c r="L281" s="17">
        <f>IF(B281="",0,COUNTIFS(Changements!$A:$A,A281,Changements!$D:$D,B281)+IF(E281="Oui",1,0))</f>
        <v>0</v>
      </c>
      <c r="M281" s="17">
        <f>IF(B281="",0,COUNTIFS(Changements!$A:$A,A281,Changements!$C:$C,B281))</f>
        <v>0</v>
      </c>
      <c r="N281" s="17">
        <f>IF(B281="",0,SUMIFS(Changements!$B:$B,Changements!$A:$A,A281,Changements!$D:$D,B281))</f>
        <v>0</v>
      </c>
      <c r="O281" s="17">
        <f>IF(B281="",0,SUMIFS(Changements!$B:$B,Changements!$A:$A,A281,Changements!$C:$C,B281)+IF(L281&gt;M281,IFERROR(INDEX(Matchs!$F$4:$F$31,MATCH(A281,Matchs!$A$4:$A$31,0)),0),0))</f>
        <v>0</v>
      </c>
      <c r="P281" s="17">
        <f t="shared" si="23"/>
        <v>0</v>
      </c>
      <c r="Q281" s="17">
        <f t="shared" si="24"/>
        <v>0</v>
      </c>
    </row>
    <row r="282" spans="1:17" ht="15" customHeight="1" x14ac:dyDescent="0.25">
      <c r="A282" s="11">
        <f t="shared" si="20"/>
        <v>12</v>
      </c>
      <c r="B282" s="11" t="str">
        <f>INDEX('Effectif Saison'!$E$4:$E$22,15)</f>
        <v>William SIMON</v>
      </c>
      <c r="C282" s="10"/>
      <c r="D282" s="10"/>
      <c r="E282" s="10"/>
      <c r="F282" s="19" t="str">
        <f>IF(B282="","",IF(AND(E282="Oui",COUNTIFS(Changements!$A:$A,A282,Changements!$D:$D,B282)&gt;0),"⚠ Titulaire+entrée ?",IF(ABS(L282-M282)&gt;1,"⚠ vérifier","")))</f>
        <v/>
      </c>
      <c r="G282" s="11" t="str">
        <f>IF(B282="","",IFERROR(INDEX('Effectif Saison'!$D$4:$D$51,MATCH(B282,'Effectif Saison'!$E$4:$E$51,0)),""))</f>
        <v>Équipe 1</v>
      </c>
      <c r="H282" s="19" t="str">
        <f>IF(L282=0,"",IF(E282="Oui",0,IFERROR(_xlfn.MINIFS(Changements!$B:$B,Changements!$A:$A,A282,Changements!$D:$D,B282),"")))</f>
        <v/>
      </c>
      <c r="I282" s="19" t="str">
        <f>IF(M282=0,"",IFERROR(_xlfn.MAXIFS(Changements!$B:$B,Changements!$A:$A,A282,Changements!$C:$C,B282),""))</f>
        <v/>
      </c>
      <c r="J282" s="11" t="str">
        <f t="shared" si="21"/>
        <v/>
      </c>
      <c r="K282" s="17">
        <f t="shared" si="22"/>
        <v>0</v>
      </c>
      <c r="L282" s="17">
        <f>IF(B282="",0,COUNTIFS(Changements!$A:$A,A282,Changements!$D:$D,B282)+IF(E282="Oui",1,0))</f>
        <v>0</v>
      </c>
      <c r="M282" s="17">
        <f>IF(B282="",0,COUNTIFS(Changements!$A:$A,A282,Changements!$C:$C,B282))</f>
        <v>0</v>
      </c>
      <c r="N282" s="17">
        <f>IF(B282="",0,SUMIFS(Changements!$B:$B,Changements!$A:$A,A282,Changements!$D:$D,B282))</f>
        <v>0</v>
      </c>
      <c r="O282" s="17">
        <f>IF(B282="",0,SUMIFS(Changements!$B:$B,Changements!$A:$A,A282,Changements!$C:$C,B282)+IF(L282&gt;M282,IFERROR(INDEX(Matchs!$F$4:$F$31,MATCH(A282,Matchs!$A$4:$A$31,0)),0),0))</f>
        <v>0</v>
      </c>
      <c r="P282" s="17">
        <f t="shared" si="23"/>
        <v>0</v>
      </c>
      <c r="Q282" s="17">
        <f t="shared" si="24"/>
        <v>0</v>
      </c>
    </row>
    <row r="283" spans="1:17" ht="15" customHeight="1" x14ac:dyDescent="0.25">
      <c r="A283" s="11">
        <f t="shared" si="20"/>
        <v>12</v>
      </c>
      <c r="B283" s="11" t="str">
        <f>INDEX('Effectif Saison'!$E$4:$E$22,16)</f>
        <v>Lenny LEPPER</v>
      </c>
      <c r="C283" s="10"/>
      <c r="D283" s="10"/>
      <c r="E283" s="10"/>
      <c r="F283" s="19" t="str">
        <f>IF(B283="","",IF(AND(E283="Oui",COUNTIFS(Changements!$A:$A,A283,Changements!$D:$D,B283)&gt;0),"⚠ Titulaire+entrée ?",IF(ABS(L283-M283)&gt;1,"⚠ vérifier","")))</f>
        <v/>
      </c>
      <c r="G283" s="11" t="str">
        <f>IF(B283="","",IFERROR(INDEX('Effectif Saison'!$D$4:$D$51,MATCH(B283,'Effectif Saison'!$E$4:$E$51,0)),""))</f>
        <v>Équipe 1</v>
      </c>
      <c r="H283" s="19" t="str">
        <f>IF(L283=0,"",IF(E283="Oui",0,IFERROR(_xlfn.MINIFS(Changements!$B:$B,Changements!$A:$A,A283,Changements!$D:$D,B283),"")))</f>
        <v/>
      </c>
      <c r="I283" s="19" t="str">
        <f>IF(M283=0,"",IFERROR(_xlfn.MAXIFS(Changements!$B:$B,Changements!$A:$A,A283,Changements!$C:$C,B283),""))</f>
        <v/>
      </c>
      <c r="J283" s="11" t="str">
        <f t="shared" si="21"/>
        <v/>
      </c>
      <c r="K283" s="17">
        <f t="shared" si="22"/>
        <v>0</v>
      </c>
      <c r="L283" s="17">
        <f>IF(B283="",0,COUNTIFS(Changements!$A:$A,A283,Changements!$D:$D,B283)+IF(E283="Oui",1,0))</f>
        <v>0</v>
      </c>
      <c r="M283" s="17">
        <f>IF(B283="",0,COUNTIFS(Changements!$A:$A,A283,Changements!$C:$C,B283))</f>
        <v>0</v>
      </c>
      <c r="N283" s="17">
        <f>IF(B283="",0,SUMIFS(Changements!$B:$B,Changements!$A:$A,A283,Changements!$D:$D,B283))</f>
        <v>0</v>
      </c>
      <c r="O283" s="17">
        <f>IF(B283="",0,SUMIFS(Changements!$B:$B,Changements!$A:$A,A283,Changements!$C:$C,B283)+IF(L283&gt;M283,IFERROR(INDEX(Matchs!$F$4:$F$31,MATCH(A283,Matchs!$A$4:$A$31,0)),0),0))</f>
        <v>0</v>
      </c>
      <c r="P283" s="17">
        <f t="shared" si="23"/>
        <v>0</v>
      </c>
      <c r="Q283" s="17">
        <f t="shared" si="24"/>
        <v>0</v>
      </c>
    </row>
    <row r="284" spans="1:17" ht="15" customHeight="1" x14ac:dyDescent="0.25">
      <c r="A284" s="11">
        <f t="shared" si="20"/>
        <v>12</v>
      </c>
      <c r="B284" s="11" t="str">
        <f>INDEX('Effectif Saison'!$E$4:$E$22,17)</f>
        <v>Malo KELLER</v>
      </c>
      <c r="C284" s="10"/>
      <c r="D284" s="10"/>
      <c r="E284" s="10"/>
      <c r="F284" s="19" t="str">
        <f>IF(B284="","",IF(AND(E284="Oui",COUNTIFS(Changements!$A:$A,A284,Changements!$D:$D,B284)&gt;0),"⚠ Titulaire+entrée ?",IF(ABS(L284-M284)&gt;1,"⚠ vérifier","")))</f>
        <v/>
      </c>
      <c r="G284" s="11" t="str">
        <f>IF(B284="","",IFERROR(INDEX('Effectif Saison'!$D$4:$D$51,MATCH(B284,'Effectif Saison'!$E$4:$E$51,0)),""))</f>
        <v>Équipe 1</v>
      </c>
      <c r="H284" s="19" t="str">
        <f>IF(L284=0,"",IF(E284="Oui",0,IFERROR(_xlfn.MINIFS(Changements!$B:$B,Changements!$A:$A,A284,Changements!$D:$D,B284),"")))</f>
        <v/>
      </c>
      <c r="I284" s="19" t="str">
        <f>IF(M284=0,"",IFERROR(_xlfn.MAXIFS(Changements!$B:$B,Changements!$A:$A,A284,Changements!$C:$C,B284),""))</f>
        <v/>
      </c>
      <c r="J284" s="11" t="str">
        <f t="shared" si="21"/>
        <v/>
      </c>
      <c r="K284" s="17">
        <f t="shared" si="22"/>
        <v>0</v>
      </c>
      <c r="L284" s="17">
        <f>IF(B284="",0,COUNTIFS(Changements!$A:$A,A284,Changements!$D:$D,B284)+IF(E284="Oui",1,0))</f>
        <v>0</v>
      </c>
      <c r="M284" s="17">
        <f>IF(B284="",0,COUNTIFS(Changements!$A:$A,A284,Changements!$C:$C,B284))</f>
        <v>0</v>
      </c>
      <c r="N284" s="17">
        <f>IF(B284="",0,SUMIFS(Changements!$B:$B,Changements!$A:$A,A284,Changements!$D:$D,B284))</f>
        <v>0</v>
      </c>
      <c r="O284" s="17">
        <f>IF(B284="",0,SUMIFS(Changements!$B:$B,Changements!$A:$A,A284,Changements!$C:$C,B284)+IF(L284&gt;M284,IFERROR(INDEX(Matchs!$F$4:$F$31,MATCH(A284,Matchs!$A$4:$A$31,0)),0),0))</f>
        <v>0</v>
      </c>
      <c r="P284" s="17">
        <f t="shared" si="23"/>
        <v>0</v>
      </c>
      <c r="Q284" s="17">
        <f t="shared" si="24"/>
        <v>0</v>
      </c>
    </row>
    <row r="285" spans="1:17" ht="15" customHeight="1" x14ac:dyDescent="0.25">
      <c r="A285" s="11">
        <f t="shared" si="20"/>
        <v>12</v>
      </c>
      <c r="B285" s="11" t="str">
        <f>INDEX('Effectif Saison'!$E$4:$E$22,18)</f>
        <v>Tom SCHILLER</v>
      </c>
      <c r="C285" s="10"/>
      <c r="D285" s="10"/>
      <c r="E285" s="10"/>
      <c r="F285" s="19" t="str">
        <f>IF(B285="","",IF(AND(E285="Oui",COUNTIFS(Changements!$A:$A,A285,Changements!$D:$D,B285)&gt;0),"⚠ Titulaire+entrée ?",IF(ABS(L285-M285)&gt;1,"⚠ vérifier","")))</f>
        <v/>
      </c>
      <c r="G285" s="11" t="str">
        <f>IF(B285="","",IFERROR(INDEX('Effectif Saison'!$D$4:$D$51,MATCH(B285,'Effectif Saison'!$E$4:$E$51,0)),""))</f>
        <v>Équipe 1</v>
      </c>
      <c r="H285" s="19" t="str">
        <f>IF(L285=0,"",IF(E285="Oui",0,IFERROR(_xlfn.MINIFS(Changements!$B:$B,Changements!$A:$A,A285,Changements!$D:$D,B285),"")))</f>
        <v/>
      </c>
      <c r="I285" s="19" t="str">
        <f>IF(M285=0,"",IFERROR(_xlfn.MAXIFS(Changements!$B:$B,Changements!$A:$A,A285,Changements!$C:$C,B285),""))</f>
        <v/>
      </c>
      <c r="J285" s="11" t="str">
        <f t="shared" si="21"/>
        <v/>
      </c>
      <c r="K285" s="17">
        <f t="shared" si="22"/>
        <v>0</v>
      </c>
      <c r="L285" s="17">
        <f>IF(B285="",0,COUNTIFS(Changements!$A:$A,A285,Changements!$D:$D,B285)+IF(E285="Oui",1,0))</f>
        <v>0</v>
      </c>
      <c r="M285" s="17">
        <f>IF(B285="",0,COUNTIFS(Changements!$A:$A,A285,Changements!$C:$C,B285))</f>
        <v>0</v>
      </c>
      <c r="N285" s="17">
        <f>IF(B285="",0,SUMIFS(Changements!$B:$B,Changements!$A:$A,A285,Changements!$D:$D,B285))</f>
        <v>0</v>
      </c>
      <c r="O285" s="17">
        <f>IF(B285="",0,SUMIFS(Changements!$B:$B,Changements!$A:$A,A285,Changements!$C:$C,B285)+IF(L285&gt;M285,IFERROR(INDEX(Matchs!$F$4:$F$31,MATCH(A285,Matchs!$A$4:$A$31,0)),0),0))</f>
        <v>0</v>
      </c>
      <c r="P285" s="17">
        <f t="shared" si="23"/>
        <v>0</v>
      </c>
      <c r="Q285" s="17">
        <f t="shared" si="24"/>
        <v>0</v>
      </c>
    </row>
    <row r="286" spans="1:17" ht="15" customHeight="1" x14ac:dyDescent="0.25">
      <c r="A286" s="11">
        <f t="shared" si="20"/>
        <v>12</v>
      </c>
      <c r="B286" s="11" t="str">
        <f>INDEX('Effectif Saison'!$E$4:$E$22,19)</f>
        <v>Eliot LEIBY</v>
      </c>
      <c r="C286" s="10"/>
      <c r="D286" s="10"/>
      <c r="E286" s="10"/>
      <c r="F286" s="19" t="str">
        <f>IF(B286="","",IF(AND(E286="Oui",COUNTIFS(Changements!$A:$A,A286,Changements!$D:$D,B286)&gt;0),"⚠ Titulaire+entrée ?",IF(ABS(L286-M286)&gt;1,"⚠ vérifier","")))</f>
        <v/>
      </c>
      <c r="G286" s="11" t="str">
        <f>IF(B286="","",IFERROR(INDEX('Effectif Saison'!$D$4:$D$51,MATCH(B286,'Effectif Saison'!$E$4:$E$51,0)),""))</f>
        <v>Équipe 1</v>
      </c>
      <c r="H286" s="19" t="str">
        <f>IF(L286=0,"",IF(E286="Oui",0,IFERROR(_xlfn.MINIFS(Changements!$B:$B,Changements!$A:$A,A286,Changements!$D:$D,B286),"")))</f>
        <v/>
      </c>
      <c r="I286" s="19" t="str">
        <f>IF(M286=0,"",IFERROR(_xlfn.MAXIFS(Changements!$B:$B,Changements!$A:$A,A286,Changements!$C:$C,B286),""))</f>
        <v/>
      </c>
      <c r="J286" s="11" t="str">
        <f t="shared" si="21"/>
        <v/>
      </c>
      <c r="K286" s="17">
        <f t="shared" si="22"/>
        <v>0</v>
      </c>
      <c r="L286" s="17">
        <f>IF(B286="",0,COUNTIFS(Changements!$A:$A,A286,Changements!$D:$D,B286)+IF(E286="Oui",1,0))</f>
        <v>0</v>
      </c>
      <c r="M286" s="17">
        <f>IF(B286="",0,COUNTIFS(Changements!$A:$A,A286,Changements!$C:$C,B286))</f>
        <v>0</v>
      </c>
      <c r="N286" s="17">
        <f>IF(B286="",0,SUMIFS(Changements!$B:$B,Changements!$A:$A,A286,Changements!$D:$D,B286))</f>
        <v>0</v>
      </c>
      <c r="O286" s="17">
        <f>IF(B286="",0,SUMIFS(Changements!$B:$B,Changements!$A:$A,A286,Changements!$C:$C,B286)+IF(L286&gt;M286,IFERROR(INDEX(Matchs!$F$4:$F$31,MATCH(A286,Matchs!$A$4:$A$31,0)),0),0))</f>
        <v>0</v>
      </c>
      <c r="P286" s="17">
        <f t="shared" si="23"/>
        <v>0</v>
      </c>
      <c r="Q286" s="17">
        <f t="shared" si="24"/>
        <v>0</v>
      </c>
    </row>
    <row r="287" spans="1:17" ht="15" customHeight="1" x14ac:dyDescent="0.25">
      <c r="A287" s="11">
        <f t="shared" si="20"/>
        <v>12</v>
      </c>
      <c r="B287" s="10"/>
      <c r="C287" s="10"/>
      <c r="D287" s="10"/>
      <c r="E287" s="10"/>
      <c r="F287" s="19" t="str">
        <f>IF(B287="","",IF(AND(E287="Oui",COUNTIFS(Changements!$A:$A,A287,Changements!$D:$D,B287)&gt;0),"⚠ Titulaire+entrée ?",IF(ABS(L287-M287)&gt;1,"⚠ vérifier","")))</f>
        <v/>
      </c>
      <c r="G287" s="11" t="str">
        <f>IF(B287="","",IFERROR(INDEX('Effectif Saison'!$D$4:$D$51,MATCH(B287,'Effectif Saison'!$E$4:$E$51,0)),""))</f>
        <v/>
      </c>
      <c r="H287" s="19" t="str">
        <f>IF(L287=0,"",IF(E287="Oui",0,IFERROR(_xlfn.MINIFS(Changements!$B:$B,Changements!$A:$A,A287,Changements!$D:$D,B287),"")))</f>
        <v/>
      </c>
      <c r="I287" s="19" t="str">
        <f>IF(M287=0,"",IFERROR(_xlfn.MAXIFS(Changements!$B:$B,Changements!$A:$A,A287,Changements!$C:$C,B287),""))</f>
        <v/>
      </c>
      <c r="J287" s="11" t="str">
        <f t="shared" si="21"/>
        <v/>
      </c>
      <c r="K287" s="17">
        <f t="shared" si="22"/>
        <v>0</v>
      </c>
      <c r="L287" s="17">
        <f>IF(B287="",0,COUNTIFS(Changements!$A:$A,A287,Changements!$D:$D,B287)+IF(E287="Oui",1,0))</f>
        <v>0</v>
      </c>
      <c r="M287" s="17">
        <f>IF(B287="",0,COUNTIFS(Changements!$A:$A,A287,Changements!$C:$C,B287))</f>
        <v>0</v>
      </c>
      <c r="N287" s="17">
        <f>IF(B287="",0,SUMIFS(Changements!$B:$B,Changements!$A:$A,A287,Changements!$D:$D,B287))</f>
        <v>0</v>
      </c>
      <c r="O287" s="17">
        <f>IF(B287="",0,SUMIFS(Changements!$B:$B,Changements!$A:$A,A287,Changements!$C:$C,B287)+IF(L287&gt;M287,IFERROR(INDEX(Matchs!$F$4:$F$31,MATCH(A287,Matchs!$A$4:$A$31,0)),0),0))</f>
        <v>0</v>
      </c>
      <c r="P287" s="17">
        <f t="shared" si="23"/>
        <v>0</v>
      </c>
      <c r="Q287" s="17">
        <f t="shared" si="24"/>
        <v>0</v>
      </c>
    </row>
    <row r="288" spans="1:17" ht="15" customHeight="1" x14ac:dyDescent="0.25">
      <c r="A288" s="11">
        <f t="shared" si="20"/>
        <v>12</v>
      </c>
      <c r="B288" s="10"/>
      <c r="C288" s="10"/>
      <c r="D288" s="10"/>
      <c r="E288" s="10"/>
      <c r="F288" s="19" t="str">
        <f>IF(B288="","",IF(AND(E288="Oui",COUNTIFS(Changements!$A:$A,A288,Changements!$D:$D,B288)&gt;0),"⚠ Titulaire+entrée ?",IF(ABS(L288-M288)&gt;1,"⚠ vérifier","")))</f>
        <v/>
      </c>
      <c r="G288" s="11" t="str">
        <f>IF(B288="","",IFERROR(INDEX('Effectif Saison'!$D$4:$D$51,MATCH(B288,'Effectif Saison'!$E$4:$E$51,0)),""))</f>
        <v/>
      </c>
      <c r="H288" s="19" t="str">
        <f>IF(L288=0,"",IF(E288="Oui",0,IFERROR(_xlfn.MINIFS(Changements!$B:$B,Changements!$A:$A,A288,Changements!$D:$D,B288),"")))</f>
        <v/>
      </c>
      <c r="I288" s="19" t="str">
        <f>IF(M288=0,"",IFERROR(_xlfn.MAXIFS(Changements!$B:$B,Changements!$A:$A,A288,Changements!$C:$C,B288),""))</f>
        <v/>
      </c>
      <c r="J288" s="11" t="str">
        <f t="shared" si="21"/>
        <v/>
      </c>
      <c r="K288" s="17">
        <f t="shared" si="22"/>
        <v>0</v>
      </c>
      <c r="L288" s="17">
        <f>IF(B288="",0,COUNTIFS(Changements!$A:$A,A288,Changements!$D:$D,B288)+IF(E288="Oui",1,0))</f>
        <v>0</v>
      </c>
      <c r="M288" s="17">
        <f>IF(B288="",0,COUNTIFS(Changements!$A:$A,A288,Changements!$C:$C,B288))</f>
        <v>0</v>
      </c>
      <c r="N288" s="17">
        <f>IF(B288="",0,SUMIFS(Changements!$B:$B,Changements!$A:$A,A288,Changements!$D:$D,B288))</f>
        <v>0</v>
      </c>
      <c r="O288" s="17">
        <f>IF(B288="",0,SUMIFS(Changements!$B:$B,Changements!$A:$A,A288,Changements!$C:$C,B288)+IF(L288&gt;M288,IFERROR(INDEX(Matchs!$F$4:$F$31,MATCH(A288,Matchs!$A$4:$A$31,0)),0),0))</f>
        <v>0</v>
      </c>
      <c r="P288" s="17">
        <f t="shared" si="23"/>
        <v>0</v>
      </c>
      <c r="Q288" s="17">
        <f t="shared" si="24"/>
        <v>0</v>
      </c>
    </row>
    <row r="289" spans="1:17" ht="15" customHeight="1" x14ac:dyDescent="0.25">
      <c r="A289" s="11">
        <f t="shared" si="20"/>
        <v>12</v>
      </c>
      <c r="B289" s="10"/>
      <c r="C289" s="10"/>
      <c r="D289" s="10"/>
      <c r="E289" s="10"/>
      <c r="F289" s="19" t="str">
        <f>IF(B289="","",IF(AND(E289="Oui",COUNTIFS(Changements!$A:$A,A289,Changements!$D:$D,B289)&gt;0),"⚠ Titulaire+entrée ?",IF(ABS(L289-M289)&gt;1,"⚠ vérifier","")))</f>
        <v/>
      </c>
      <c r="G289" s="11" t="str">
        <f>IF(B289="","",IFERROR(INDEX('Effectif Saison'!$D$4:$D$51,MATCH(B289,'Effectif Saison'!$E$4:$E$51,0)),""))</f>
        <v/>
      </c>
      <c r="H289" s="19" t="str">
        <f>IF(L289=0,"",IF(E289="Oui",0,IFERROR(_xlfn.MINIFS(Changements!$B:$B,Changements!$A:$A,A289,Changements!$D:$D,B289),"")))</f>
        <v/>
      </c>
      <c r="I289" s="19" t="str">
        <f>IF(M289=0,"",IFERROR(_xlfn.MAXIFS(Changements!$B:$B,Changements!$A:$A,A289,Changements!$C:$C,B289),""))</f>
        <v/>
      </c>
      <c r="J289" s="11" t="str">
        <f t="shared" si="21"/>
        <v/>
      </c>
      <c r="K289" s="17">
        <f t="shared" si="22"/>
        <v>0</v>
      </c>
      <c r="L289" s="17">
        <f>IF(B289="",0,COUNTIFS(Changements!$A:$A,A289,Changements!$D:$D,B289)+IF(E289="Oui",1,0))</f>
        <v>0</v>
      </c>
      <c r="M289" s="17">
        <f>IF(B289="",0,COUNTIFS(Changements!$A:$A,A289,Changements!$C:$C,B289))</f>
        <v>0</v>
      </c>
      <c r="N289" s="17">
        <f>IF(B289="",0,SUMIFS(Changements!$B:$B,Changements!$A:$A,A289,Changements!$D:$D,B289))</f>
        <v>0</v>
      </c>
      <c r="O289" s="17">
        <f>IF(B289="",0,SUMIFS(Changements!$B:$B,Changements!$A:$A,A289,Changements!$C:$C,B289)+IF(L289&gt;M289,IFERROR(INDEX(Matchs!$F$4:$F$31,MATCH(A289,Matchs!$A$4:$A$31,0)),0),0))</f>
        <v>0</v>
      </c>
      <c r="P289" s="17">
        <f t="shared" si="23"/>
        <v>0</v>
      </c>
      <c r="Q289" s="17">
        <f t="shared" si="24"/>
        <v>0</v>
      </c>
    </row>
    <row r="290" spans="1:17" ht="15" customHeight="1" x14ac:dyDescent="0.25">
      <c r="A290" s="11">
        <f t="shared" si="20"/>
        <v>12</v>
      </c>
      <c r="B290" s="10"/>
      <c r="C290" s="10"/>
      <c r="D290" s="10"/>
      <c r="E290" s="10"/>
      <c r="F290" s="19" t="str">
        <f>IF(B290="","",IF(AND(E290="Oui",COUNTIFS(Changements!$A:$A,A290,Changements!$D:$D,B290)&gt;0),"⚠ Titulaire+entrée ?",IF(ABS(L290-M290)&gt;1,"⚠ vérifier","")))</f>
        <v/>
      </c>
      <c r="G290" s="11" t="str">
        <f>IF(B290="","",IFERROR(INDEX('Effectif Saison'!$D$4:$D$51,MATCH(B290,'Effectif Saison'!$E$4:$E$51,0)),""))</f>
        <v/>
      </c>
      <c r="H290" s="19" t="str">
        <f>IF(L290=0,"",IF(E290="Oui",0,IFERROR(_xlfn.MINIFS(Changements!$B:$B,Changements!$A:$A,A290,Changements!$D:$D,B290),"")))</f>
        <v/>
      </c>
      <c r="I290" s="19" t="str">
        <f>IF(M290=0,"",IFERROR(_xlfn.MAXIFS(Changements!$B:$B,Changements!$A:$A,A290,Changements!$C:$C,B290),""))</f>
        <v/>
      </c>
      <c r="J290" s="11" t="str">
        <f t="shared" si="21"/>
        <v/>
      </c>
      <c r="K290" s="17">
        <f t="shared" si="22"/>
        <v>0</v>
      </c>
      <c r="L290" s="17">
        <f>IF(B290="",0,COUNTIFS(Changements!$A:$A,A290,Changements!$D:$D,B290)+IF(E290="Oui",1,0))</f>
        <v>0</v>
      </c>
      <c r="M290" s="17">
        <f>IF(B290="",0,COUNTIFS(Changements!$A:$A,A290,Changements!$C:$C,B290))</f>
        <v>0</v>
      </c>
      <c r="N290" s="17">
        <f>IF(B290="",0,SUMIFS(Changements!$B:$B,Changements!$A:$A,A290,Changements!$D:$D,B290))</f>
        <v>0</v>
      </c>
      <c r="O290" s="17">
        <f>IF(B290="",0,SUMIFS(Changements!$B:$B,Changements!$A:$A,A290,Changements!$C:$C,B290)+IF(L290&gt;M290,IFERROR(INDEX(Matchs!$F$4:$F$31,MATCH(A290,Matchs!$A$4:$A$31,0)),0),0))</f>
        <v>0</v>
      </c>
      <c r="P290" s="17">
        <f t="shared" si="23"/>
        <v>0</v>
      </c>
      <c r="Q290" s="17">
        <f t="shared" si="24"/>
        <v>0</v>
      </c>
    </row>
    <row r="291" spans="1:17" ht="15" customHeight="1" x14ac:dyDescent="0.25">
      <c r="A291" s="11">
        <f t="shared" si="20"/>
        <v>12</v>
      </c>
      <c r="B291" s="10"/>
      <c r="C291" s="10"/>
      <c r="D291" s="10"/>
      <c r="E291" s="10"/>
      <c r="F291" s="19" t="str">
        <f>IF(B291="","",IF(AND(E291="Oui",COUNTIFS(Changements!$A:$A,A291,Changements!$D:$D,B291)&gt;0),"⚠ Titulaire+entrée ?",IF(ABS(L291-M291)&gt;1,"⚠ vérifier","")))</f>
        <v/>
      </c>
      <c r="G291" s="11" t="str">
        <f>IF(B291="","",IFERROR(INDEX('Effectif Saison'!$D$4:$D$51,MATCH(B291,'Effectif Saison'!$E$4:$E$51,0)),""))</f>
        <v/>
      </c>
      <c r="H291" s="19" t="str">
        <f>IF(L291=0,"",IF(E291="Oui",0,IFERROR(_xlfn.MINIFS(Changements!$B:$B,Changements!$A:$A,A291,Changements!$D:$D,B291),"")))</f>
        <v/>
      </c>
      <c r="I291" s="19" t="str">
        <f>IF(M291=0,"",IFERROR(_xlfn.MAXIFS(Changements!$B:$B,Changements!$A:$A,A291,Changements!$C:$C,B291),""))</f>
        <v/>
      </c>
      <c r="J291" s="11" t="str">
        <f t="shared" si="21"/>
        <v/>
      </c>
      <c r="K291" s="17">
        <f t="shared" si="22"/>
        <v>0</v>
      </c>
      <c r="L291" s="17">
        <f>IF(B291="",0,COUNTIFS(Changements!$A:$A,A291,Changements!$D:$D,B291)+IF(E291="Oui",1,0))</f>
        <v>0</v>
      </c>
      <c r="M291" s="17">
        <f>IF(B291="",0,COUNTIFS(Changements!$A:$A,A291,Changements!$C:$C,B291))</f>
        <v>0</v>
      </c>
      <c r="N291" s="17">
        <f>IF(B291="",0,SUMIFS(Changements!$B:$B,Changements!$A:$A,A291,Changements!$D:$D,B291))</f>
        <v>0</v>
      </c>
      <c r="O291" s="17">
        <f>IF(B291="",0,SUMIFS(Changements!$B:$B,Changements!$A:$A,A291,Changements!$C:$C,B291)+IF(L291&gt;M291,IFERROR(INDEX(Matchs!$F$4:$F$31,MATCH(A291,Matchs!$A$4:$A$31,0)),0),0))</f>
        <v>0</v>
      </c>
      <c r="P291" s="17">
        <f t="shared" si="23"/>
        <v>0</v>
      </c>
      <c r="Q291" s="17">
        <f t="shared" si="24"/>
        <v>0</v>
      </c>
    </row>
    <row r="292" spans="1:17" ht="15" customHeight="1" x14ac:dyDescent="0.25">
      <c r="A292" s="11">
        <f t="shared" si="20"/>
        <v>13</v>
      </c>
      <c r="B292" s="11" t="str">
        <f>INDEX('Effectif Saison'!$E$4:$E$22,1)</f>
        <v>Alan MICHON</v>
      </c>
      <c r="C292" s="10"/>
      <c r="D292" s="10"/>
      <c r="E292" s="10"/>
      <c r="F292" s="19" t="str">
        <f>IF(B292="","",IF(AND(E292="Oui",COUNTIFS(Changements!$A:$A,A292,Changements!$D:$D,B292)&gt;0),"⚠ Titulaire+entrée ?",IF(ABS(L292-M292)&gt;1,"⚠ vérifier","")))</f>
        <v/>
      </c>
      <c r="G292" s="11" t="str">
        <f>IF(B292="","",IFERROR(INDEX('Effectif Saison'!$D$4:$D$51,MATCH(B292,'Effectif Saison'!$E$4:$E$51,0)),""))</f>
        <v>Équipe 1</v>
      </c>
      <c r="H292" s="19" t="str">
        <f>IF(L292=0,"",IF(E292="Oui",0,IFERROR(_xlfn.MINIFS(Changements!$B:$B,Changements!$A:$A,A292,Changements!$D:$D,B292),"")))</f>
        <v/>
      </c>
      <c r="I292" s="19" t="str">
        <f>IF(M292=0,"",IFERROR(_xlfn.MAXIFS(Changements!$B:$B,Changements!$A:$A,A292,Changements!$C:$C,B292),""))</f>
        <v/>
      </c>
      <c r="J292" s="11" t="str">
        <f t="shared" si="21"/>
        <v/>
      </c>
      <c r="K292" s="17">
        <f t="shared" si="22"/>
        <v>0</v>
      </c>
      <c r="L292" s="17">
        <f>IF(B292="",0,COUNTIFS(Changements!$A:$A,A292,Changements!$D:$D,B292)+IF(E292="Oui",1,0))</f>
        <v>0</v>
      </c>
      <c r="M292" s="17">
        <f>IF(B292="",0,COUNTIFS(Changements!$A:$A,A292,Changements!$C:$C,B292))</f>
        <v>0</v>
      </c>
      <c r="N292" s="17">
        <f>IF(B292="",0,SUMIFS(Changements!$B:$B,Changements!$A:$A,A292,Changements!$D:$D,B292))</f>
        <v>0</v>
      </c>
      <c r="O292" s="17">
        <f>IF(B292="",0,SUMIFS(Changements!$B:$B,Changements!$A:$A,A292,Changements!$C:$C,B292)+IF(L292&gt;M292,IFERROR(INDEX(Matchs!$F$4:$F$31,MATCH(A292,Matchs!$A$4:$A$31,0)),0),0))</f>
        <v>0</v>
      </c>
      <c r="P292" s="17">
        <f t="shared" si="23"/>
        <v>0</v>
      </c>
      <c r="Q292" s="17">
        <f t="shared" si="24"/>
        <v>0</v>
      </c>
    </row>
    <row r="293" spans="1:17" ht="15" customHeight="1" x14ac:dyDescent="0.25">
      <c r="A293" s="11">
        <f t="shared" si="20"/>
        <v>13</v>
      </c>
      <c r="B293" s="11" t="str">
        <f>INDEX('Effectif Saison'!$E$4:$E$22,2)</f>
        <v>Jean BRUNTZ</v>
      </c>
      <c r="C293" s="10"/>
      <c r="D293" s="10"/>
      <c r="E293" s="10"/>
      <c r="F293" s="19" t="str">
        <f>IF(B293="","",IF(AND(E293="Oui",COUNTIFS(Changements!$A:$A,A293,Changements!$D:$D,B293)&gt;0),"⚠ Titulaire+entrée ?",IF(ABS(L293-M293)&gt;1,"⚠ vérifier","")))</f>
        <v/>
      </c>
      <c r="G293" s="11" t="str">
        <f>IF(B293="","",IFERROR(INDEX('Effectif Saison'!$D$4:$D$51,MATCH(B293,'Effectif Saison'!$E$4:$E$51,0)),""))</f>
        <v>Équipe 1</v>
      </c>
      <c r="H293" s="19" t="str">
        <f>IF(L293=0,"",IF(E293="Oui",0,IFERROR(_xlfn.MINIFS(Changements!$B:$B,Changements!$A:$A,A293,Changements!$D:$D,B293),"")))</f>
        <v/>
      </c>
      <c r="I293" s="19" t="str">
        <f>IF(M293=0,"",IFERROR(_xlfn.MAXIFS(Changements!$B:$B,Changements!$A:$A,A293,Changements!$C:$C,B293),""))</f>
        <v/>
      </c>
      <c r="J293" s="11" t="str">
        <f t="shared" si="21"/>
        <v/>
      </c>
      <c r="K293" s="17">
        <f t="shared" si="22"/>
        <v>0</v>
      </c>
      <c r="L293" s="17">
        <f>IF(B293="",0,COUNTIFS(Changements!$A:$A,A293,Changements!$D:$D,B293)+IF(E293="Oui",1,0))</f>
        <v>0</v>
      </c>
      <c r="M293" s="17">
        <f>IF(B293="",0,COUNTIFS(Changements!$A:$A,A293,Changements!$C:$C,B293))</f>
        <v>0</v>
      </c>
      <c r="N293" s="17">
        <f>IF(B293="",0,SUMIFS(Changements!$B:$B,Changements!$A:$A,A293,Changements!$D:$D,B293))</f>
        <v>0</v>
      </c>
      <c r="O293" s="17">
        <f>IF(B293="",0,SUMIFS(Changements!$B:$B,Changements!$A:$A,A293,Changements!$C:$C,B293)+IF(L293&gt;M293,IFERROR(INDEX(Matchs!$F$4:$F$31,MATCH(A293,Matchs!$A$4:$A$31,0)),0),0))</f>
        <v>0</v>
      </c>
      <c r="P293" s="17">
        <f t="shared" si="23"/>
        <v>0</v>
      </c>
      <c r="Q293" s="17">
        <f t="shared" si="24"/>
        <v>0</v>
      </c>
    </row>
    <row r="294" spans="1:17" ht="15" customHeight="1" x14ac:dyDescent="0.25">
      <c r="A294" s="11">
        <f t="shared" si="20"/>
        <v>13</v>
      </c>
      <c r="B294" s="11" t="str">
        <f>INDEX('Effectif Saison'!$E$4:$E$22,3)</f>
        <v>Marouane SBK</v>
      </c>
      <c r="C294" s="10"/>
      <c r="D294" s="10"/>
      <c r="E294" s="10"/>
      <c r="F294" s="19" t="str">
        <f>IF(B294="","",IF(AND(E294="Oui",COUNTIFS(Changements!$A:$A,A294,Changements!$D:$D,B294)&gt;0),"⚠ Titulaire+entrée ?",IF(ABS(L294-M294)&gt;1,"⚠ vérifier","")))</f>
        <v/>
      </c>
      <c r="G294" s="11" t="str">
        <f>IF(B294="","",IFERROR(INDEX('Effectif Saison'!$D$4:$D$51,MATCH(B294,'Effectif Saison'!$E$4:$E$51,0)),""))</f>
        <v>Équipe 1</v>
      </c>
      <c r="H294" s="19" t="str">
        <f>IF(L294=0,"",IF(E294="Oui",0,IFERROR(_xlfn.MINIFS(Changements!$B:$B,Changements!$A:$A,A294,Changements!$D:$D,B294),"")))</f>
        <v/>
      </c>
      <c r="I294" s="19" t="str">
        <f>IF(M294=0,"",IFERROR(_xlfn.MAXIFS(Changements!$B:$B,Changements!$A:$A,A294,Changements!$C:$C,B294),""))</f>
        <v/>
      </c>
      <c r="J294" s="11" t="str">
        <f t="shared" si="21"/>
        <v/>
      </c>
      <c r="K294" s="17">
        <f t="shared" si="22"/>
        <v>0</v>
      </c>
      <c r="L294" s="17">
        <f>IF(B294="",0,COUNTIFS(Changements!$A:$A,A294,Changements!$D:$D,B294)+IF(E294="Oui",1,0))</f>
        <v>0</v>
      </c>
      <c r="M294" s="17">
        <f>IF(B294="",0,COUNTIFS(Changements!$A:$A,A294,Changements!$C:$C,B294))</f>
        <v>0</v>
      </c>
      <c r="N294" s="17">
        <f>IF(B294="",0,SUMIFS(Changements!$B:$B,Changements!$A:$A,A294,Changements!$D:$D,B294))</f>
        <v>0</v>
      </c>
      <c r="O294" s="17">
        <f>IF(B294="",0,SUMIFS(Changements!$B:$B,Changements!$A:$A,A294,Changements!$C:$C,B294)+IF(L294&gt;M294,IFERROR(INDEX(Matchs!$F$4:$F$31,MATCH(A294,Matchs!$A$4:$A$31,0)),0),0))</f>
        <v>0</v>
      </c>
      <c r="P294" s="17">
        <f t="shared" si="23"/>
        <v>0</v>
      </c>
      <c r="Q294" s="17">
        <f t="shared" si="24"/>
        <v>0</v>
      </c>
    </row>
    <row r="295" spans="1:17" ht="15" customHeight="1" x14ac:dyDescent="0.25">
      <c r="A295" s="11">
        <f t="shared" si="20"/>
        <v>13</v>
      </c>
      <c r="B295" s="11" t="str">
        <f>INDEX('Effectif Saison'!$E$4:$E$22,4)</f>
        <v>Noé BIHL</v>
      </c>
      <c r="C295" s="10"/>
      <c r="D295" s="10"/>
      <c r="E295" s="10"/>
      <c r="F295" s="19" t="str">
        <f>IF(B295="","",IF(AND(E295="Oui",COUNTIFS(Changements!$A:$A,A295,Changements!$D:$D,B295)&gt;0),"⚠ Titulaire+entrée ?",IF(ABS(L295-M295)&gt;1,"⚠ vérifier","")))</f>
        <v/>
      </c>
      <c r="G295" s="11" t="str">
        <f>IF(B295="","",IFERROR(INDEX('Effectif Saison'!$D$4:$D$51,MATCH(B295,'Effectif Saison'!$E$4:$E$51,0)),""))</f>
        <v>Équipe 1</v>
      </c>
      <c r="H295" s="19" t="str">
        <f>IF(L295=0,"",IF(E295="Oui",0,IFERROR(_xlfn.MINIFS(Changements!$B:$B,Changements!$A:$A,A295,Changements!$D:$D,B295),"")))</f>
        <v/>
      </c>
      <c r="I295" s="19" t="str">
        <f>IF(M295=0,"",IFERROR(_xlfn.MAXIFS(Changements!$B:$B,Changements!$A:$A,A295,Changements!$C:$C,B295),""))</f>
        <v/>
      </c>
      <c r="J295" s="11" t="str">
        <f t="shared" si="21"/>
        <v/>
      </c>
      <c r="K295" s="17">
        <f t="shared" si="22"/>
        <v>0</v>
      </c>
      <c r="L295" s="17">
        <f>IF(B295="",0,COUNTIFS(Changements!$A:$A,A295,Changements!$D:$D,B295)+IF(E295="Oui",1,0))</f>
        <v>0</v>
      </c>
      <c r="M295" s="17">
        <f>IF(B295="",0,COUNTIFS(Changements!$A:$A,A295,Changements!$C:$C,B295))</f>
        <v>0</v>
      </c>
      <c r="N295" s="17">
        <f>IF(B295="",0,SUMIFS(Changements!$B:$B,Changements!$A:$A,A295,Changements!$D:$D,B295))</f>
        <v>0</v>
      </c>
      <c r="O295" s="17">
        <f>IF(B295="",0,SUMIFS(Changements!$B:$B,Changements!$A:$A,A295,Changements!$C:$C,B295)+IF(L295&gt;M295,IFERROR(INDEX(Matchs!$F$4:$F$31,MATCH(A295,Matchs!$A$4:$A$31,0)),0),0))</f>
        <v>0</v>
      </c>
      <c r="P295" s="17">
        <f t="shared" si="23"/>
        <v>0</v>
      </c>
      <c r="Q295" s="17">
        <f t="shared" si="24"/>
        <v>0</v>
      </c>
    </row>
    <row r="296" spans="1:17" ht="15" customHeight="1" x14ac:dyDescent="0.25">
      <c r="A296" s="11">
        <f t="shared" si="20"/>
        <v>13</v>
      </c>
      <c r="B296" s="11" t="str">
        <f>INDEX('Effectif Saison'!$E$4:$E$22,5)</f>
        <v>Luca COLAIANNI</v>
      </c>
      <c r="C296" s="10"/>
      <c r="D296" s="10"/>
      <c r="E296" s="10"/>
      <c r="F296" s="19" t="str">
        <f>IF(B296="","",IF(AND(E296="Oui",COUNTIFS(Changements!$A:$A,A296,Changements!$D:$D,B296)&gt;0),"⚠ Titulaire+entrée ?",IF(ABS(L296-M296)&gt;1,"⚠ vérifier","")))</f>
        <v/>
      </c>
      <c r="G296" s="11" t="str">
        <f>IF(B296="","",IFERROR(INDEX('Effectif Saison'!$D$4:$D$51,MATCH(B296,'Effectif Saison'!$E$4:$E$51,0)),""))</f>
        <v>Équipe 1</v>
      </c>
      <c r="H296" s="19" t="str">
        <f>IF(L296=0,"",IF(E296="Oui",0,IFERROR(_xlfn.MINIFS(Changements!$B:$B,Changements!$A:$A,A296,Changements!$D:$D,B296),"")))</f>
        <v/>
      </c>
      <c r="I296" s="19" t="str">
        <f>IF(M296=0,"",IFERROR(_xlfn.MAXIFS(Changements!$B:$B,Changements!$A:$A,A296,Changements!$C:$C,B296),""))</f>
        <v/>
      </c>
      <c r="J296" s="11" t="str">
        <f t="shared" si="21"/>
        <v/>
      </c>
      <c r="K296" s="17">
        <f t="shared" si="22"/>
        <v>0</v>
      </c>
      <c r="L296" s="17">
        <f>IF(B296="",0,COUNTIFS(Changements!$A:$A,A296,Changements!$D:$D,B296)+IF(E296="Oui",1,0))</f>
        <v>0</v>
      </c>
      <c r="M296" s="17">
        <f>IF(B296="",0,COUNTIFS(Changements!$A:$A,A296,Changements!$C:$C,B296))</f>
        <v>0</v>
      </c>
      <c r="N296" s="17">
        <f>IF(B296="",0,SUMIFS(Changements!$B:$B,Changements!$A:$A,A296,Changements!$D:$D,B296))</f>
        <v>0</v>
      </c>
      <c r="O296" s="17">
        <f>IF(B296="",0,SUMIFS(Changements!$B:$B,Changements!$A:$A,A296,Changements!$C:$C,B296)+IF(L296&gt;M296,IFERROR(INDEX(Matchs!$F$4:$F$31,MATCH(A296,Matchs!$A$4:$A$31,0)),0),0))</f>
        <v>0</v>
      </c>
      <c r="P296" s="17">
        <f t="shared" si="23"/>
        <v>0</v>
      </c>
      <c r="Q296" s="17">
        <f t="shared" si="24"/>
        <v>0</v>
      </c>
    </row>
    <row r="297" spans="1:17" ht="15" customHeight="1" x14ac:dyDescent="0.25">
      <c r="A297" s="11">
        <f t="shared" si="20"/>
        <v>13</v>
      </c>
      <c r="B297" s="11" t="str">
        <f>INDEX('Effectif Saison'!$E$4:$E$22,6)</f>
        <v>Atilla ER</v>
      </c>
      <c r="C297" s="10"/>
      <c r="D297" s="10"/>
      <c r="E297" s="10"/>
      <c r="F297" s="19" t="str">
        <f>IF(B297="","",IF(AND(E297="Oui",COUNTIFS(Changements!$A:$A,A297,Changements!$D:$D,B297)&gt;0),"⚠ Titulaire+entrée ?",IF(ABS(L297-M297)&gt;1,"⚠ vérifier","")))</f>
        <v/>
      </c>
      <c r="G297" s="11" t="str">
        <f>IF(B297="","",IFERROR(INDEX('Effectif Saison'!$D$4:$D$51,MATCH(B297,'Effectif Saison'!$E$4:$E$51,0)),""))</f>
        <v>Équipe 1</v>
      </c>
      <c r="H297" s="19" t="str">
        <f>IF(L297=0,"",IF(E297="Oui",0,IFERROR(_xlfn.MINIFS(Changements!$B:$B,Changements!$A:$A,A297,Changements!$D:$D,B297),"")))</f>
        <v/>
      </c>
      <c r="I297" s="19" t="str">
        <f>IF(M297=0,"",IFERROR(_xlfn.MAXIFS(Changements!$B:$B,Changements!$A:$A,A297,Changements!$C:$C,B297),""))</f>
        <v/>
      </c>
      <c r="J297" s="11" t="str">
        <f t="shared" si="21"/>
        <v/>
      </c>
      <c r="K297" s="17">
        <f t="shared" si="22"/>
        <v>0</v>
      </c>
      <c r="L297" s="17">
        <f>IF(B297="",0,COUNTIFS(Changements!$A:$A,A297,Changements!$D:$D,B297)+IF(E297="Oui",1,0))</f>
        <v>0</v>
      </c>
      <c r="M297" s="17">
        <f>IF(B297="",0,COUNTIFS(Changements!$A:$A,A297,Changements!$C:$C,B297))</f>
        <v>0</v>
      </c>
      <c r="N297" s="17">
        <f>IF(B297="",0,SUMIFS(Changements!$B:$B,Changements!$A:$A,A297,Changements!$D:$D,B297))</f>
        <v>0</v>
      </c>
      <c r="O297" s="17">
        <f>IF(B297="",0,SUMIFS(Changements!$B:$B,Changements!$A:$A,A297,Changements!$C:$C,B297)+IF(L297&gt;M297,IFERROR(INDEX(Matchs!$F$4:$F$31,MATCH(A297,Matchs!$A$4:$A$31,0)),0),0))</f>
        <v>0</v>
      </c>
      <c r="P297" s="17">
        <f t="shared" si="23"/>
        <v>0</v>
      </c>
      <c r="Q297" s="17">
        <f t="shared" si="24"/>
        <v>0</v>
      </c>
    </row>
    <row r="298" spans="1:17" ht="15" customHeight="1" x14ac:dyDescent="0.25">
      <c r="A298" s="11">
        <f t="shared" si="20"/>
        <v>13</v>
      </c>
      <c r="B298" s="11" t="str">
        <f>INDEX('Effectif Saison'!$E$4:$E$22,7)</f>
        <v>Lucas BUHR</v>
      </c>
      <c r="C298" s="10"/>
      <c r="D298" s="10"/>
      <c r="E298" s="10"/>
      <c r="F298" s="19" t="str">
        <f>IF(B298="","",IF(AND(E298="Oui",COUNTIFS(Changements!$A:$A,A298,Changements!$D:$D,B298)&gt;0),"⚠ Titulaire+entrée ?",IF(ABS(L298-M298)&gt;1,"⚠ vérifier","")))</f>
        <v/>
      </c>
      <c r="G298" s="11" t="str">
        <f>IF(B298="","",IFERROR(INDEX('Effectif Saison'!$D$4:$D$51,MATCH(B298,'Effectif Saison'!$E$4:$E$51,0)),""))</f>
        <v>Équipe 1</v>
      </c>
      <c r="H298" s="19" t="str">
        <f>IF(L298=0,"",IF(E298="Oui",0,IFERROR(_xlfn.MINIFS(Changements!$B:$B,Changements!$A:$A,A298,Changements!$D:$D,B298),"")))</f>
        <v/>
      </c>
      <c r="I298" s="19" t="str">
        <f>IF(M298=0,"",IFERROR(_xlfn.MAXIFS(Changements!$B:$B,Changements!$A:$A,A298,Changements!$C:$C,B298),""))</f>
        <v/>
      </c>
      <c r="J298" s="11" t="str">
        <f t="shared" si="21"/>
        <v/>
      </c>
      <c r="K298" s="17">
        <f t="shared" si="22"/>
        <v>0</v>
      </c>
      <c r="L298" s="17">
        <f>IF(B298="",0,COUNTIFS(Changements!$A:$A,A298,Changements!$D:$D,B298)+IF(E298="Oui",1,0))</f>
        <v>0</v>
      </c>
      <c r="M298" s="17">
        <f>IF(B298="",0,COUNTIFS(Changements!$A:$A,A298,Changements!$C:$C,B298))</f>
        <v>0</v>
      </c>
      <c r="N298" s="17">
        <f>IF(B298="",0,SUMIFS(Changements!$B:$B,Changements!$A:$A,A298,Changements!$D:$D,B298))</f>
        <v>0</v>
      </c>
      <c r="O298" s="17">
        <f>IF(B298="",0,SUMIFS(Changements!$B:$B,Changements!$A:$A,A298,Changements!$C:$C,B298)+IF(L298&gt;M298,IFERROR(INDEX(Matchs!$F$4:$F$31,MATCH(A298,Matchs!$A$4:$A$31,0)),0),0))</f>
        <v>0</v>
      </c>
      <c r="P298" s="17">
        <f t="shared" si="23"/>
        <v>0</v>
      </c>
      <c r="Q298" s="17">
        <f t="shared" si="24"/>
        <v>0</v>
      </c>
    </row>
    <row r="299" spans="1:17" ht="15" customHeight="1" x14ac:dyDescent="0.25">
      <c r="A299" s="11">
        <f t="shared" si="20"/>
        <v>13</v>
      </c>
      <c r="B299" s="11" t="str">
        <f>INDEX('Effectif Saison'!$E$4:$E$22,8)</f>
        <v>Yanis HOUX</v>
      </c>
      <c r="C299" s="10"/>
      <c r="D299" s="10"/>
      <c r="E299" s="10"/>
      <c r="F299" s="19" t="str">
        <f>IF(B299="","",IF(AND(E299="Oui",COUNTIFS(Changements!$A:$A,A299,Changements!$D:$D,B299)&gt;0),"⚠ Titulaire+entrée ?",IF(ABS(L299-M299)&gt;1,"⚠ vérifier","")))</f>
        <v/>
      </c>
      <c r="G299" s="11" t="str">
        <f>IF(B299="","",IFERROR(INDEX('Effectif Saison'!$D$4:$D$51,MATCH(B299,'Effectif Saison'!$E$4:$E$51,0)),""))</f>
        <v>Équipe 1</v>
      </c>
      <c r="H299" s="19" t="str">
        <f>IF(L299=0,"",IF(E299="Oui",0,IFERROR(_xlfn.MINIFS(Changements!$B:$B,Changements!$A:$A,A299,Changements!$D:$D,B299),"")))</f>
        <v/>
      </c>
      <c r="I299" s="19" t="str">
        <f>IF(M299=0,"",IFERROR(_xlfn.MAXIFS(Changements!$B:$B,Changements!$A:$A,A299,Changements!$C:$C,B299),""))</f>
        <v/>
      </c>
      <c r="J299" s="11" t="str">
        <f t="shared" si="21"/>
        <v/>
      </c>
      <c r="K299" s="17">
        <f t="shared" si="22"/>
        <v>0</v>
      </c>
      <c r="L299" s="17">
        <f>IF(B299="",0,COUNTIFS(Changements!$A:$A,A299,Changements!$D:$D,B299)+IF(E299="Oui",1,0))</f>
        <v>0</v>
      </c>
      <c r="M299" s="17">
        <f>IF(B299="",0,COUNTIFS(Changements!$A:$A,A299,Changements!$C:$C,B299))</f>
        <v>0</v>
      </c>
      <c r="N299" s="17">
        <f>IF(B299="",0,SUMIFS(Changements!$B:$B,Changements!$A:$A,A299,Changements!$D:$D,B299))</f>
        <v>0</v>
      </c>
      <c r="O299" s="17">
        <f>IF(B299="",0,SUMIFS(Changements!$B:$B,Changements!$A:$A,A299,Changements!$C:$C,B299)+IF(L299&gt;M299,IFERROR(INDEX(Matchs!$F$4:$F$31,MATCH(A299,Matchs!$A$4:$A$31,0)),0),0))</f>
        <v>0</v>
      </c>
      <c r="P299" s="17">
        <f t="shared" si="23"/>
        <v>0</v>
      </c>
      <c r="Q299" s="17">
        <f t="shared" si="24"/>
        <v>0</v>
      </c>
    </row>
    <row r="300" spans="1:17" ht="15" customHeight="1" x14ac:dyDescent="0.25">
      <c r="A300" s="11">
        <f t="shared" si="20"/>
        <v>13</v>
      </c>
      <c r="B300" s="11" t="str">
        <f>INDEX('Effectif Saison'!$E$4:$E$22,9)</f>
        <v>Tino COLAIANNI</v>
      </c>
      <c r="C300" s="10"/>
      <c r="D300" s="10"/>
      <c r="E300" s="10"/>
      <c r="F300" s="19" t="str">
        <f>IF(B300="","",IF(AND(E300="Oui",COUNTIFS(Changements!$A:$A,A300,Changements!$D:$D,B300)&gt;0),"⚠ Titulaire+entrée ?",IF(ABS(L300-M300)&gt;1,"⚠ vérifier","")))</f>
        <v/>
      </c>
      <c r="G300" s="11" t="str">
        <f>IF(B300="","",IFERROR(INDEX('Effectif Saison'!$D$4:$D$51,MATCH(B300,'Effectif Saison'!$E$4:$E$51,0)),""))</f>
        <v>Équipe 1</v>
      </c>
      <c r="H300" s="19" t="str">
        <f>IF(L300=0,"",IF(E300="Oui",0,IFERROR(_xlfn.MINIFS(Changements!$B:$B,Changements!$A:$A,A300,Changements!$D:$D,B300),"")))</f>
        <v/>
      </c>
      <c r="I300" s="19" t="str">
        <f>IF(M300=0,"",IFERROR(_xlfn.MAXIFS(Changements!$B:$B,Changements!$A:$A,A300,Changements!$C:$C,B300),""))</f>
        <v/>
      </c>
      <c r="J300" s="11" t="str">
        <f t="shared" si="21"/>
        <v/>
      </c>
      <c r="K300" s="17">
        <f t="shared" si="22"/>
        <v>0</v>
      </c>
      <c r="L300" s="17">
        <f>IF(B300="",0,COUNTIFS(Changements!$A:$A,A300,Changements!$D:$D,B300)+IF(E300="Oui",1,0))</f>
        <v>0</v>
      </c>
      <c r="M300" s="17">
        <f>IF(B300="",0,COUNTIFS(Changements!$A:$A,A300,Changements!$C:$C,B300))</f>
        <v>0</v>
      </c>
      <c r="N300" s="17">
        <f>IF(B300="",0,SUMIFS(Changements!$B:$B,Changements!$A:$A,A300,Changements!$D:$D,B300))</f>
        <v>0</v>
      </c>
      <c r="O300" s="17">
        <f>IF(B300="",0,SUMIFS(Changements!$B:$B,Changements!$A:$A,A300,Changements!$C:$C,B300)+IF(L300&gt;M300,IFERROR(INDEX(Matchs!$F$4:$F$31,MATCH(A300,Matchs!$A$4:$A$31,0)),0),0))</f>
        <v>0</v>
      </c>
      <c r="P300" s="17">
        <f t="shared" si="23"/>
        <v>0</v>
      </c>
      <c r="Q300" s="17">
        <f t="shared" si="24"/>
        <v>0</v>
      </c>
    </row>
    <row r="301" spans="1:17" ht="15" customHeight="1" x14ac:dyDescent="0.25">
      <c r="A301" s="11">
        <f t="shared" si="20"/>
        <v>13</v>
      </c>
      <c r="B301" s="11" t="str">
        <f>INDEX('Effectif Saison'!$E$4:$E$22,10)</f>
        <v>Achille KELLERKNECHT</v>
      </c>
      <c r="C301" s="10"/>
      <c r="D301" s="10"/>
      <c r="E301" s="10"/>
      <c r="F301" s="19" t="str">
        <f>IF(B301="","",IF(AND(E301="Oui",COUNTIFS(Changements!$A:$A,A301,Changements!$D:$D,B301)&gt;0),"⚠ Titulaire+entrée ?",IF(ABS(L301-M301)&gt;1,"⚠ vérifier","")))</f>
        <v/>
      </c>
      <c r="G301" s="11" t="str">
        <f>IF(B301="","",IFERROR(INDEX('Effectif Saison'!$D$4:$D$51,MATCH(B301,'Effectif Saison'!$E$4:$E$51,0)),""))</f>
        <v>Équipe 1</v>
      </c>
      <c r="H301" s="19" t="str">
        <f>IF(L301=0,"",IF(E301="Oui",0,IFERROR(_xlfn.MINIFS(Changements!$B:$B,Changements!$A:$A,A301,Changements!$D:$D,B301),"")))</f>
        <v/>
      </c>
      <c r="I301" s="19" t="str">
        <f>IF(M301=0,"",IFERROR(_xlfn.MAXIFS(Changements!$B:$B,Changements!$A:$A,A301,Changements!$C:$C,B301),""))</f>
        <v/>
      </c>
      <c r="J301" s="11" t="str">
        <f t="shared" si="21"/>
        <v/>
      </c>
      <c r="K301" s="17">
        <f t="shared" si="22"/>
        <v>0</v>
      </c>
      <c r="L301" s="17">
        <f>IF(B301="",0,COUNTIFS(Changements!$A:$A,A301,Changements!$D:$D,B301)+IF(E301="Oui",1,0))</f>
        <v>0</v>
      </c>
      <c r="M301" s="17">
        <f>IF(B301="",0,COUNTIFS(Changements!$A:$A,A301,Changements!$C:$C,B301))</f>
        <v>0</v>
      </c>
      <c r="N301" s="17">
        <f>IF(B301="",0,SUMIFS(Changements!$B:$B,Changements!$A:$A,A301,Changements!$D:$D,B301))</f>
        <v>0</v>
      </c>
      <c r="O301" s="17">
        <f>IF(B301="",0,SUMIFS(Changements!$B:$B,Changements!$A:$A,A301,Changements!$C:$C,B301)+IF(L301&gt;M301,IFERROR(INDEX(Matchs!$F$4:$F$31,MATCH(A301,Matchs!$A$4:$A$31,0)),0),0))</f>
        <v>0</v>
      </c>
      <c r="P301" s="17">
        <f t="shared" si="23"/>
        <v>0</v>
      </c>
      <c r="Q301" s="17">
        <f t="shared" si="24"/>
        <v>0</v>
      </c>
    </row>
    <row r="302" spans="1:17" ht="15" customHeight="1" x14ac:dyDescent="0.25">
      <c r="A302" s="11">
        <f t="shared" si="20"/>
        <v>13</v>
      </c>
      <c r="B302" s="11" t="str">
        <f>INDEX('Effectif Saison'!$E$4:$E$22,11)</f>
        <v>Charly LEPERT</v>
      </c>
      <c r="C302" s="10"/>
      <c r="D302" s="10"/>
      <c r="E302" s="10"/>
      <c r="F302" s="19" t="str">
        <f>IF(B302="","",IF(AND(E302="Oui",COUNTIFS(Changements!$A:$A,A302,Changements!$D:$D,B302)&gt;0),"⚠ Titulaire+entrée ?",IF(ABS(L302-M302)&gt;1,"⚠ vérifier","")))</f>
        <v/>
      </c>
      <c r="G302" s="11" t="str">
        <f>IF(B302="","",IFERROR(INDEX('Effectif Saison'!$D$4:$D$51,MATCH(B302,'Effectif Saison'!$E$4:$E$51,0)),""))</f>
        <v>Équipe 1</v>
      </c>
      <c r="H302" s="19" t="str">
        <f>IF(L302=0,"",IF(E302="Oui",0,IFERROR(_xlfn.MINIFS(Changements!$B:$B,Changements!$A:$A,A302,Changements!$D:$D,B302),"")))</f>
        <v/>
      </c>
      <c r="I302" s="19" t="str">
        <f>IF(M302=0,"",IFERROR(_xlfn.MAXIFS(Changements!$B:$B,Changements!$A:$A,A302,Changements!$C:$C,B302),""))</f>
        <v/>
      </c>
      <c r="J302" s="11" t="str">
        <f t="shared" si="21"/>
        <v/>
      </c>
      <c r="K302" s="17">
        <f t="shared" si="22"/>
        <v>0</v>
      </c>
      <c r="L302" s="17">
        <f>IF(B302="",0,COUNTIFS(Changements!$A:$A,A302,Changements!$D:$D,B302)+IF(E302="Oui",1,0))</f>
        <v>0</v>
      </c>
      <c r="M302" s="17">
        <f>IF(B302="",0,COUNTIFS(Changements!$A:$A,A302,Changements!$C:$C,B302))</f>
        <v>0</v>
      </c>
      <c r="N302" s="17">
        <f>IF(B302="",0,SUMIFS(Changements!$B:$B,Changements!$A:$A,A302,Changements!$D:$D,B302))</f>
        <v>0</v>
      </c>
      <c r="O302" s="17">
        <f>IF(B302="",0,SUMIFS(Changements!$B:$B,Changements!$A:$A,A302,Changements!$C:$C,B302)+IF(L302&gt;M302,IFERROR(INDEX(Matchs!$F$4:$F$31,MATCH(A302,Matchs!$A$4:$A$31,0)),0),0))</f>
        <v>0</v>
      </c>
      <c r="P302" s="17">
        <f t="shared" si="23"/>
        <v>0</v>
      </c>
      <c r="Q302" s="17">
        <f t="shared" si="24"/>
        <v>0</v>
      </c>
    </row>
    <row r="303" spans="1:17" ht="15" customHeight="1" x14ac:dyDescent="0.25">
      <c r="A303" s="11">
        <f t="shared" si="20"/>
        <v>13</v>
      </c>
      <c r="B303" s="11" t="str">
        <f>INDEX('Effectif Saison'!$E$4:$E$22,12)</f>
        <v>Basile STANGRET</v>
      </c>
      <c r="C303" s="10"/>
      <c r="D303" s="10"/>
      <c r="E303" s="10"/>
      <c r="F303" s="19" t="str">
        <f>IF(B303="","",IF(AND(E303="Oui",COUNTIFS(Changements!$A:$A,A303,Changements!$D:$D,B303)&gt;0),"⚠ Titulaire+entrée ?",IF(ABS(L303-M303)&gt;1,"⚠ vérifier","")))</f>
        <v/>
      </c>
      <c r="G303" s="11" t="str">
        <f>IF(B303="","",IFERROR(INDEX('Effectif Saison'!$D$4:$D$51,MATCH(B303,'Effectif Saison'!$E$4:$E$51,0)),""))</f>
        <v>Équipe 1</v>
      </c>
      <c r="H303" s="19" t="str">
        <f>IF(L303=0,"",IF(E303="Oui",0,IFERROR(_xlfn.MINIFS(Changements!$B:$B,Changements!$A:$A,A303,Changements!$D:$D,B303),"")))</f>
        <v/>
      </c>
      <c r="I303" s="19" t="str">
        <f>IF(M303=0,"",IFERROR(_xlfn.MAXIFS(Changements!$B:$B,Changements!$A:$A,A303,Changements!$C:$C,B303),""))</f>
        <v/>
      </c>
      <c r="J303" s="11" t="str">
        <f t="shared" si="21"/>
        <v/>
      </c>
      <c r="K303" s="17">
        <f t="shared" si="22"/>
        <v>0</v>
      </c>
      <c r="L303" s="17">
        <f>IF(B303="",0,COUNTIFS(Changements!$A:$A,A303,Changements!$D:$D,B303)+IF(E303="Oui",1,0))</f>
        <v>0</v>
      </c>
      <c r="M303" s="17">
        <f>IF(B303="",0,COUNTIFS(Changements!$A:$A,A303,Changements!$C:$C,B303))</f>
        <v>0</v>
      </c>
      <c r="N303" s="17">
        <f>IF(B303="",0,SUMIFS(Changements!$B:$B,Changements!$A:$A,A303,Changements!$D:$D,B303))</f>
        <v>0</v>
      </c>
      <c r="O303" s="17">
        <f>IF(B303="",0,SUMIFS(Changements!$B:$B,Changements!$A:$A,A303,Changements!$C:$C,B303)+IF(L303&gt;M303,IFERROR(INDEX(Matchs!$F$4:$F$31,MATCH(A303,Matchs!$A$4:$A$31,0)),0),0))</f>
        <v>0</v>
      </c>
      <c r="P303" s="17">
        <f t="shared" si="23"/>
        <v>0</v>
      </c>
      <c r="Q303" s="17">
        <f t="shared" si="24"/>
        <v>0</v>
      </c>
    </row>
    <row r="304" spans="1:17" ht="15" customHeight="1" x14ac:dyDescent="0.25">
      <c r="A304" s="11">
        <f t="shared" si="20"/>
        <v>13</v>
      </c>
      <c r="B304" s="11" t="str">
        <f>INDEX('Effectif Saison'!$E$4:$E$22,13)</f>
        <v>Maxence KELLER</v>
      </c>
      <c r="C304" s="10"/>
      <c r="D304" s="10"/>
      <c r="E304" s="10"/>
      <c r="F304" s="19" t="str">
        <f>IF(B304="","",IF(AND(E304="Oui",COUNTIFS(Changements!$A:$A,A304,Changements!$D:$D,B304)&gt;0),"⚠ Titulaire+entrée ?",IF(ABS(L304-M304)&gt;1,"⚠ vérifier","")))</f>
        <v/>
      </c>
      <c r="G304" s="11" t="str">
        <f>IF(B304="","",IFERROR(INDEX('Effectif Saison'!$D$4:$D$51,MATCH(B304,'Effectif Saison'!$E$4:$E$51,0)),""))</f>
        <v>Équipe 1</v>
      </c>
      <c r="H304" s="19" t="str">
        <f>IF(L304=0,"",IF(E304="Oui",0,IFERROR(_xlfn.MINIFS(Changements!$B:$B,Changements!$A:$A,A304,Changements!$D:$D,B304),"")))</f>
        <v/>
      </c>
      <c r="I304" s="19" t="str">
        <f>IF(M304=0,"",IFERROR(_xlfn.MAXIFS(Changements!$B:$B,Changements!$A:$A,A304,Changements!$C:$C,B304),""))</f>
        <v/>
      </c>
      <c r="J304" s="11" t="str">
        <f t="shared" si="21"/>
        <v/>
      </c>
      <c r="K304" s="17">
        <f t="shared" si="22"/>
        <v>0</v>
      </c>
      <c r="L304" s="17">
        <f>IF(B304="",0,COUNTIFS(Changements!$A:$A,A304,Changements!$D:$D,B304)+IF(E304="Oui",1,0))</f>
        <v>0</v>
      </c>
      <c r="M304" s="17">
        <f>IF(B304="",0,COUNTIFS(Changements!$A:$A,A304,Changements!$C:$C,B304))</f>
        <v>0</v>
      </c>
      <c r="N304" s="17">
        <f>IF(B304="",0,SUMIFS(Changements!$B:$B,Changements!$A:$A,A304,Changements!$D:$D,B304))</f>
        <v>0</v>
      </c>
      <c r="O304" s="17">
        <f>IF(B304="",0,SUMIFS(Changements!$B:$B,Changements!$A:$A,A304,Changements!$C:$C,B304)+IF(L304&gt;M304,IFERROR(INDEX(Matchs!$F$4:$F$31,MATCH(A304,Matchs!$A$4:$A$31,0)),0),0))</f>
        <v>0</v>
      </c>
      <c r="P304" s="17">
        <f t="shared" si="23"/>
        <v>0</v>
      </c>
      <c r="Q304" s="17">
        <f t="shared" si="24"/>
        <v>0</v>
      </c>
    </row>
    <row r="305" spans="1:17" ht="15" customHeight="1" x14ac:dyDescent="0.25">
      <c r="A305" s="11">
        <f t="shared" si="20"/>
        <v>13</v>
      </c>
      <c r="B305" s="11" t="str">
        <f>INDEX('Effectif Saison'!$E$4:$E$22,14)</f>
        <v>Evan SCHMITT</v>
      </c>
      <c r="C305" s="10"/>
      <c r="D305" s="10"/>
      <c r="E305" s="10"/>
      <c r="F305" s="19" t="str">
        <f>IF(B305="","",IF(AND(E305="Oui",COUNTIFS(Changements!$A:$A,A305,Changements!$D:$D,B305)&gt;0),"⚠ Titulaire+entrée ?",IF(ABS(L305-M305)&gt;1,"⚠ vérifier","")))</f>
        <v/>
      </c>
      <c r="G305" s="11" t="str">
        <f>IF(B305="","",IFERROR(INDEX('Effectif Saison'!$D$4:$D$51,MATCH(B305,'Effectif Saison'!$E$4:$E$51,0)),""))</f>
        <v>Équipe 1</v>
      </c>
      <c r="H305" s="19" t="str">
        <f>IF(L305=0,"",IF(E305="Oui",0,IFERROR(_xlfn.MINIFS(Changements!$B:$B,Changements!$A:$A,A305,Changements!$D:$D,B305),"")))</f>
        <v/>
      </c>
      <c r="I305" s="19" t="str">
        <f>IF(M305=0,"",IFERROR(_xlfn.MAXIFS(Changements!$B:$B,Changements!$A:$A,A305,Changements!$C:$C,B305),""))</f>
        <v/>
      </c>
      <c r="J305" s="11" t="str">
        <f t="shared" si="21"/>
        <v/>
      </c>
      <c r="K305" s="17">
        <f t="shared" si="22"/>
        <v>0</v>
      </c>
      <c r="L305" s="17">
        <f>IF(B305="",0,COUNTIFS(Changements!$A:$A,A305,Changements!$D:$D,B305)+IF(E305="Oui",1,0))</f>
        <v>0</v>
      </c>
      <c r="M305" s="17">
        <f>IF(B305="",0,COUNTIFS(Changements!$A:$A,A305,Changements!$C:$C,B305))</f>
        <v>0</v>
      </c>
      <c r="N305" s="17">
        <f>IF(B305="",0,SUMIFS(Changements!$B:$B,Changements!$A:$A,A305,Changements!$D:$D,B305))</f>
        <v>0</v>
      </c>
      <c r="O305" s="17">
        <f>IF(B305="",0,SUMIFS(Changements!$B:$B,Changements!$A:$A,A305,Changements!$C:$C,B305)+IF(L305&gt;M305,IFERROR(INDEX(Matchs!$F$4:$F$31,MATCH(A305,Matchs!$A$4:$A$31,0)),0),0))</f>
        <v>0</v>
      </c>
      <c r="P305" s="17">
        <f t="shared" si="23"/>
        <v>0</v>
      </c>
      <c r="Q305" s="17">
        <f t="shared" si="24"/>
        <v>0</v>
      </c>
    </row>
    <row r="306" spans="1:17" ht="15" customHeight="1" x14ac:dyDescent="0.25">
      <c r="A306" s="11">
        <f t="shared" si="20"/>
        <v>13</v>
      </c>
      <c r="B306" s="11" t="str">
        <f>INDEX('Effectif Saison'!$E$4:$E$22,15)</f>
        <v>William SIMON</v>
      </c>
      <c r="C306" s="10"/>
      <c r="D306" s="10"/>
      <c r="E306" s="10"/>
      <c r="F306" s="19" t="str">
        <f>IF(B306="","",IF(AND(E306="Oui",COUNTIFS(Changements!$A:$A,A306,Changements!$D:$D,B306)&gt;0),"⚠ Titulaire+entrée ?",IF(ABS(L306-M306)&gt;1,"⚠ vérifier","")))</f>
        <v/>
      </c>
      <c r="G306" s="11" t="str">
        <f>IF(B306="","",IFERROR(INDEX('Effectif Saison'!$D$4:$D$51,MATCH(B306,'Effectif Saison'!$E$4:$E$51,0)),""))</f>
        <v>Équipe 1</v>
      </c>
      <c r="H306" s="19" t="str">
        <f>IF(L306=0,"",IF(E306="Oui",0,IFERROR(_xlfn.MINIFS(Changements!$B:$B,Changements!$A:$A,A306,Changements!$D:$D,B306),"")))</f>
        <v/>
      </c>
      <c r="I306" s="19" t="str">
        <f>IF(M306=0,"",IFERROR(_xlfn.MAXIFS(Changements!$B:$B,Changements!$A:$A,A306,Changements!$C:$C,B306),""))</f>
        <v/>
      </c>
      <c r="J306" s="11" t="str">
        <f t="shared" si="21"/>
        <v/>
      </c>
      <c r="K306" s="17">
        <f t="shared" si="22"/>
        <v>0</v>
      </c>
      <c r="L306" s="17">
        <f>IF(B306="",0,COUNTIFS(Changements!$A:$A,A306,Changements!$D:$D,B306)+IF(E306="Oui",1,0))</f>
        <v>0</v>
      </c>
      <c r="M306" s="17">
        <f>IF(B306="",0,COUNTIFS(Changements!$A:$A,A306,Changements!$C:$C,B306))</f>
        <v>0</v>
      </c>
      <c r="N306" s="17">
        <f>IF(B306="",0,SUMIFS(Changements!$B:$B,Changements!$A:$A,A306,Changements!$D:$D,B306))</f>
        <v>0</v>
      </c>
      <c r="O306" s="17">
        <f>IF(B306="",0,SUMIFS(Changements!$B:$B,Changements!$A:$A,A306,Changements!$C:$C,B306)+IF(L306&gt;M306,IFERROR(INDEX(Matchs!$F$4:$F$31,MATCH(A306,Matchs!$A$4:$A$31,0)),0),0))</f>
        <v>0</v>
      </c>
      <c r="P306" s="17">
        <f t="shared" si="23"/>
        <v>0</v>
      </c>
      <c r="Q306" s="17">
        <f t="shared" si="24"/>
        <v>0</v>
      </c>
    </row>
    <row r="307" spans="1:17" ht="15" customHeight="1" x14ac:dyDescent="0.25">
      <c r="A307" s="11">
        <f t="shared" si="20"/>
        <v>13</v>
      </c>
      <c r="B307" s="11" t="str">
        <f>INDEX('Effectif Saison'!$E$4:$E$22,16)</f>
        <v>Lenny LEPPER</v>
      </c>
      <c r="C307" s="10"/>
      <c r="D307" s="10"/>
      <c r="E307" s="10"/>
      <c r="F307" s="19" t="str">
        <f>IF(B307="","",IF(AND(E307="Oui",COUNTIFS(Changements!$A:$A,A307,Changements!$D:$D,B307)&gt;0),"⚠ Titulaire+entrée ?",IF(ABS(L307-M307)&gt;1,"⚠ vérifier","")))</f>
        <v/>
      </c>
      <c r="G307" s="11" t="str">
        <f>IF(B307="","",IFERROR(INDEX('Effectif Saison'!$D$4:$D$51,MATCH(B307,'Effectif Saison'!$E$4:$E$51,0)),""))</f>
        <v>Équipe 1</v>
      </c>
      <c r="H307" s="19" t="str">
        <f>IF(L307=0,"",IF(E307="Oui",0,IFERROR(_xlfn.MINIFS(Changements!$B:$B,Changements!$A:$A,A307,Changements!$D:$D,B307),"")))</f>
        <v/>
      </c>
      <c r="I307" s="19" t="str">
        <f>IF(M307=0,"",IFERROR(_xlfn.MAXIFS(Changements!$B:$B,Changements!$A:$A,A307,Changements!$C:$C,B307),""))</f>
        <v/>
      </c>
      <c r="J307" s="11" t="str">
        <f t="shared" si="21"/>
        <v/>
      </c>
      <c r="K307" s="17">
        <f t="shared" si="22"/>
        <v>0</v>
      </c>
      <c r="L307" s="17">
        <f>IF(B307="",0,COUNTIFS(Changements!$A:$A,A307,Changements!$D:$D,B307)+IF(E307="Oui",1,0))</f>
        <v>0</v>
      </c>
      <c r="M307" s="17">
        <f>IF(B307="",0,COUNTIFS(Changements!$A:$A,A307,Changements!$C:$C,B307))</f>
        <v>0</v>
      </c>
      <c r="N307" s="17">
        <f>IF(B307="",0,SUMIFS(Changements!$B:$B,Changements!$A:$A,A307,Changements!$D:$D,B307))</f>
        <v>0</v>
      </c>
      <c r="O307" s="17">
        <f>IF(B307="",0,SUMIFS(Changements!$B:$B,Changements!$A:$A,A307,Changements!$C:$C,B307)+IF(L307&gt;M307,IFERROR(INDEX(Matchs!$F$4:$F$31,MATCH(A307,Matchs!$A$4:$A$31,0)),0),0))</f>
        <v>0</v>
      </c>
      <c r="P307" s="17">
        <f t="shared" si="23"/>
        <v>0</v>
      </c>
      <c r="Q307" s="17">
        <f t="shared" si="24"/>
        <v>0</v>
      </c>
    </row>
    <row r="308" spans="1:17" ht="15" customHeight="1" x14ac:dyDescent="0.25">
      <c r="A308" s="11">
        <f t="shared" si="20"/>
        <v>13</v>
      </c>
      <c r="B308" s="11" t="str">
        <f>INDEX('Effectif Saison'!$E$4:$E$22,17)</f>
        <v>Malo KELLER</v>
      </c>
      <c r="C308" s="10"/>
      <c r="D308" s="10"/>
      <c r="E308" s="10"/>
      <c r="F308" s="19" t="str">
        <f>IF(B308="","",IF(AND(E308="Oui",COUNTIFS(Changements!$A:$A,A308,Changements!$D:$D,B308)&gt;0),"⚠ Titulaire+entrée ?",IF(ABS(L308-M308)&gt;1,"⚠ vérifier","")))</f>
        <v/>
      </c>
      <c r="G308" s="11" t="str">
        <f>IF(B308="","",IFERROR(INDEX('Effectif Saison'!$D$4:$D$51,MATCH(B308,'Effectif Saison'!$E$4:$E$51,0)),""))</f>
        <v>Équipe 1</v>
      </c>
      <c r="H308" s="19" t="str">
        <f>IF(L308=0,"",IF(E308="Oui",0,IFERROR(_xlfn.MINIFS(Changements!$B:$B,Changements!$A:$A,A308,Changements!$D:$D,B308),"")))</f>
        <v/>
      </c>
      <c r="I308" s="19" t="str">
        <f>IF(M308=0,"",IFERROR(_xlfn.MAXIFS(Changements!$B:$B,Changements!$A:$A,A308,Changements!$C:$C,B308),""))</f>
        <v/>
      </c>
      <c r="J308" s="11" t="str">
        <f t="shared" si="21"/>
        <v/>
      </c>
      <c r="K308" s="17">
        <f t="shared" si="22"/>
        <v>0</v>
      </c>
      <c r="L308" s="17">
        <f>IF(B308="",0,COUNTIFS(Changements!$A:$A,A308,Changements!$D:$D,B308)+IF(E308="Oui",1,0))</f>
        <v>0</v>
      </c>
      <c r="M308" s="17">
        <f>IF(B308="",0,COUNTIFS(Changements!$A:$A,A308,Changements!$C:$C,B308))</f>
        <v>0</v>
      </c>
      <c r="N308" s="17">
        <f>IF(B308="",0,SUMIFS(Changements!$B:$B,Changements!$A:$A,A308,Changements!$D:$D,B308))</f>
        <v>0</v>
      </c>
      <c r="O308" s="17">
        <f>IF(B308="",0,SUMIFS(Changements!$B:$B,Changements!$A:$A,A308,Changements!$C:$C,B308)+IF(L308&gt;M308,IFERROR(INDEX(Matchs!$F$4:$F$31,MATCH(A308,Matchs!$A$4:$A$31,0)),0),0))</f>
        <v>0</v>
      </c>
      <c r="P308" s="17">
        <f t="shared" si="23"/>
        <v>0</v>
      </c>
      <c r="Q308" s="17">
        <f t="shared" si="24"/>
        <v>0</v>
      </c>
    </row>
    <row r="309" spans="1:17" ht="15" customHeight="1" x14ac:dyDescent="0.25">
      <c r="A309" s="11">
        <f t="shared" si="20"/>
        <v>13</v>
      </c>
      <c r="B309" s="11" t="str">
        <f>INDEX('Effectif Saison'!$E$4:$E$22,18)</f>
        <v>Tom SCHILLER</v>
      </c>
      <c r="C309" s="10"/>
      <c r="D309" s="10"/>
      <c r="E309" s="10"/>
      <c r="F309" s="19" t="str">
        <f>IF(B309="","",IF(AND(E309="Oui",COUNTIFS(Changements!$A:$A,A309,Changements!$D:$D,B309)&gt;0),"⚠ Titulaire+entrée ?",IF(ABS(L309-M309)&gt;1,"⚠ vérifier","")))</f>
        <v/>
      </c>
      <c r="G309" s="11" t="str">
        <f>IF(B309="","",IFERROR(INDEX('Effectif Saison'!$D$4:$D$51,MATCH(B309,'Effectif Saison'!$E$4:$E$51,0)),""))</f>
        <v>Équipe 1</v>
      </c>
      <c r="H309" s="19" t="str">
        <f>IF(L309=0,"",IF(E309="Oui",0,IFERROR(_xlfn.MINIFS(Changements!$B:$B,Changements!$A:$A,A309,Changements!$D:$D,B309),"")))</f>
        <v/>
      </c>
      <c r="I309" s="19" t="str">
        <f>IF(M309=0,"",IFERROR(_xlfn.MAXIFS(Changements!$B:$B,Changements!$A:$A,A309,Changements!$C:$C,B309),""))</f>
        <v/>
      </c>
      <c r="J309" s="11" t="str">
        <f t="shared" si="21"/>
        <v/>
      </c>
      <c r="K309" s="17">
        <f t="shared" si="22"/>
        <v>0</v>
      </c>
      <c r="L309" s="17">
        <f>IF(B309="",0,COUNTIFS(Changements!$A:$A,A309,Changements!$D:$D,B309)+IF(E309="Oui",1,0))</f>
        <v>0</v>
      </c>
      <c r="M309" s="17">
        <f>IF(B309="",0,COUNTIFS(Changements!$A:$A,A309,Changements!$C:$C,B309))</f>
        <v>0</v>
      </c>
      <c r="N309" s="17">
        <f>IF(B309="",0,SUMIFS(Changements!$B:$B,Changements!$A:$A,A309,Changements!$D:$D,B309))</f>
        <v>0</v>
      </c>
      <c r="O309" s="17">
        <f>IF(B309="",0,SUMIFS(Changements!$B:$B,Changements!$A:$A,A309,Changements!$C:$C,B309)+IF(L309&gt;M309,IFERROR(INDEX(Matchs!$F$4:$F$31,MATCH(A309,Matchs!$A$4:$A$31,0)),0),0))</f>
        <v>0</v>
      </c>
      <c r="P309" s="17">
        <f t="shared" si="23"/>
        <v>0</v>
      </c>
      <c r="Q309" s="17">
        <f t="shared" si="24"/>
        <v>0</v>
      </c>
    </row>
    <row r="310" spans="1:17" ht="15" customHeight="1" x14ac:dyDescent="0.25">
      <c r="A310" s="11">
        <f t="shared" si="20"/>
        <v>13</v>
      </c>
      <c r="B310" s="11" t="str">
        <f>INDEX('Effectif Saison'!$E$4:$E$22,19)</f>
        <v>Eliot LEIBY</v>
      </c>
      <c r="C310" s="10"/>
      <c r="D310" s="10"/>
      <c r="E310" s="10"/>
      <c r="F310" s="19" t="str">
        <f>IF(B310="","",IF(AND(E310="Oui",COUNTIFS(Changements!$A:$A,A310,Changements!$D:$D,B310)&gt;0),"⚠ Titulaire+entrée ?",IF(ABS(L310-M310)&gt;1,"⚠ vérifier","")))</f>
        <v/>
      </c>
      <c r="G310" s="11" t="str">
        <f>IF(B310="","",IFERROR(INDEX('Effectif Saison'!$D$4:$D$51,MATCH(B310,'Effectif Saison'!$E$4:$E$51,0)),""))</f>
        <v>Équipe 1</v>
      </c>
      <c r="H310" s="19" t="str">
        <f>IF(L310=0,"",IF(E310="Oui",0,IFERROR(_xlfn.MINIFS(Changements!$B:$B,Changements!$A:$A,A310,Changements!$D:$D,B310),"")))</f>
        <v/>
      </c>
      <c r="I310" s="19" t="str">
        <f>IF(M310=0,"",IFERROR(_xlfn.MAXIFS(Changements!$B:$B,Changements!$A:$A,A310,Changements!$C:$C,B310),""))</f>
        <v/>
      </c>
      <c r="J310" s="11" t="str">
        <f t="shared" si="21"/>
        <v/>
      </c>
      <c r="K310" s="17">
        <f t="shared" si="22"/>
        <v>0</v>
      </c>
      <c r="L310" s="17">
        <f>IF(B310="",0,COUNTIFS(Changements!$A:$A,A310,Changements!$D:$D,B310)+IF(E310="Oui",1,0))</f>
        <v>0</v>
      </c>
      <c r="M310" s="17">
        <f>IF(B310="",0,COUNTIFS(Changements!$A:$A,A310,Changements!$C:$C,B310))</f>
        <v>0</v>
      </c>
      <c r="N310" s="17">
        <f>IF(B310="",0,SUMIFS(Changements!$B:$B,Changements!$A:$A,A310,Changements!$D:$D,B310))</f>
        <v>0</v>
      </c>
      <c r="O310" s="17">
        <f>IF(B310="",0,SUMIFS(Changements!$B:$B,Changements!$A:$A,A310,Changements!$C:$C,B310)+IF(L310&gt;M310,IFERROR(INDEX(Matchs!$F$4:$F$31,MATCH(A310,Matchs!$A$4:$A$31,0)),0),0))</f>
        <v>0</v>
      </c>
      <c r="P310" s="17">
        <f t="shared" si="23"/>
        <v>0</v>
      </c>
      <c r="Q310" s="17">
        <f t="shared" si="24"/>
        <v>0</v>
      </c>
    </row>
    <row r="311" spans="1:17" ht="15" customHeight="1" x14ac:dyDescent="0.25">
      <c r="A311" s="11">
        <f t="shared" si="20"/>
        <v>13</v>
      </c>
      <c r="B311" s="10"/>
      <c r="C311" s="10"/>
      <c r="D311" s="10"/>
      <c r="E311" s="10"/>
      <c r="F311" s="19" t="str">
        <f>IF(B311="","",IF(AND(E311="Oui",COUNTIFS(Changements!$A:$A,A311,Changements!$D:$D,B311)&gt;0),"⚠ Titulaire+entrée ?",IF(ABS(L311-M311)&gt;1,"⚠ vérifier","")))</f>
        <v/>
      </c>
      <c r="G311" s="11" t="str">
        <f>IF(B311="","",IFERROR(INDEX('Effectif Saison'!$D$4:$D$51,MATCH(B311,'Effectif Saison'!$E$4:$E$51,0)),""))</f>
        <v/>
      </c>
      <c r="H311" s="19" t="str">
        <f>IF(L311=0,"",IF(E311="Oui",0,IFERROR(_xlfn.MINIFS(Changements!$B:$B,Changements!$A:$A,A311,Changements!$D:$D,B311),"")))</f>
        <v/>
      </c>
      <c r="I311" s="19" t="str">
        <f>IF(M311=0,"",IFERROR(_xlfn.MAXIFS(Changements!$B:$B,Changements!$A:$A,A311,Changements!$C:$C,B311),""))</f>
        <v/>
      </c>
      <c r="J311" s="11" t="str">
        <f t="shared" si="21"/>
        <v/>
      </c>
      <c r="K311" s="17">
        <f t="shared" si="22"/>
        <v>0</v>
      </c>
      <c r="L311" s="17">
        <f>IF(B311="",0,COUNTIFS(Changements!$A:$A,A311,Changements!$D:$D,B311)+IF(E311="Oui",1,0))</f>
        <v>0</v>
      </c>
      <c r="M311" s="17">
        <f>IF(B311="",0,COUNTIFS(Changements!$A:$A,A311,Changements!$C:$C,B311))</f>
        <v>0</v>
      </c>
      <c r="N311" s="17">
        <f>IF(B311="",0,SUMIFS(Changements!$B:$B,Changements!$A:$A,A311,Changements!$D:$D,B311))</f>
        <v>0</v>
      </c>
      <c r="O311" s="17">
        <f>IF(B311="",0,SUMIFS(Changements!$B:$B,Changements!$A:$A,A311,Changements!$C:$C,B311)+IF(L311&gt;M311,IFERROR(INDEX(Matchs!$F$4:$F$31,MATCH(A311,Matchs!$A$4:$A$31,0)),0),0))</f>
        <v>0</v>
      </c>
      <c r="P311" s="17">
        <f t="shared" si="23"/>
        <v>0</v>
      </c>
      <c r="Q311" s="17">
        <f t="shared" si="24"/>
        <v>0</v>
      </c>
    </row>
    <row r="312" spans="1:17" ht="15" customHeight="1" x14ac:dyDescent="0.25">
      <c r="A312" s="11">
        <f t="shared" si="20"/>
        <v>13</v>
      </c>
      <c r="B312" s="10"/>
      <c r="C312" s="10"/>
      <c r="D312" s="10"/>
      <c r="E312" s="10"/>
      <c r="F312" s="19" t="str">
        <f>IF(B312="","",IF(AND(E312="Oui",COUNTIFS(Changements!$A:$A,A312,Changements!$D:$D,B312)&gt;0),"⚠ Titulaire+entrée ?",IF(ABS(L312-M312)&gt;1,"⚠ vérifier","")))</f>
        <v/>
      </c>
      <c r="G312" s="11" t="str">
        <f>IF(B312="","",IFERROR(INDEX('Effectif Saison'!$D$4:$D$51,MATCH(B312,'Effectif Saison'!$E$4:$E$51,0)),""))</f>
        <v/>
      </c>
      <c r="H312" s="19" t="str">
        <f>IF(L312=0,"",IF(E312="Oui",0,IFERROR(_xlfn.MINIFS(Changements!$B:$B,Changements!$A:$A,A312,Changements!$D:$D,B312),"")))</f>
        <v/>
      </c>
      <c r="I312" s="19" t="str">
        <f>IF(M312=0,"",IFERROR(_xlfn.MAXIFS(Changements!$B:$B,Changements!$A:$A,A312,Changements!$C:$C,B312),""))</f>
        <v/>
      </c>
      <c r="J312" s="11" t="str">
        <f t="shared" si="21"/>
        <v/>
      </c>
      <c r="K312" s="17">
        <f t="shared" si="22"/>
        <v>0</v>
      </c>
      <c r="L312" s="17">
        <f>IF(B312="",0,COUNTIFS(Changements!$A:$A,A312,Changements!$D:$D,B312)+IF(E312="Oui",1,0))</f>
        <v>0</v>
      </c>
      <c r="M312" s="17">
        <f>IF(B312="",0,COUNTIFS(Changements!$A:$A,A312,Changements!$C:$C,B312))</f>
        <v>0</v>
      </c>
      <c r="N312" s="17">
        <f>IF(B312="",0,SUMIFS(Changements!$B:$B,Changements!$A:$A,A312,Changements!$D:$D,B312))</f>
        <v>0</v>
      </c>
      <c r="O312" s="17">
        <f>IF(B312="",0,SUMIFS(Changements!$B:$B,Changements!$A:$A,A312,Changements!$C:$C,B312)+IF(L312&gt;M312,IFERROR(INDEX(Matchs!$F$4:$F$31,MATCH(A312,Matchs!$A$4:$A$31,0)),0),0))</f>
        <v>0</v>
      </c>
      <c r="P312" s="17">
        <f t="shared" si="23"/>
        <v>0</v>
      </c>
      <c r="Q312" s="17">
        <f t="shared" si="24"/>
        <v>0</v>
      </c>
    </row>
    <row r="313" spans="1:17" ht="15" customHeight="1" x14ac:dyDescent="0.25">
      <c r="A313" s="11">
        <f t="shared" si="20"/>
        <v>13</v>
      </c>
      <c r="B313" s="10"/>
      <c r="C313" s="10"/>
      <c r="D313" s="10"/>
      <c r="E313" s="10"/>
      <c r="F313" s="19" t="str">
        <f>IF(B313="","",IF(AND(E313="Oui",COUNTIFS(Changements!$A:$A,A313,Changements!$D:$D,B313)&gt;0),"⚠ Titulaire+entrée ?",IF(ABS(L313-M313)&gt;1,"⚠ vérifier","")))</f>
        <v/>
      </c>
      <c r="G313" s="11" t="str">
        <f>IF(B313="","",IFERROR(INDEX('Effectif Saison'!$D$4:$D$51,MATCH(B313,'Effectif Saison'!$E$4:$E$51,0)),""))</f>
        <v/>
      </c>
      <c r="H313" s="19" t="str">
        <f>IF(L313=0,"",IF(E313="Oui",0,IFERROR(_xlfn.MINIFS(Changements!$B:$B,Changements!$A:$A,A313,Changements!$D:$D,B313),"")))</f>
        <v/>
      </c>
      <c r="I313" s="19" t="str">
        <f>IF(M313=0,"",IFERROR(_xlfn.MAXIFS(Changements!$B:$B,Changements!$A:$A,A313,Changements!$C:$C,B313),""))</f>
        <v/>
      </c>
      <c r="J313" s="11" t="str">
        <f t="shared" si="21"/>
        <v/>
      </c>
      <c r="K313" s="17">
        <f t="shared" si="22"/>
        <v>0</v>
      </c>
      <c r="L313" s="17">
        <f>IF(B313="",0,COUNTIFS(Changements!$A:$A,A313,Changements!$D:$D,B313)+IF(E313="Oui",1,0))</f>
        <v>0</v>
      </c>
      <c r="M313" s="17">
        <f>IF(B313="",0,COUNTIFS(Changements!$A:$A,A313,Changements!$C:$C,B313))</f>
        <v>0</v>
      </c>
      <c r="N313" s="17">
        <f>IF(B313="",0,SUMIFS(Changements!$B:$B,Changements!$A:$A,A313,Changements!$D:$D,B313))</f>
        <v>0</v>
      </c>
      <c r="O313" s="17">
        <f>IF(B313="",0,SUMIFS(Changements!$B:$B,Changements!$A:$A,A313,Changements!$C:$C,B313)+IF(L313&gt;M313,IFERROR(INDEX(Matchs!$F$4:$F$31,MATCH(A313,Matchs!$A$4:$A$31,0)),0),0))</f>
        <v>0</v>
      </c>
      <c r="P313" s="17">
        <f t="shared" si="23"/>
        <v>0</v>
      </c>
      <c r="Q313" s="17">
        <f t="shared" si="24"/>
        <v>0</v>
      </c>
    </row>
    <row r="314" spans="1:17" ht="15" customHeight="1" x14ac:dyDescent="0.25">
      <c r="A314" s="11">
        <f t="shared" si="20"/>
        <v>13</v>
      </c>
      <c r="B314" s="10"/>
      <c r="C314" s="10"/>
      <c r="D314" s="10"/>
      <c r="E314" s="10"/>
      <c r="F314" s="19" t="str">
        <f>IF(B314="","",IF(AND(E314="Oui",COUNTIFS(Changements!$A:$A,A314,Changements!$D:$D,B314)&gt;0),"⚠ Titulaire+entrée ?",IF(ABS(L314-M314)&gt;1,"⚠ vérifier","")))</f>
        <v/>
      </c>
      <c r="G314" s="11" t="str">
        <f>IF(B314="","",IFERROR(INDEX('Effectif Saison'!$D$4:$D$51,MATCH(B314,'Effectif Saison'!$E$4:$E$51,0)),""))</f>
        <v/>
      </c>
      <c r="H314" s="19" t="str">
        <f>IF(L314=0,"",IF(E314="Oui",0,IFERROR(_xlfn.MINIFS(Changements!$B:$B,Changements!$A:$A,A314,Changements!$D:$D,B314),"")))</f>
        <v/>
      </c>
      <c r="I314" s="19" t="str">
        <f>IF(M314=0,"",IFERROR(_xlfn.MAXIFS(Changements!$B:$B,Changements!$A:$A,A314,Changements!$C:$C,B314),""))</f>
        <v/>
      </c>
      <c r="J314" s="11" t="str">
        <f t="shared" si="21"/>
        <v/>
      </c>
      <c r="K314" s="17">
        <f t="shared" si="22"/>
        <v>0</v>
      </c>
      <c r="L314" s="17">
        <f>IF(B314="",0,COUNTIFS(Changements!$A:$A,A314,Changements!$D:$D,B314)+IF(E314="Oui",1,0))</f>
        <v>0</v>
      </c>
      <c r="M314" s="17">
        <f>IF(B314="",0,COUNTIFS(Changements!$A:$A,A314,Changements!$C:$C,B314))</f>
        <v>0</v>
      </c>
      <c r="N314" s="17">
        <f>IF(B314="",0,SUMIFS(Changements!$B:$B,Changements!$A:$A,A314,Changements!$D:$D,B314))</f>
        <v>0</v>
      </c>
      <c r="O314" s="17">
        <f>IF(B314="",0,SUMIFS(Changements!$B:$B,Changements!$A:$A,A314,Changements!$C:$C,B314)+IF(L314&gt;M314,IFERROR(INDEX(Matchs!$F$4:$F$31,MATCH(A314,Matchs!$A$4:$A$31,0)),0),0))</f>
        <v>0</v>
      </c>
      <c r="P314" s="17">
        <f t="shared" si="23"/>
        <v>0</v>
      </c>
      <c r="Q314" s="17">
        <f t="shared" si="24"/>
        <v>0</v>
      </c>
    </row>
    <row r="315" spans="1:17" ht="15" customHeight="1" x14ac:dyDescent="0.25">
      <c r="A315" s="11">
        <f t="shared" si="20"/>
        <v>13</v>
      </c>
      <c r="B315" s="10"/>
      <c r="C315" s="10"/>
      <c r="D315" s="10"/>
      <c r="E315" s="10"/>
      <c r="F315" s="19" t="str">
        <f>IF(B315="","",IF(AND(E315="Oui",COUNTIFS(Changements!$A:$A,A315,Changements!$D:$D,B315)&gt;0),"⚠ Titulaire+entrée ?",IF(ABS(L315-M315)&gt;1,"⚠ vérifier","")))</f>
        <v/>
      </c>
      <c r="G315" s="11" t="str">
        <f>IF(B315="","",IFERROR(INDEX('Effectif Saison'!$D$4:$D$51,MATCH(B315,'Effectif Saison'!$E$4:$E$51,0)),""))</f>
        <v/>
      </c>
      <c r="H315" s="19" t="str">
        <f>IF(L315=0,"",IF(E315="Oui",0,IFERROR(_xlfn.MINIFS(Changements!$B:$B,Changements!$A:$A,A315,Changements!$D:$D,B315),"")))</f>
        <v/>
      </c>
      <c r="I315" s="19" t="str">
        <f>IF(M315=0,"",IFERROR(_xlfn.MAXIFS(Changements!$B:$B,Changements!$A:$A,A315,Changements!$C:$C,B315),""))</f>
        <v/>
      </c>
      <c r="J315" s="11" t="str">
        <f t="shared" si="21"/>
        <v/>
      </c>
      <c r="K315" s="17">
        <f t="shared" si="22"/>
        <v>0</v>
      </c>
      <c r="L315" s="17">
        <f>IF(B315="",0,COUNTIFS(Changements!$A:$A,A315,Changements!$D:$D,B315)+IF(E315="Oui",1,0))</f>
        <v>0</v>
      </c>
      <c r="M315" s="17">
        <f>IF(B315="",0,COUNTIFS(Changements!$A:$A,A315,Changements!$C:$C,B315))</f>
        <v>0</v>
      </c>
      <c r="N315" s="17">
        <f>IF(B315="",0,SUMIFS(Changements!$B:$B,Changements!$A:$A,A315,Changements!$D:$D,B315))</f>
        <v>0</v>
      </c>
      <c r="O315" s="17">
        <f>IF(B315="",0,SUMIFS(Changements!$B:$B,Changements!$A:$A,A315,Changements!$C:$C,B315)+IF(L315&gt;M315,IFERROR(INDEX(Matchs!$F$4:$F$31,MATCH(A315,Matchs!$A$4:$A$31,0)),0),0))</f>
        <v>0</v>
      </c>
      <c r="P315" s="17">
        <f t="shared" si="23"/>
        <v>0</v>
      </c>
      <c r="Q315" s="17">
        <f t="shared" si="24"/>
        <v>0</v>
      </c>
    </row>
    <row r="316" spans="1:17" ht="15" customHeight="1" x14ac:dyDescent="0.25">
      <c r="A316" s="11">
        <f t="shared" si="20"/>
        <v>14</v>
      </c>
      <c r="B316" s="11" t="str">
        <f>INDEX('Effectif Saison'!$E$4:$E$22,1)</f>
        <v>Alan MICHON</v>
      </c>
      <c r="C316" s="10"/>
      <c r="D316" s="10"/>
      <c r="E316" s="10"/>
      <c r="F316" s="19" t="str">
        <f>IF(B316="","",IF(AND(E316="Oui",COUNTIFS(Changements!$A:$A,A316,Changements!$D:$D,B316)&gt;0),"⚠ Titulaire+entrée ?",IF(ABS(L316-M316)&gt;1,"⚠ vérifier","")))</f>
        <v/>
      </c>
      <c r="G316" s="11" t="str">
        <f>IF(B316="","",IFERROR(INDEX('Effectif Saison'!$D$4:$D$51,MATCH(B316,'Effectif Saison'!$E$4:$E$51,0)),""))</f>
        <v>Équipe 1</v>
      </c>
      <c r="H316" s="19" t="str">
        <f>IF(L316=0,"",IF(E316="Oui",0,IFERROR(_xlfn.MINIFS(Changements!$B:$B,Changements!$A:$A,A316,Changements!$D:$D,B316),"")))</f>
        <v/>
      </c>
      <c r="I316" s="19" t="str">
        <f>IF(M316=0,"",IFERROR(_xlfn.MAXIFS(Changements!$B:$B,Changements!$A:$A,A316,Changements!$C:$C,B316),""))</f>
        <v/>
      </c>
      <c r="J316" s="11" t="str">
        <f t="shared" si="21"/>
        <v/>
      </c>
      <c r="K316" s="17">
        <f t="shared" si="22"/>
        <v>0</v>
      </c>
      <c r="L316" s="17">
        <f>IF(B316="",0,COUNTIFS(Changements!$A:$A,A316,Changements!$D:$D,B316)+IF(E316="Oui",1,0))</f>
        <v>0</v>
      </c>
      <c r="M316" s="17">
        <f>IF(B316="",0,COUNTIFS(Changements!$A:$A,A316,Changements!$C:$C,B316))</f>
        <v>0</v>
      </c>
      <c r="N316" s="17">
        <f>IF(B316="",0,SUMIFS(Changements!$B:$B,Changements!$A:$A,A316,Changements!$D:$D,B316))</f>
        <v>0</v>
      </c>
      <c r="O316" s="17">
        <f>IF(B316="",0,SUMIFS(Changements!$B:$B,Changements!$A:$A,A316,Changements!$C:$C,B316)+IF(L316&gt;M316,IFERROR(INDEX(Matchs!$F$4:$F$31,MATCH(A316,Matchs!$A$4:$A$31,0)),0),0))</f>
        <v>0</v>
      </c>
      <c r="P316" s="17">
        <f t="shared" si="23"/>
        <v>0</v>
      </c>
      <c r="Q316" s="17">
        <f t="shared" si="24"/>
        <v>0</v>
      </c>
    </row>
    <row r="317" spans="1:17" ht="15" customHeight="1" x14ac:dyDescent="0.25">
      <c r="A317" s="11">
        <f t="shared" si="20"/>
        <v>14</v>
      </c>
      <c r="B317" s="11" t="str">
        <f>INDEX('Effectif Saison'!$E$4:$E$22,2)</f>
        <v>Jean BRUNTZ</v>
      </c>
      <c r="C317" s="10"/>
      <c r="D317" s="10"/>
      <c r="E317" s="10"/>
      <c r="F317" s="19" t="str">
        <f>IF(B317="","",IF(AND(E317="Oui",COUNTIFS(Changements!$A:$A,A317,Changements!$D:$D,B317)&gt;0),"⚠ Titulaire+entrée ?",IF(ABS(L317-M317)&gt;1,"⚠ vérifier","")))</f>
        <v/>
      </c>
      <c r="G317" s="11" t="str">
        <f>IF(B317="","",IFERROR(INDEX('Effectif Saison'!$D$4:$D$51,MATCH(B317,'Effectif Saison'!$E$4:$E$51,0)),""))</f>
        <v>Équipe 1</v>
      </c>
      <c r="H317" s="19" t="str">
        <f>IF(L317=0,"",IF(E317="Oui",0,IFERROR(_xlfn.MINIFS(Changements!$B:$B,Changements!$A:$A,A317,Changements!$D:$D,B317),"")))</f>
        <v/>
      </c>
      <c r="I317" s="19" t="str">
        <f>IF(M317=0,"",IFERROR(_xlfn.MAXIFS(Changements!$B:$B,Changements!$A:$A,A317,Changements!$C:$C,B317),""))</f>
        <v/>
      </c>
      <c r="J317" s="11" t="str">
        <f t="shared" si="21"/>
        <v/>
      </c>
      <c r="K317" s="17">
        <f t="shared" si="22"/>
        <v>0</v>
      </c>
      <c r="L317" s="17">
        <f>IF(B317="",0,COUNTIFS(Changements!$A:$A,A317,Changements!$D:$D,B317)+IF(E317="Oui",1,0))</f>
        <v>0</v>
      </c>
      <c r="M317" s="17">
        <f>IF(B317="",0,COUNTIFS(Changements!$A:$A,A317,Changements!$C:$C,B317))</f>
        <v>0</v>
      </c>
      <c r="N317" s="17">
        <f>IF(B317="",0,SUMIFS(Changements!$B:$B,Changements!$A:$A,A317,Changements!$D:$D,B317))</f>
        <v>0</v>
      </c>
      <c r="O317" s="17">
        <f>IF(B317="",0,SUMIFS(Changements!$B:$B,Changements!$A:$A,A317,Changements!$C:$C,B317)+IF(L317&gt;M317,IFERROR(INDEX(Matchs!$F$4:$F$31,MATCH(A317,Matchs!$A$4:$A$31,0)),0),0))</f>
        <v>0</v>
      </c>
      <c r="P317" s="17">
        <f t="shared" si="23"/>
        <v>0</v>
      </c>
      <c r="Q317" s="17">
        <f t="shared" si="24"/>
        <v>0</v>
      </c>
    </row>
    <row r="318" spans="1:17" ht="15" customHeight="1" x14ac:dyDescent="0.25">
      <c r="A318" s="11">
        <f t="shared" si="20"/>
        <v>14</v>
      </c>
      <c r="B318" s="11" t="str">
        <f>INDEX('Effectif Saison'!$E$4:$E$22,3)</f>
        <v>Marouane SBK</v>
      </c>
      <c r="C318" s="10"/>
      <c r="D318" s="10"/>
      <c r="E318" s="10"/>
      <c r="F318" s="19" t="str">
        <f>IF(B318="","",IF(AND(E318="Oui",COUNTIFS(Changements!$A:$A,A318,Changements!$D:$D,B318)&gt;0),"⚠ Titulaire+entrée ?",IF(ABS(L318-M318)&gt;1,"⚠ vérifier","")))</f>
        <v/>
      </c>
      <c r="G318" s="11" t="str">
        <f>IF(B318="","",IFERROR(INDEX('Effectif Saison'!$D$4:$D$51,MATCH(B318,'Effectif Saison'!$E$4:$E$51,0)),""))</f>
        <v>Équipe 1</v>
      </c>
      <c r="H318" s="19" t="str">
        <f>IF(L318=0,"",IF(E318="Oui",0,IFERROR(_xlfn.MINIFS(Changements!$B:$B,Changements!$A:$A,A318,Changements!$D:$D,B318),"")))</f>
        <v/>
      </c>
      <c r="I318" s="19" t="str">
        <f>IF(M318=0,"",IFERROR(_xlfn.MAXIFS(Changements!$B:$B,Changements!$A:$A,A318,Changements!$C:$C,B318),""))</f>
        <v/>
      </c>
      <c r="J318" s="11" t="str">
        <f t="shared" si="21"/>
        <v/>
      </c>
      <c r="K318" s="17">
        <f t="shared" si="22"/>
        <v>0</v>
      </c>
      <c r="L318" s="17">
        <f>IF(B318="",0,COUNTIFS(Changements!$A:$A,A318,Changements!$D:$D,B318)+IF(E318="Oui",1,0))</f>
        <v>0</v>
      </c>
      <c r="M318" s="17">
        <f>IF(B318="",0,COUNTIFS(Changements!$A:$A,A318,Changements!$C:$C,B318))</f>
        <v>0</v>
      </c>
      <c r="N318" s="17">
        <f>IF(B318="",0,SUMIFS(Changements!$B:$B,Changements!$A:$A,A318,Changements!$D:$D,B318))</f>
        <v>0</v>
      </c>
      <c r="O318" s="17">
        <f>IF(B318="",0,SUMIFS(Changements!$B:$B,Changements!$A:$A,A318,Changements!$C:$C,B318)+IF(L318&gt;M318,IFERROR(INDEX(Matchs!$F$4:$F$31,MATCH(A318,Matchs!$A$4:$A$31,0)),0),0))</f>
        <v>0</v>
      </c>
      <c r="P318" s="17">
        <f t="shared" si="23"/>
        <v>0</v>
      </c>
      <c r="Q318" s="17">
        <f t="shared" si="24"/>
        <v>0</v>
      </c>
    </row>
    <row r="319" spans="1:17" ht="15" customHeight="1" x14ac:dyDescent="0.25">
      <c r="A319" s="11">
        <f t="shared" si="20"/>
        <v>14</v>
      </c>
      <c r="B319" s="11" t="str">
        <f>INDEX('Effectif Saison'!$E$4:$E$22,4)</f>
        <v>Noé BIHL</v>
      </c>
      <c r="C319" s="10"/>
      <c r="D319" s="10"/>
      <c r="E319" s="10"/>
      <c r="F319" s="19" t="str">
        <f>IF(B319="","",IF(AND(E319="Oui",COUNTIFS(Changements!$A:$A,A319,Changements!$D:$D,B319)&gt;0),"⚠ Titulaire+entrée ?",IF(ABS(L319-M319)&gt;1,"⚠ vérifier","")))</f>
        <v/>
      </c>
      <c r="G319" s="11" t="str">
        <f>IF(B319="","",IFERROR(INDEX('Effectif Saison'!$D$4:$D$51,MATCH(B319,'Effectif Saison'!$E$4:$E$51,0)),""))</f>
        <v>Équipe 1</v>
      </c>
      <c r="H319" s="19" t="str">
        <f>IF(L319=0,"",IF(E319="Oui",0,IFERROR(_xlfn.MINIFS(Changements!$B:$B,Changements!$A:$A,A319,Changements!$D:$D,B319),"")))</f>
        <v/>
      </c>
      <c r="I319" s="19" t="str">
        <f>IF(M319=0,"",IFERROR(_xlfn.MAXIFS(Changements!$B:$B,Changements!$A:$A,A319,Changements!$C:$C,B319),""))</f>
        <v/>
      </c>
      <c r="J319" s="11" t="str">
        <f t="shared" si="21"/>
        <v/>
      </c>
      <c r="K319" s="17">
        <f t="shared" si="22"/>
        <v>0</v>
      </c>
      <c r="L319" s="17">
        <f>IF(B319="",0,COUNTIFS(Changements!$A:$A,A319,Changements!$D:$D,B319)+IF(E319="Oui",1,0))</f>
        <v>0</v>
      </c>
      <c r="M319" s="17">
        <f>IF(B319="",0,COUNTIFS(Changements!$A:$A,A319,Changements!$C:$C,B319))</f>
        <v>0</v>
      </c>
      <c r="N319" s="17">
        <f>IF(B319="",0,SUMIFS(Changements!$B:$B,Changements!$A:$A,A319,Changements!$D:$D,B319))</f>
        <v>0</v>
      </c>
      <c r="O319" s="17">
        <f>IF(B319="",0,SUMIFS(Changements!$B:$B,Changements!$A:$A,A319,Changements!$C:$C,B319)+IF(L319&gt;M319,IFERROR(INDEX(Matchs!$F$4:$F$31,MATCH(A319,Matchs!$A$4:$A$31,0)),0),0))</f>
        <v>0</v>
      </c>
      <c r="P319" s="17">
        <f t="shared" si="23"/>
        <v>0</v>
      </c>
      <c r="Q319" s="17">
        <f t="shared" si="24"/>
        <v>0</v>
      </c>
    </row>
    <row r="320" spans="1:17" ht="15" customHeight="1" x14ac:dyDescent="0.25">
      <c r="A320" s="11">
        <f t="shared" si="20"/>
        <v>14</v>
      </c>
      <c r="B320" s="11" t="str">
        <f>INDEX('Effectif Saison'!$E$4:$E$22,5)</f>
        <v>Luca COLAIANNI</v>
      </c>
      <c r="C320" s="10"/>
      <c r="D320" s="10"/>
      <c r="E320" s="10"/>
      <c r="F320" s="19" t="str">
        <f>IF(B320="","",IF(AND(E320="Oui",COUNTIFS(Changements!$A:$A,A320,Changements!$D:$D,B320)&gt;0),"⚠ Titulaire+entrée ?",IF(ABS(L320-M320)&gt;1,"⚠ vérifier","")))</f>
        <v/>
      </c>
      <c r="G320" s="11" t="str">
        <f>IF(B320="","",IFERROR(INDEX('Effectif Saison'!$D$4:$D$51,MATCH(B320,'Effectif Saison'!$E$4:$E$51,0)),""))</f>
        <v>Équipe 1</v>
      </c>
      <c r="H320" s="19" t="str">
        <f>IF(L320=0,"",IF(E320="Oui",0,IFERROR(_xlfn.MINIFS(Changements!$B:$B,Changements!$A:$A,A320,Changements!$D:$D,B320),"")))</f>
        <v/>
      </c>
      <c r="I320" s="19" t="str">
        <f>IF(M320=0,"",IFERROR(_xlfn.MAXIFS(Changements!$B:$B,Changements!$A:$A,A320,Changements!$C:$C,B320),""))</f>
        <v/>
      </c>
      <c r="J320" s="11" t="str">
        <f t="shared" si="21"/>
        <v/>
      </c>
      <c r="K320" s="17">
        <f t="shared" si="22"/>
        <v>0</v>
      </c>
      <c r="L320" s="17">
        <f>IF(B320="",0,COUNTIFS(Changements!$A:$A,A320,Changements!$D:$D,B320)+IF(E320="Oui",1,0))</f>
        <v>0</v>
      </c>
      <c r="M320" s="17">
        <f>IF(B320="",0,COUNTIFS(Changements!$A:$A,A320,Changements!$C:$C,B320))</f>
        <v>0</v>
      </c>
      <c r="N320" s="17">
        <f>IF(B320="",0,SUMIFS(Changements!$B:$B,Changements!$A:$A,A320,Changements!$D:$D,B320))</f>
        <v>0</v>
      </c>
      <c r="O320" s="17">
        <f>IF(B320="",0,SUMIFS(Changements!$B:$B,Changements!$A:$A,A320,Changements!$C:$C,B320)+IF(L320&gt;M320,IFERROR(INDEX(Matchs!$F$4:$F$31,MATCH(A320,Matchs!$A$4:$A$31,0)),0),0))</f>
        <v>0</v>
      </c>
      <c r="P320" s="17">
        <f t="shared" si="23"/>
        <v>0</v>
      </c>
      <c r="Q320" s="17">
        <f t="shared" si="24"/>
        <v>0</v>
      </c>
    </row>
    <row r="321" spans="1:17" ht="15" customHeight="1" x14ac:dyDescent="0.25">
      <c r="A321" s="11">
        <f t="shared" si="20"/>
        <v>14</v>
      </c>
      <c r="B321" s="11" t="str">
        <f>INDEX('Effectif Saison'!$E$4:$E$22,6)</f>
        <v>Atilla ER</v>
      </c>
      <c r="C321" s="10"/>
      <c r="D321" s="10"/>
      <c r="E321" s="10"/>
      <c r="F321" s="19" t="str">
        <f>IF(B321="","",IF(AND(E321="Oui",COUNTIFS(Changements!$A:$A,A321,Changements!$D:$D,B321)&gt;0),"⚠ Titulaire+entrée ?",IF(ABS(L321-M321)&gt;1,"⚠ vérifier","")))</f>
        <v/>
      </c>
      <c r="G321" s="11" t="str">
        <f>IF(B321="","",IFERROR(INDEX('Effectif Saison'!$D$4:$D$51,MATCH(B321,'Effectif Saison'!$E$4:$E$51,0)),""))</f>
        <v>Équipe 1</v>
      </c>
      <c r="H321" s="19" t="str">
        <f>IF(L321=0,"",IF(E321="Oui",0,IFERROR(_xlfn.MINIFS(Changements!$B:$B,Changements!$A:$A,A321,Changements!$D:$D,B321),"")))</f>
        <v/>
      </c>
      <c r="I321" s="19" t="str">
        <f>IF(M321=0,"",IFERROR(_xlfn.MAXIFS(Changements!$B:$B,Changements!$A:$A,A321,Changements!$C:$C,B321),""))</f>
        <v/>
      </c>
      <c r="J321" s="11" t="str">
        <f t="shared" si="21"/>
        <v/>
      </c>
      <c r="K321" s="17">
        <f t="shared" si="22"/>
        <v>0</v>
      </c>
      <c r="L321" s="17">
        <f>IF(B321="",0,COUNTIFS(Changements!$A:$A,A321,Changements!$D:$D,B321)+IF(E321="Oui",1,0))</f>
        <v>0</v>
      </c>
      <c r="M321" s="17">
        <f>IF(B321="",0,COUNTIFS(Changements!$A:$A,A321,Changements!$C:$C,B321))</f>
        <v>0</v>
      </c>
      <c r="N321" s="17">
        <f>IF(B321="",0,SUMIFS(Changements!$B:$B,Changements!$A:$A,A321,Changements!$D:$D,B321))</f>
        <v>0</v>
      </c>
      <c r="O321" s="17">
        <f>IF(B321="",0,SUMIFS(Changements!$B:$B,Changements!$A:$A,A321,Changements!$C:$C,B321)+IF(L321&gt;M321,IFERROR(INDEX(Matchs!$F$4:$F$31,MATCH(A321,Matchs!$A$4:$A$31,0)),0),0))</f>
        <v>0</v>
      </c>
      <c r="P321" s="17">
        <f t="shared" si="23"/>
        <v>0</v>
      </c>
      <c r="Q321" s="17">
        <f t="shared" si="24"/>
        <v>0</v>
      </c>
    </row>
    <row r="322" spans="1:17" ht="15" customHeight="1" x14ac:dyDescent="0.25">
      <c r="A322" s="11">
        <f t="shared" si="20"/>
        <v>14</v>
      </c>
      <c r="B322" s="11" t="str">
        <f>INDEX('Effectif Saison'!$E$4:$E$22,7)</f>
        <v>Lucas BUHR</v>
      </c>
      <c r="C322" s="10"/>
      <c r="D322" s="10"/>
      <c r="E322" s="10"/>
      <c r="F322" s="19" t="str">
        <f>IF(B322="","",IF(AND(E322="Oui",COUNTIFS(Changements!$A:$A,A322,Changements!$D:$D,B322)&gt;0),"⚠ Titulaire+entrée ?",IF(ABS(L322-M322)&gt;1,"⚠ vérifier","")))</f>
        <v/>
      </c>
      <c r="G322" s="11" t="str">
        <f>IF(B322="","",IFERROR(INDEX('Effectif Saison'!$D$4:$D$51,MATCH(B322,'Effectif Saison'!$E$4:$E$51,0)),""))</f>
        <v>Équipe 1</v>
      </c>
      <c r="H322" s="19" t="str">
        <f>IF(L322=0,"",IF(E322="Oui",0,IFERROR(_xlfn.MINIFS(Changements!$B:$B,Changements!$A:$A,A322,Changements!$D:$D,B322),"")))</f>
        <v/>
      </c>
      <c r="I322" s="19" t="str">
        <f>IF(M322=0,"",IFERROR(_xlfn.MAXIFS(Changements!$B:$B,Changements!$A:$A,A322,Changements!$C:$C,B322),""))</f>
        <v/>
      </c>
      <c r="J322" s="11" t="str">
        <f t="shared" si="21"/>
        <v/>
      </c>
      <c r="K322" s="17">
        <f t="shared" si="22"/>
        <v>0</v>
      </c>
      <c r="L322" s="17">
        <f>IF(B322="",0,COUNTIFS(Changements!$A:$A,A322,Changements!$D:$D,B322)+IF(E322="Oui",1,0))</f>
        <v>0</v>
      </c>
      <c r="M322" s="17">
        <f>IF(B322="",0,COUNTIFS(Changements!$A:$A,A322,Changements!$C:$C,B322))</f>
        <v>0</v>
      </c>
      <c r="N322" s="17">
        <f>IF(B322="",0,SUMIFS(Changements!$B:$B,Changements!$A:$A,A322,Changements!$D:$D,B322))</f>
        <v>0</v>
      </c>
      <c r="O322" s="17">
        <f>IF(B322="",0,SUMIFS(Changements!$B:$B,Changements!$A:$A,A322,Changements!$C:$C,B322)+IF(L322&gt;M322,IFERROR(INDEX(Matchs!$F$4:$F$31,MATCH(A322,Matchs!$A$4:$A$31,0)),0),0))</f>
        <v>0</v>
      </c>
      <c r="P322" s="17">
        <f t="shared" si="23"/>
        <v>0</v>
      </c>
      <c r="Q322" s="17">
        <f t="shared" si="24"/>
        <v>0</v>
      </c>
    </row>
    <row r="323" spans="1:17" ht="15" customHeight="1" x14ac:dyDescent="0.25">
      <c r="A323" s="11">
        <f t="shared" si="20"/>
        <v>14</v>
      </c>
      <c r="B323" s="11" t="str">
        <f>INDEX('Effectif Saison'!$E$4:$E$22,8)</f>
        <v>Yanis HOUX</v>
      </c>
      <c r="C323" s="10"/>
      <c r="D323" s="10"/>
      <c r="E323" s="10"/>
      <c r="F323" s="19" t="str">
        <f>IF(B323="","",IF(AND(E323="Oui",COUNTIFS(Changements!$A:$A,A323,Changements!$D:$D,B323)&gt;0),"⚠ Titulaire+entrée ?",IF(ABS(L323-M323)&gt;1,"⚠ vérifier","")))</f>
        <v/>
      </c>
      <c r="G323" s="11" t="str">
        <f>IF(B323="","",IFERROR(INDEX('Effectif Saison'!$D$4:$D$51,MATCH(B323,'Effectif Saison'!$E$4:$E$51,0)),""))</f>
        <v>Équipe 1</v>
      </c>
      <c r="H323" s="19" t="str">
        <f>IF(L323=0,"",IF(E323="Oui",0,IFERROR(_xlfn.MINIFS(Changements!$B:$B,Changements!$A:$A,A323,Changements!$D:$D,B323),"")))</f>
        <v/>
      </c>
      <c r="I323" s="19" t="str">
        <f>IF(M323=0,"",IFERROR(_xlfn.MAXIFS(Changements!$B:$B,Changements!$A:$A,A323,Changements!$C:$C,B323),""))</f>
        <v/>
      </c>
      <c r="J323" s="11" t="str">
        <f t="shared" si="21"/>
        <v/>
      </c>
      <c r="K323" s="17">
        <f t="shared" si="22"/>
        <v>0</v>
      </c>
      <c r="L323" s="17">
        <f>IF(B323="",0,COUNTIFS(Changements!$A:$A,A323,Changements!$D:$D,B323)+IF(E323="Oui",1,0))</f>
        <v>0</v>
      </c>
      <c r="M323" s="17">
        <f>IF(B323="",0,COUNTIFS(Changements!$A:$A,A323,Changements!$C:$C,B323))</f>
        <v>0</v>
      </c>
      <c r="N323" s="17">
        <f>IF(B323="",0,SUMIFS(Changements!$B:$B,Changements!$A:$A,A323,Changements!$D:$D,B323))</f>
        <v>0</v>
      </c>
      <c r="O323" s="17">
        <f>IF(B323="",0,SUMIFS(Changements!$B:$B,Changements!$A:$A,A323,Changements!$C:$C,B323)+IF(L323&gt;M323,IFERROR(INDEX(Matchs!$F$4:$F$31,MATCH(A323,Matchs!$A$4:$A$31,0)),0),0))</f>
        <v>0</v>
      </c>
      <c r="P323" s="17">
        <f t="shared" si="23"/>
        <v>0</v>
      </c>
      <c r="Q323" s="17">
        <f t="shared" si="24"/>
        <v>0</v>
      </c>
    </row>
    <row r="324" spans="1:17" ht="15" customHeight="1" x14ac:dyDescent="0.25">
      <c r="A324" s="11">
        <f t="shared" ref="A324:A387" si="25">INT((ROW()-4)/24)+1</f>
        <v>14</v>
      </c>
      <c r="B324" s="11" t="str">
        <f>INDEX('Effectif Saison'!$E$4:$E$22,9)</f>
        <v>Tino COLAIANNI</v>
      </c>
      <c r="C324" s="10"/>
      <c r="D324" s="10"/>
      <c r="E324" s="10"/>
      <c r="F324" s="19" t="str">
        <f>IF(B324="","",IF(AND(E324="Oui",COUNTIFS(Changements!$A:$A,A324,Changements!$D:$D,B324)&gt;0),"⚠ Titulaire+entrée ?",IF(ABS(L324-M324)&gt;1,"⚠ vérifier","")))</f>
        <v/>
      </c>
      <c r="G324" s="11" t="str">
        <f>IF(B324="","",IFERROR(INDEX('Effectif Saison'!$D$4:$D$51,MATCH(B324,'Effectif Saison'!$E$4:$E$51,0)),""))</f>
        <v>Équipe 1</v>
      </c>
      <c r="H324" s="19" t="str">
        <f>IF(L324=0,"",IF(E324="Oui",0,IFERROR(_xlfn.MINIFS(Changements!$B:$B,Changements!$A:$A,A324,Changements!$D:$D,B324),"")))</f>
        <v/>
      </c>
      <c r="I324" s="19" t="str">
        <f>IF(M324=0,"",IFERROR(_xlfn.MAXIFS(Changements!$B:$B,Changements!$A:$A,A324,Changements!$C:$C,B324),""))</f>
        <v/>
      </c>
      <c r="J324" s="11" t="str">
        <f t="shared" ref="J324:J387" si="26">IF(OR(B324="",C324&lt;&gt;"Oui"),"",O324-N324)</f>
        <v/>
      </c>
      <c r="K324" s="17">
        <f t="shared" ref="K324:K387" si="27">IF(AND(B324&lt;&gt;"",ISNUMBER(J324)),1,0)</f>
        <v>0</v>
      </c>
      <c r="L324" s="17">
        <f>IF(B324="",0,COUNTIFS(Changements!$A:$A,A324,Changements!$D:$D,B324)+IF(E324="Oui",1,0))</f>
        <v>0</v>
      </c>
      <c r="M324" s="17">
        <f>IF(B324="",0,COUNTIFS(Changements!$A:$A,A324,Changements!$C:$C,B324))</f>
        <v>0</v>
      </c>
      <c r="N324" s="17">
        <f>IF(B324="",0,SUMIFS(Changements!$B:$B,Changements!$A:$A,A324,Changements!$D:$D,B324))</f>
        <v>0</v>
      </c>
      <c r="O324" s="17">
        <f>IF(B324="",0,SUMIFS(Changements!$B:$B,Changements!$A:$A,A324,Changements!$C:$C,B324)+IF(L324&gt;M324,IFERROR(INDEX(Matchs!$F$4:$F$31,MATCH(A324,Matchs!$A$4:$A$31,0)),0),0))</f>
        <v>0</v>
      </c>
      <c r="P324" s="17">
        <f t="shared" ref="P324:P387" si="28">IF(AND(B324&lt;&gt;"",C324="Oui"),1,0)</f>
        <v>0</v>
      </c>
      <c r="Q324" s="17">
        <f t="shared" ref="Q324:Q387" si="29">IF(AND(B324&lt;&gt;"",E324="Oui"),1,0)</f>
        <v>0</v>
      </c>
    </row>
    <row r="325" spans="1:17" ht="15" customHeight="1" x14ac:dyDescent="0.25">
      <c r="A325" s="11">
        <f t="shared" si="25"/>
        <v>14</v>
      </c>
      <c r="B325" s="11" t="str">
        <f>INDEX('Effectif Saison'!$E$4:$E$22,10)</f>
        <v>Achille KELLERKNECHT</v>
      </c>
      <c r="C325" s="10"/>
      <c r="D325" s="10"/>
      <c r="E325" s="10"/>
      <c r="F325" s="19" t="str">
        <f>IF(B325="","",IF(AND(E325="Oui",COUNTIFS(Changements!$A:$A,A325,Changements!$D:$D,B325)&gt;0),"⚠ Titulaire+entrée ?",IF(ABS(L325-M325)&gt;1,"⚠ vérifier","")))</f>
        <v/>
      </c>
      <c r="G325" s="11" t="str">
        <f>IF(B325="","",IFERROR(INDEX('Effectif Saison'!$D$4:$D$51,MATCH(B325,'Effectif Saison'!$E$4:$E$51,0)),""))</f>
        <v>Équipe 1</v>
      </c>
      <c r="H325" s="19" t="str">
        <f>IF(L325=0,"",IF(E325="Oui",0,IFERROR(_xlfn.MINIFS(Changements!$B:$B,Changements!$A:$A,A325,Changements!$D:$D,B325),"")))</f>
        <v/>
      </c>
      <c r="I325" s="19" t="str">
        <f>IF(M325=0,"",IFERROR(_xlfn.MAXIFS(Changements!$B:$B,Changements!$A:$A,A325,Changements!$C:$C,B325),""))</f>
        <v/>
      </c>
      <c r="J325" s="11" t="str">
        <f t="shared" si="26"/>
        <v/>
      </c>
      <c r="K325" s="17">
        <f t="shared" si="27"/>
        <v>0</v>
      </c>
      <c r="L325" s="17">
        <f>IF(B325="",0,COUNTIFS(Changements!$A:$A,A325,Changements!$D:$D,B325)+IF(E325="Oui",1,0))</f>
        <v>0</v>
      </c>
      <c r="M325" s="17">
        <f>IF(B325="",0,COUNTIFS(Changements!$A:$A,A325,Changements!$C:$C,B325))</f>
        <v>0</v>
      </c>
      <c r="N325" s="17">
        <f>IF(B325="",0,SUMIFS(Changements!$B:$B,Changements!$A:$A,A325,Changements!$D:$D,B325))</f>
        <v>0</v>
      </c>
      <c r="O325" s="17">
        <f>IF(B325="",0,SUMIFS(Changements!$B:$B,Changements!$A:$A,A325,Changements!$C:$C,B325)+IF(L325&gt;M325,IFERROR(INDEX(Matchs!$F$4:$F$31,MATCH(A325,Matchs!$A$4:$A$31,0)),0),0))</f>
        <v>0</v>
      </c>
      <c r="P325" s="17">
        <f t="shared" si="28"/>
        <v>0</v>
      </c>
      <c r="Q325" s="17">
        <f t="shared" si="29"/>
        <v>0</v>
      </c>
    </row>
    <row r="326" spans="1:17" ht="15" customHeight="1" x14ac:dyDescent="0.25">
      <c r="A326" s="11">
        <f t="shared" si="25"/>
        <v>14</v>
      </c>
      <c r="B326" s="11" t="str">
        <f>INDEX('Effectif Saison'!$E$4:$E$22,11)</f>
        <v>Charly LEPERT</v>
      </c>
      <c r="C326" s="10"/>
      <c r="D326" s="10"/>
      <c r="E326" s="10"/>
      <c r="F326" s="19" t="str">
        <f>IF(B326="","",IF(AND(E326="Oui",COUNTIFS(Changements!$A:$A,A326,Changements!$D:$D,B326)&gt;0),"⚠ Titulaire+entrée ?",IF(ABS(L326-M326)&gt;1,"⚠ vérifier","")))</f>
        <v/>
      </c>
      <c r="G326" s="11" t="str">
        <f>IF(B326="","",IFERROR(INDEX('Effectif Saison'!$D$4:$D$51,MATCH(B326,'Effectif Saison'!$E$4:$E$51,0)),""))</f>
        <v>Équipe 1</v>
      </c>
      <c r="H326" s="19" t="str">
        <f>IF(L326=0,"",IF(E326="Oui",0,IFERROR(_xlfn.MINIFS(Changements!$B:$B,Changements!$A:$A,A326,Changements!$D:$D,B326),"")))</f>
        <v/>
      </c>
      <c r="I326" s="19" t="str">
        <f>IF(M326=0,"",IFERROR(_xlfn.MAXIFS(Changements!$B:$B,Changements!$A:$A,A326,Changements!$C:$C,B326),""))</f>
        <v/>
      </c>
      <c r="J326" s="11" t="str">
        <f t="shared" si="26"/>
        <v/>
      </c>
      <c r="K326" s="17">
        <f t="shared" si="27"/>
        <v>0</v>
      </c>
      <c r="L326" s="17">
        <f>IF(B326="",0,COUNTIFS(Changements!$A:$A,A326,Changements!$D:$D,B326)+IF(E326="Oui",1,0))</f>
        <v>0</v>
      </c>
      <c r="M326" s="17">
        <f>IF(B326="",0,COUNTIFS(Changements!$A:$A,A326,Changements!$C:$C,B326))</f>
        <v>0</v>
      </c>
      <c r="N326" s="17">
        <f>IF(B326="",0,SUMIFS(Changements!$B:$B,Changements!$A:$A,A326,Changements!$D:$D,B326))</f>
        <v>0</v>
      </c>
      <c r="O326" s="17">
        <f>IF(B326="",0,SUMIFS(Changements!$B:$B,Changements!$A:$A,A326,Changements!$C:$C,B326)+IF(L326&gt;M326,IFERROR(INDEX(Matchs!$F$4:$F$31,MATCH(A326,Matchs!$A$4:$A$31,0)),0),0))</f>
        <v>0</v>
      </c>
      <c r="P326" s="17">
        <f t="shared" si="28"/>
        <v>0</v>
      </c>
      <c r="Q326" s="17">
        <f t="shared" si="29"/>
        <v>0</v>
      </c>
    </row>
    <row r="327" spans="1:17" ht="15" customHeight="1" x14ac:dyDescent="0.25">
      <c r="A327" s="11">
        <f t="shared" si="25"/>
        <v>14</v>
      </c>
      <c r="B327" s="11" t="str">
        <f>INDEX('Effectif Saison'!$E$4:$E$22,12)</f>
        <v>Basile STANGRET</v>
      </c>
      <c r="C327" s="10"/>
      <c r="D327" s="10"/>
      <c r="E327" s="10"/>
      <c r="F327" s="19" t="str">
        <f>IF(B327="","",IF(AND(E327="Oui",COUNTIFS(Changements!$A:$A,A327,Changements!$D:$D,B327)&gt;0),"⚠ Titulaire+entrée ?",IF(ABS(L327-M327)&gt;1,"⚠ vérifier","")))</f>
        <v/>
      </c>
      <c r="G327" s="11" t="str">
        <f>IF(B327="","",IFERROR(INDEX('Effectif Saison'!$D$4:$D$51,MATCH(B327,'Effectif Saison'!$E$4:$E$51,0)),""))</f>
        <v>Équipe 1</v>
      </c>
      <c r="H327" s="19" t="str">
        <f>IF(L327=0,"",IF(E327="Oui",0,IFERROR(_xlfn.MINIFS(Changements!$B:$B,Changements!$A:$A,A327,Changements!$D:$D,B327),"")))</f>
        <v/>
      </c>
      <c r="I327" s="19" t="str">
        <f>IF(M327=0,"",IFERROR(_xlfn.MAXIFS(Changements!$B:$B,Changements!$A:$A,A327,Changements!$C:$C,B327),""))</f>
        <v/>
      </c>
      <c r="J327" s="11" t="str">
        <f t="shared" si="26"/>
        <v/>
      </c>
      <c r="K327" s="17">
        <f t="shared" si="27"/>
        <v>0</v>
      </c>
      <c r="L327" s="17">
        <f>IF(B327="",0,COUNTIFS(Changements!$A:$A,A327,Changements!$D:$D,B327)+IF(E327="Oui",1,0))</f>
        <v>0</v>
      </c>
      <c r="M327" s="17">
        <f>IF(B327="",0,COUNTIFS(Changements!$A:$A,A327,Changements!$C:$C,B327))</f>
        <v>0</v>
      </c>
      <c r="N327" s="17">
        <f>IF(B327="",0,SUMIFS(Changements!$B:$B,Changements!$A:$A,A327,Changements!$D:$D,B327))</f>
        <v>0</v>
      </c>
      <c r="O327" s="17">
        <f>IF(B327="",0,SUMIFS(Changements!$B:$B,Changements!$A:$A,A327,Changements!$C:$C,B327)+IF(L327&gt;M327,IFERROR(INDEX(Matchs!$F$4:$F$31,MATCH(A327,Matchs!$A$4:$A$31,0)),0),0))</f>
        <v>0</v>
      </c>
      <c r="P327" s="17">
        <f t="shared" si="28"/>
        <v>0</v>
      </c>
      <c r="Q327" s="17">
        <f t="shared" si="29"/>
        <v>0</v>
      </c>
    </row>
    <row r="328" spans="1:17" ht="15" customHeight="1" x14ac:dyDescent="0.25">
      <c r="A328" s="11">
        <f t="shared" si="25"/>
        <v>14</v>
      </c>
      <c r="B328" s="11" t="str">
        <f>INDEX('Effectif Saison'!$E$4:$E$22,13)</f>
        <v>Maxence KELLER</v>
      </c>
      <c r="C328" s="10"/>
      <c r="D328" s="10"/>
      <c r="E328" s="10"/>
      <c r="F328" s="19" t="str">
        <f>IF(B328="","",IF(AND(E328="Oui",COUNTIFS(Changements!$A:$A,A328,Changements!$D:$D,B328)&gt;0),"⚠ Titulaire+entrée ?",IF(ABS(L328-M328)&gt;1,"⚠ vérifier","")))</f>
        <v/>
      </c>
      <c r="G328" s="11" t="str">
        <f>IF(B328="","",IFERROR(INDEX('Effectif Saison'!$D$4:$D$51,MATCH(B328,'Effectif Saison'!$E$4:$E$51,0)),""))</f>
        <v>Équipe 1</v>
      </c>
      <c r="H328" s="19" t="str">
        <f>IF(L328=0,"",IF(E328="Oui",0,IFERROR(_xlfn.MINIFS(Changements!$B:$B,Changements!$A:$A,A328,Changements!$D:$D,B328),"")))</f>
        <v/>
      </c>
      <c r="I328" s="19" t="str">
        <f>IF(M328=0,"",IFERROR(_xlfn.MAXIFS(Changements!$B:$B,Changements!$A:$A,A328,Changements!$C:$C,B328),""))</f>
        <v/>
      </c>
      <c r="J328" s="11" t="str">
        <f t="shared" si="26"/>
        <v/>
      </c>
      <c r="K328" s="17">
        <f t="shared" si="27"/>
        <v>0</v>
      </c>
      <c r="L328" s="17">
        <f>IF(B328="",0,COUNTIFS(Changements!$A:$A,A328,Changements!$D:$D,B328)+IF(E328="Oui",1,0))</f>
        <v>0</v>
      </c>
      <c r="M328" s="17">
        <f>IF(B328="",0,COUNTIFS(Changements!$A:$A,A328,Changements!$C:$C,B328))</f>
        <v>0</v>
      </c>
      <c r="N328" s="17">
        <f>IF(B328="",0,SUMIFS(Changements!$B:$B,Changements!$A:$A,A328,Changements!$D:$D,B328))</f>
        <v>0</v>
      </c>
      <c r="O328" s="17">
        <f>IF(B328="",0,SUMIFS(Changements!$B:$B,Changements!$A:$A,A328,Changements!$C:$C,B328)+IF(L328&gt;M328,IFERROR(INDEX(Matchs!$F$4:$F$31,MATCH(A328,Matchs!$A$4:$A$31,0)),0),0))</f>
        <v>0</v>
      </c>
      <c r="P328" s="17">
        <f t="shared" si="28"/>
        <v>0</v>
      </c>
      <c r="Q328" s="17">
        <f t="shared" si="29"/>
        <v>0</v>
      </c>
    </row>
    <row r="329" spans="1:17" ht="15" customHeight="1" x14ac:dyDescent="0.25">
      <c r="A329" s="11">
        <f t="shared" si="25"/>
        <v>14</v>
      </c>
      <c r="B329" s="11" t="str">
        <f>INDEX('Effectif Saison'!$E$4:$E$22,14)</f>
        <v>Evan SCHMITT</v>
      </c>
      <c r="C329" s="10"/>
      <c r="D329" s="10"/>
      <c r="E329" s="10"/>
      <c r="F329" s="19" t="str">
        <f>IF(B329="","",IF(AND(E329="Oui",COUNTIFS(Changements!$A:$A,A329,Changements!$D:$D,B329)&gt;0),"⚠ Titulaire+entrée ?",IF(ABS(L329-M329)&gt;1,"⚠ vérifier","")))</f>
        <v/>
      </c>
      <c r="G329" s="11" t="str">
        <f>IF(B329="","",IFERROR(INDEX('Effectif Saison'!$D$4:$D$51,MATCH(B329,'Effectif Saison'!$E$4:$E$51,0)),""))</f>
        <v>Équipe 1</v>
      </c>
      <c r="H329" s="19" t="str">
        <f>IF(L329=0,"",IF(E329="Oui",0,IFERROR(_xlfn.MINIFS(Changements!$B:$B,Changements!$A:$A,A329,Changements!$D:$D,B329),"")))</f>
        <v/>
      </c>
      <c r="I329" s="19" t="str">
        <f>IF(M329=0,"",IFERROR(_xlfn.MAXIFS(Changements!$B:$B,Changements!$A:$A,A329,Changements!$C:$C,B329),""))</f>
        <v/>
      </c>
      <c r="J329" s="11" t="str">
        <f t="shared" si="26"/>
        <v/>
      </c>
      <c r="K329" s="17">
        <f t="shared" si="27"/>
        <v>0</v>
      </c>
      <c r="L329" s="17">
        <f>IF(B329="",0,COUNTIFS(Changements!$A:$A,A329,Changements!$D:$D,B329)+IF(E329="Oui",1,0))</f>
        <v>0</v>
      </c>
      <c r="M329" s="17">
        <f>IF(B329="",0,COUNTIFS(Changements!$A:$A,A329,Changements!$C:$C,B329))</f>
        <v>0</v>
      </c>
      <c r="N329" s="17">
        <f>IF(B329="",0,SUMIFS(Changements!$B:$B,Changements!$A:$A,A329,Changements!$D:$D,B329))</f>
        <v>0</v>
      </c>
      <c r="O329" s="17">
        <f>IF(B329="",0,SUMIFS(Changements!$B:$B,Changements!$A:$A,A329,Changements!$C:$C,B329)+IF(L329&gt;M329,IFERROR(INDEX(Matchs!$F$4:$F$31,MATCH(A329,Matchs!$A$4:$A$31,0)),0),0))</f>
        <v>0</v>
      </c>
      <c r="P329" s="17">
        <f t="shared" si="28"/>
        <v>0</v>
      </c>
      <c r="Q329" s="17">
        <f t="shared" si="29"/>
        <v>0</v>
      </c>
    </row>
    <row r="330" spans="1:17" ht="15" customHeight="1" x14ac:dyDescent="0.25">
      <c r="A330" s="11">
        <f t="shared" si="25"/>
        <v>14</v>
      </c>
      <c r="B330" s="11" t="str">
        <f>INDEX('Effectif Saison'!$E$4:$E$22,15)</f>
        <v>William SIMON</v>
      </c>
      <c r="C330" s="10"/>
      <c r="D330" s="10"/>
      <c r="E330" s="10"/>
      <c r="F330" s="19" t="str">
        <f>IF(B330="","",IF(AND(E330="Oui",COUNTIFS(Changements!$A:$A,A330,Changements!$D:$D,B330)&gt;0),"⚠ Titulaire+entrée ?",IF(ABS(L330-M330)&gt;1,"⚠ vérifier","")))</f>
        <v/>
      </c>
      <c r="G330" s="11" t="str">
        <f>IF(B330="","",IFERROR(INDEX('Effectif Saison'!$D$4:$D$51,MATCH(B330,'Effectif Saison'!$E$4:$E$51,0)),""))</f>
        <v>Équipe 1</v>
      </c>
      <c r="H330" s="19" t="str">
        <f>IF(L330=0,"",IF(E330="Oui",0,IFERROR(_xlfn.MINIFS(Changements!$B:$B,Changements!$A:$A,A330,Changements!$D:$D,B330),"")))</f>
        <v/>
      </c>
      <c r="I330" s="19" t="str">
        <f>IF(M330=0,"",IFERROR(_xlfn.MAXIFS(Changements!$B:$B,Changements!$A:$A,A330,Changements!$C:$C,B330),""))</f>
        <v/>
      </c>
      <c r="J330" s="11" t="str">
        <f t="shared" si="26"/>
        <v/>
      </c>
      <c r="K330" s="17">
        <f t="shared" si="27"/>
        <v>0</v>
      </c>
      <c r="L330" s="17">
        <f>IF(B330="",0,COUNTIFS(Changements!$A:$A,A330,Changements!$D:$D,B330)+IF(E330="Oui",1,0))</f>
        <v>0</v>
      </c>
      <c r="M330" s="17">
        <f>IF(B330="",0,COUNTIFS(Changements!$A:$A,A330,Changements!$C:$C,B330))</f>
        <v>0</v>
      </c>
      <c r="N330" s="17">
        <f>IF(B330="",0,SUMIFS(Changements!$B:$B,Changements!$A:$A,A330,Changements!$D:$D,B330))</f>
        <v>0</v>
      </c>
      <c r="O330" s="17">
        <f>IF(B330="",0,SUMIFS(Changements!$B:$B,Changements!$A:$A,A330,Changements!$C:$C,B330)+IF(L330&gt;M330,IFERROR(INDEX(Matchs!$F$4:$F$31,MATCH(A330,Matchs!$A$4:$A$31,0)),0),0))</f>
        <v>0</v>
      </c>
      <c r="P330" s="17">
        <f t="shared" si="28"/>
        <v>0</v>
      </c>
      <c r="Q330" s="17">
        <f t="shared" si="29"/>
        <v>0</v>
      </c>
    </row>
    <row r="331" spans="1:17" ht="15" customHeight="1" x14ac:dyDescent="0.25">
      <c r="A331" s="11">
        <f t="shared" si="25"/>
        <v>14</v>
      </c>
      <c r="B331" s="11" t="str">
        <f>INDEX('Effectif Saison'!$E$4:$E$22,16)</f>
        <v>Lenny LEPPER</v>
      </c>
      <c r="C331" s="10"/>
      <c r="D331" s="10"/>
      <c r="E331" s="10"/>
      <c r="F331" s="19" t="str">
        <f>IF(B331="","",IF(AND(E331="Oui",COUNTIFS(Changements!$A:$A,A331,Changements!$D:$D,B331)&gt;0),"⚠ Titulaire+entrée ?",IF(ABS(L331-M331)&gt;1,"⚠ vérifier","")))</f>
        <v/>
      </c>
      <c r="G331" s="11" t="str">
        <f>IF(B331="","",IFERROR(INDEX('Effectif Saison'!$D$4:$D$51,MATCH(B331,'Effectif Saison'!$E$4:$E$51,0)),""))</f>
        <v>Équipe 1</v>
      </c>
      <c r="H331" s="19" t="str">
        <f>IF(L331=0,"",IF(E331="Oui",0,IFERROR(_xlfn.MINIFS(Changements!$B:$B,Changements!$A:$A,A331,Changements!$D:$D,B331),"")))</f>
        <v/>
      </c>
      <c r="I331" s="19" t="str">
        <f>IF(M331=0,"",IFERROR(_xlfn.MAXIFS(Changements!$B:$B,Changements!$A:$A,A331,Changements!$C:$C,B331),""))</f>
        <v/>
      </c>
      <c r="J331" s="11" t="str">
        <f t="shared" si="26"/>
        <v/>
      </c>
      <c r="K331" s="17">
        <f t="shared" si="27"/>
        <v>0</v>
      </c>
      <c r="L331" s="17">
        <f>IF(B331="",0,COUNTIFS(Changements!$A:$A,A331,Changements!$D:$D,B331)+IF(E331="Oui",1,0))</f>
        <v>0</v>
      </c>
      <c r="M331" s="17">
        <f>IF(B331="",0,COUNTIFS(Changements!$A:$A,A331,Changements!$C:$C,B331))</f>
        <v>0</v>
      </c>
      <c r="N331" s="17">
        <f>IF(B331="",0,SUMIFS(Changements!$B:$B,Changements!$A:$A,A331,Changements!$D:$D,B331))</f>
        <v>0</v>
      </c>
      <c r="O331" s="17">
        <f>IF(B331="",0,SUMIFS(Changements!$B:$B,Changements!$A:$A,A331,Changements!$C:$C,B331)+IF(L331&gt;M331,IFERROR(INDEX(Matchs!$F$4:$F$31,MATCH(A331,Matchs!$A$4:$A$31,0)),0),0))</f>
        <v>0</v>
      </c>
      <c r="P331" s="17">
        <f t="shared" si="28"/>
        <v>0</v>
      </c>
      <c r="Q331" s="17">
        <f t="shared" si="29"/>
        <v>0</v>
      </c>
    </row>
    <row r="332" spans="1:17" ht="15" customHeight="1" x14ac:dyDescent="0.25">
      <c r="A332" s="11">
        <f t="shared" si="25"/>
        <v>14</v>
      </c>
      <c r="B332" s="11" t="str">
        <f>INDEX('Effectif Saison'!$E$4:$E$22,17)</f>
        <v>Malo KELLER</v>
      </c>
      <c r="C332" s="10"/>
      <c r="D332" s="10"/>
      <c r="E332" s="10"/>
      <c r="F332" s="19" t="str">
        <f>IF(B332="","",IF(AND(E332="Oui",COUNTIFS(Changements!$A:$A,A332,Changements!$D:$D,B332)&gt;0),"⚠ Titulaire+entrée ?",IF(ABS(L332-M332)&gt;1,"⚠ vérifier","")))</f>
        <v/>
      </c>
      <c r="G332" s="11" t="str">
        <f>IF(B332="","",IFERROR(INDEX('Effectif Saison'!$D$4:$D$51,MATCH(B332,'Effectif Saison'!$E$4:$E$51,0)),""))</f>
        <v>Équipe 1</v>
      </c>
      <c r="H332" s="19" t="str">
        <f>IF(L332=0,"",IF(E332="Oui",0,IFERROR(_xlfn.MINIFS(Changements!$B:$B,Changements!$A:$A,A332,Changements!$D:$D,B332),"")))</f>
        <v/>
      </c>
      <c r="I332" s="19" t="str">
        <f>IF(M332=0,"",IFERROR(_xlfn.MAXIFS(Changements!$B:$B,Changements!$A:$A,A332,Changements!$C:$C,B332),""))</f>
        <v/>
      </c>
      <c r="J332" s="11" t="str">
        <f t="shared" si="26"/>
        <v/>
      </c>
      <c r="K332" s="17">
        <f t="shared" si="27"/>
        <v>0</v>
      </c>
      <c r="L332" s="17">
        <f>IF(B332="",0,COUNTIFS(Changements!$A:$A,A332,Changements!$D:$D,B332)+IF(E332="Oui",1,0))</f>
        <v>0</v>
      </c>
      <c r="M332" s="17">
        <f>IF(B332="",0,COUNTIFS(Changements!$A:$A,A332,Changements!$C:$C,B332))</f>
        <v>0</v>
      </c>
      <c r="N332" s="17">
        <f>IF(B332="",0,SUMIFS(Changements!$B:$B,Changements!$A:$A,A332,Changements!$D:$D,B332))</f>
        <v>0</v>
      </c>
      <c r="O332" s="17">
        <f>IF(B332="",0,SUMIFS(Changements!$B:$B,Changements!$A:$A,A332,Changements!$C:$C,B332)+IF(L332&gt;M332,IFERROR(INDEX(Matchs!$F$4:$F$31,MATCH(A332,Matchs!$A$4:$A$31,0)),0),0))</f>
        <v>0</v>
      </c>
      <c r="P332" s="17">
        <f t="shared" si="28"/>
        <v>0</v>
      </c>
      <c r="Q332" s="17">
        <f t="shared" si="29"/>
        <v>0</v>
      </c>
    </row>
    <row r="333" spans="1:17" ht="15" customHeight="1" x14ac:dyDescent="0.25">
      <c r="A333" s="11">
        <f t="shared" si="25"/>
        <v>14</v>
      </c>
      <c r="B333" s="11" t="str">
        <f>INDEX('Effectif Saison'!$E$4:$E$22,18)</f>
        <v>Tom SCHILLER</v>
      </c>
      <c r="C333" s="10"/>
      <c r="D333" s="10"/>
      <c r="E333" s="10"/>
      <c r="F333" s="19" t="str">
        <f>IF(B333="","",IF(AND(E333="Oui",COUNTIFS(Changements!$A:$A,A333,Changements!$D:$D,B333)&gt;0),"⚠ Titulaire+entrée ?",IF(ABS(L333-M333)&gt;1,"⚠ vérifier","")))</f>
        <v/>
      </c>
      <c r="G333" s="11" t="str">
        <f>IF(B333="","",IFERROR(INDEX('Effectif Saison'!$D$4:$D$51,MATCH(B333,'Effectif Saison'!$E$4:$E$51,0)),""))</f>
        <v>Équipe 1</v>
      </c>
      <c r="H333" s="19" t="str">
        <f>IF(L333=0,"",IF(E333="Oui",0,IFERROR(_xlfn.MINIFS(Changements!$B:$B,Changements!$A:$A,A333,Changements!$D:$D,B333),"")))</f>
        <v/>
      </c>
      <c r="I333" s="19" t="str">
        <f>IF(M333=0,"",IFERROR(_xlfn.MAXIFS(Changements!$B:$B,Changements!$A:$A,A333,Changements!$C:$C,B333),""))</f>
        <v/>
      </c>
      <c r="J333" s="11" t="str">
        <f t="shared" si="26"/>
        <v/>
      </c>
      <c r="K333" s="17">
        <f t="shared" si="27"/>
        <v>0</v>
      </c>
      <c r="L333" s="17">
        <f>IF(B333="",0,COUNTIFS(Changements!$A:$A,A333,Changements!$D:$D,B333)+IF(E333="Oui",1,0))</f>
        <v>0</v>
      </c>
      <c r="M333" s="17">
        <f>IF(B333="",0,COUNTIFS(Changements!$A:$A,A333,Changements!$C:$C,B333))</f>
        <v>0</v>
      </c>
      <c r="N333" s="17">
        <f>IF(B333="",0,SUMIFS(Changements!$B:$B,Changements!$A:$A,A333,Changements!$D:$D,B333))</f>
        <v>0</v>
      </c>
      <c r="O333" s="17">
        <f>IF(B333="",0,SUMIFS(Changements!$B:$B,Changements!$A:$A,A333,Changements!$C:$C,B333)+IF(L333&gt;M333,IFERROR(INDEX(Matchs!$F$4:$F$31,MATCH(A333,Matchs!$A$4:$A$31,0)),0),0))</f>
        <v>0</v>
      </c>
      <c r="P333" s="17">
        <f t="shared" si="28"/>
        <v>0</v>
      </c>
      <c r="Q333" s="17">
        <f t="shared" si="29"/>
        <v>0</v>
      </c>
    </row>
    <row r="334" spans="1:17" ht="15" customHeight="1" x14ac:dyDescent="0.25">
      <c r="A334" s="11">
        <f t="shared" si="25"/>
        <v>14</v>
      </c>
      <c r="B334" s="11" t="str">
        <f>INDEX('Effectif Saison'!$E$4:$E$22,19)</f>
        <v>Eliot LEIBY</v>
      </c>
      <c r="C334" s="10"/>
      <c r="D334" s="10"/>
      <c r="E334" s="10"/>
      <c r="F334" s="19" t="str">
        <f>IF(B334="","",IF(AND(E334="Oui",COUNTIFS(Changements!$A:$A,A334,Changements!$D:$D,B334)&gt;0),"⚠ Titulaire+entrée ?",IF(ABS(L334-M334)&gt;1,"⚠ vérifier","")))</f>
        <v/>
      </c>
      <c r="G334" s="11" t="str">
        <f>IF(B334="","",IFERROR(INDEX('Effectif Saison'!$D$4:$D$51,MATCH(B334,'Effectif Saison'!$E$4:$E$51,0)),""))</f>
        <v>Équipe 1</v>
      </c>
      <c r="H334" s="19" t="str">
        <f>IF(L334=0,"",IF(E334="Oui",0,IFERROR(_xlfn.MINIFS(Changements!$B:$B,Changements!$A:$A,A334,Changements!$D:$D,B334),"")))</f>
        <v/>
      </c>
      <c r="I334" s="19" t="str">
        <f>IF(M334=0,"",IFERROR(_xlfn.MAXIFS(Changements!$B:$B,Changements!$A:$A,A334,Changements!$C:$C,B334),""))</f>
        <v/>
      </c>
      <c r="J334" s="11" t="str">
        <f t="shared" si="26"/>
        <v/>
      </c>
      <c r="K334" s="17">
        <f t="shared" si="27"/>
        <v>0</v>
      </c>
      <c r="L334" s="17">
        <f>IF(B334="",0,COUNTIFS(Changements!$A:$A,A334,Changements!$D:$D,B334)+IF(E334="Oui",1,0))</f>
        <v>0</v>
      </c>
      <c r="M334" s="17">
        <f>IF(B334="",0,COUNTIFS(Changements!$A:$A,A334,Changements!$C:$C,B334))</f>
        <v>0</v>
      </c>
      <c r="N334" s="17">
        <f>IF(B334="",0,SUMIFS(Changements!$B:$B,Changements!$A:$A,A334,Changements!$D:$D,B334))</f>
        <v>0</v>
      </c>
      <c r="O334" s="17">
        <f>IF(B334="",0,SUMIFS(Changements!$B:$B,Changements!$A:$A,A334,Changements!$C:$C,B334)+IF(L334&gt;M334,IFERROR(INDEX(Matchs!$F$4:$F$31,MATCH(A334,Matchs!$A$4:$A$31,0)),0),0))</f>
        <v>0</v>
      </c>
      <c r="P334" s="17">
        <f t="shared" si="28"/>
        <v>0</v>
      </c>
      <c r="Q334" s="17">
        <f t="shared" si="29"/>
        <v>0</v>
      </c>
    </row>
    <row r="335" spans="1:17" ht="15" customHeight="1" x14ac:dyDescent="0.25">
      <c r="A335" s="11">
        <f t="shared" si="25"/>
        <v>14</v>
      </c>
      <c r="B335" s="10"/>
      <c r="C335" s="10"/>
      <c r="D335" s="10"/>
      <c r="E335" s="10"/>
      <c r="F335" s="19" t="str">
        <f>IF(B335="","",IF(AND(E335="Oui",COUNTIFS(Changements!$A:$A,A335,Changements!$D:$D,B335)&gt;0),"⚠ Titulaire+entrée ?",IF(ABS(L335-M335)&gt;1,"⚠ vérifier","")))</f>
        <v/>
      </c>
      <c r="G335" s="11" t="str">
        <f>IF(B335="","",IFERROR(INDEX('Effectif Saison'!$D$4:$D$51,MATCH(B335,'Effectif Saison'!$E$4:$E$51,0)),""))</f>
        <v/>
      </c>
      <c r="H335" s="19" t="str">
        <f>IF(L335=0,"",IF(E335="Oui",0,IFERROR(_xlfn.MINIFS(Changements!$B:$B,Changements!$A:$A,A335,Changements!$D:$D,B335),"")))</f>
        <v/>
      </c>
      <c r="I335" s="19" t="str">
        <f>IF(M335=0,"",IFERROR(_xlfn.MAXIFS(Changements!$B:$B,Changements!$A:$A,A335,Changements!$C:$C,B335),""))</f>
        <v/>
      </c>
      <c r="J335" s="11" t="str">
        <f t="shared" si="26"/>
        <v/>
      </c>
      <c r="K335" s="17">
        <f t="shared" si="27"/>
        <v>0</v>
      </c>
      <c r="L335" s="17">
        <f>IF(B335="",0,COUNTIFS(Changements!$A:$A,A335,Changements!$D:$D,B335)+IF(E335="Oui",1,0))</f>
        <v>0</v>
      </c>
      <c r="M335" s="17">
        <f>IF(B335="",0,COUNTIFS(Changements!$A:$A,A335,Changements!$C:$C,B335))</f>
        <v>0</v>
      </c>
      <c r="N335" s="17">
        <f>IF(B335="",0,SUMIFS(Changements!$B:$B,Changements!$A:$A,A335,Changements!$D:$D,B335))</f>
        <v>0</v>
      </c>
      <c r="O335" s="17">
        <f>IF(B335="",0,SUMIFS(Changements!$B:$B,Changements!$A:$A,A335,Changements!$C:$C,B335)+IF(L335&gt;M335,IFERROR(INDEX(Matchs!$F$4:$F$31,MATCH(A335,Matchs!$A$4:$A$31,0)),0),0))</f>
        <v>0</v>
      </c>
      <c r="P335" s="17">
        <f t="shared" si="28"/>
        <v>0</v>
      </c>
      <c r="Q335" s="17">
        <f t="shared" si="29"/>
        <v>0</v>
      </c>
    </row>
    <row r="336" spans="1:17" ht="15" customHeight="1" x14ac:dyDescent="0.25">
      <c r="A336" s="11">
        <f t="shared" si="25"/>
        <v>14</v>
      </c>
      <c r="B336" s="10"/>
      <c r="C336" s="10"/>
      <c r="D336" s="10"/>
      <c r="E336" s="10"/>
      <c r="F336" s="19" t="str">
        <f>IF(B336="","",IF(AND(E336="Oui",COUNTIFS(Changements!$A:$A,A336,Changements!$D:$D,B336)&gt;0),"⚠ Titulaire+entrée ?",IF(ABS(L336-M336)&gt;1,"⚠ vérifier","")))</f>
        <v/>
      </c>
      <c r="G336" s="11" t="str">
        <f>IF(B336="","",IFERROR(INDEX('Effectif Saison'!$D$4:$D$51,MATCH(B336,'Effectif Saison'!$E$4:$E$51,0)),""))</f>
        <v/>
      </c>
      <c r="H336" s="19" t="str">
        <f>IF(L336=0,"",IF(E336="Oui",0,IFERROR(_xlfn.MINIFS(Changements!$B:$B,Changements!$A:$A,A336,Changements!$D:$D,B336),"")))</f>
        <v/>
      </c>
      <c r="I336" s="19" t="str">
        <f>IF(M336=0,"",IFERROR(_xlfn.MAXIFS(Changements!$B:$B,Changements!$A:$A,A336,Changements!$C:$C,B336),""))</f>
        <v/>
      </c>
      <c r="J336" s="11" t="str">
        <f t="shared" si="26"/>
        <v/>
      </c>
      <c r="K336" s="17">
        <f t="shared" si="27"/>
        <v>0</v>
      </c>
      <c r="L336" s="17">
        <f>IF(B336="",0,COUNTIFS(Changements!$A:$A,A336,Changements!$D:$D,B336)+IF(E336="Oui",1,0))</f>
        <v>0</v>
      </c>
      <c r="M336" s="17">
        <f>IF(B336="",0,COUNTIFS(Changements!$A:$A,A336,Changements!$C:$C,B336))</f>
        <v>0</v>
      </c>
      <c r="N336" s="17">
        <f>IF(B336="",0,SUMIFS(Changements!$B:$B,Changements!$A:$A,A336,Changements!$D:$D,B336))</f>
        <v>0</v>
      </c>
      <c r="O336" s="17">
        <f>IF(B336="",0,SUMIFS(Changements!$B:$B,Changements!$A:$A,A336,Changements!$C:$C,B336)+IF(L336&gt;M336,IFERROR(INDEX(Matchs!$F$4:$F$31,MATCH(A336,Matchs!$A$4:$A$31,0)),0),0))</f>
        <v>0</v>
      </c>
      <c r="P336" s="17">
        <f t="shared" si="28"/>
        <v>0</v>
      </c>
      <c r="Q336" s="17">
        <f t="shared" si="29"/>
        <v>0</v>
      </c>
    </row>
    <row r="337" spans="1:17" ht="15" customHeight="1" x14ac:dyDescent="0.25">
      <c r="A337" s="11">
        <f t="shared" si="25"/>
        <v>14</v>
      </c>
      <c r="B337" s="10"/>
      <c r="C337" s="10"/>
      <c r="D337" s="10"/>
      <c r="E337" s="10"/>
      <c r="F337" s="19" t="str">
        <f>IF(B337="","",IF(AND(E337="Oui",COUNTIFS(Changements!$A:$A,A337,Changements!$D:$D,B337)&gt;0),"⚠ Titulaire+entrée ?",IF(ABS(L337-M337)&gt;1,"⚠ vérifier","")))</f>
        <v/>
      </c>
      <c r="G337" s="11" t="str">
        <f>IF(B337="","",IFERROR(INDEX('Effectif Saison'!$D$4:$D$51,MATCH(B337,'Effectif Saison'!$E$4:$E$51,0)),""))</f>
        <v/>
      </c>
      <c r="H337" s="19" t="str">
        <f>IF(L337=0,"",IF(E337="Oui",0,IFERROR(_xlfn.MINIFS(Changements!$B:$B,Changements!$A:$A,A337,Changements!$D:$D,B337),"")))</f>
        <v/>
      </c>
      <c r="I337" s="19" t="str">
        <f>IF(M337=0,"",IFERROR(_xlfn.MAXIFS(Changements!$B:$B,Changements!$A:$A,A337,Changements!$C:$C,B337),""))</f>
        <v/>
      </c>
      <c r="J337" s="11" t="str">
        <f t="shared" si="26"/>
        <v/>
      </c>
      <c r="K337" s="17">
        <f t="shared" si="27"/>
        <v>0</v>
      </c>
      <c r="L337" s="17">
        <f>IF(B337="",0,COUNTIFS(Changements!$A:$A,A337,Changements!$D:$D,B337)+IF(E337="Oui",1,0))</f>
        <v>0</v>
      </c>
      <c r="M337" s="17">
        <f>IF(B337="",0,COUNTIFS(Changements!$A:$A,A337,Changements!$C:$C,B337))</f>
        <v>0</v>
      </c>
      <c r="N337" s="17">
        <f>IF(B337="",0,SUMIFS(Changements!$B:$B,Changements!$A:$A,A337,Changements!$D:$D,B337))</f>
        <v>0</v>
      </c>
      <c r="O337" s="17">
        <f>IF(B337="",0,SUMIFS(Changements!$B:$B,Changements!$A:$A,A337,Changements!$C:$C,B337)+IF(L337&gt;M337,IFERROR(INDEX(Matchs!$F$4:$F$31,MATCH(A337,Matchs!$A$4:$A$31,0)),0),0))</f>
        <v>0</v>
      </c>
      <c r="P337" s="17">
        <f t="shared" si="28"/>
        <v>0</v>
      </c>
      <c r="Q337" s="17">
        <f t="shared" si="29"/>
        <v>0</v>
      </c>
    </row>
    <row r="338" spans="1:17" ht="15" customHeight="1" x14ac:dyDescent="0.25">
      <c r="A338" s="11">
        <f t="shared" si="25"/>
        <v>14</v>
      </c>
      <c r="B338" s="10"/>
      <c r="C338" s="10"/>
      <c r="D338" s="10"/>
      <c r="E338" s="10"/>
      <c r="F338" s="19" t="str">
        <f>IF(B338="","",IF(AND(E338="Oui",COUNTIFS(Changements!$A:$A,A338,Changements!$D:$D,B338)&gt;0),"⚠ Titulaire+entrée ?",IF(ABS(L338-M338)&gt;1,"⚠ vérifier","")))</f>
        <v/>
      </c>
      <c r="G338" s="11" t="str">
        <f>IF(B338="","",IFERROR(INDEX('Effectif Saison'!$D$4:$D$51,MATCH(B338,'Effectif Saison'!$E$4:$E$51,0)),""))</f>
        <v/>
      </c>
      <c r="H338" s="19" t="str">
        <f>IF(L338=0,"",IF(E338="Oui",0,IFERROR(_xlfn.MINIFS(Changements!$B:$B,Changements!$A:$A,A338,Changements!$D:$D,B338),"")))</f>
        <v/>
      </c>
      <c r="I338" s="19" t="str">
        <f>IF(M338=0,"",IFERROR(_xlfn.MAXIFS(Changements!$B:$B,Changements!$A:$A,A338,Changements!$C:$C,B338),""))</f>
        <v/>
      </c>
      <c r="J338" s="11" t="str">
        <f t="shared" si="26"/>
        <v/>
      </c>
      <c r="K338" s="17">
        <f t="shared" si="27"/>
        <v>0</v>
      </c>
      <c r="L338" s="17">
        <f>IF(B338="",0,COUNTIFS(Changements!$A:$A,A338,Changements!$D:$D,B338)+IF(E338="Oui",1,0))</f>
        <v>0</v>
      </c>
      <c r="M338" s="17">
        <f>IF(B338="",0,COUNTIFS(Changements!$A:$A,A338,Changements!$C:$C,B338))</f>
        <v>0</v>
      </c>
      <c r="N338" s="17">
        <f>IF(B338="",0,SUMIFS(Changements!$B:$B,Changements!$A:$A,A338,Changements!$D:$D,B338))</f>
        <v>0</v>
      </c>
      <c r="O338" s="17">
        <f>IF(B338="",0,SUMIFS(Changements!$B:$B,Changements!$A:$A,A338,Changements!$C:$C,B338)+IF(L338&gt;M338,IFERROR(INDEX(Matchs!$F$4:$F$31,MATCH(A338,Matchs!$A$4:$A$31,0)),0),0))</f>
        <v>0</v>
      </c>
      <c r="P338" s="17">
        <f t="shared" si="28"/>
        <v>0</v>
      </c>
      <c r="Q338" s="17">
        <f t="shared" si="29"/>
        <v>0</v>
      </c>
    </row>
    <row r="339" spans="1:17" ht="15" customHeight="1" x14ac:dyDescent="0.25">
      <c r="A339" s="11">
        <f t="shared" si="25"/>
        <v>14</v>
      </c>
      <c r="B339" s="10"/>
      <c r="C339" s="10"/>
      <c r="D339" s="10"/>
      <c r="E339" s="10"/>
      <c r="F339" s="19" t="str">
        <f>IF(B339="","",IF(AND(E339="Oui",COUNTIFS(Changements!$A:$A,A339,Changements!$D:$D,B339)&gt;0),"⚠ Titulaire+entrée ?",IF(ABS(L339-M339)&gt;1,"⚠ vérifier","")))</f>
        <v/>
      </c>
      <c r="G339" s="11" t="str">
        <f>IF(B339="","",IFERROR(INDEX('Effectif Saison'!$D$4:$D$51,MATCH(B339,'Effectif Saison'!$E$4:$E$51,0)),""))</f>
        <v/>
      </c>
      <c r="H339" s="19" t="str">
        <f>IF(L339=0,"",IF(E339="Oui",0,IFERROR(_xlfn.MINIFS(Changements!$B:$B,Changements!$A:$A,A339,Changements!$D:$D,B339),"")))</f>
        <v/>
      </c>
      <c r="I339" s="19" t="str">
        <f>IF(M339=0,"",IFERROR(_xlfn.MAXIFS(Changements!$B:$B,Changements!$A:$A,A339,Changements!$C:$C,B339),""))</f>
        <v/>
      </c>
      <c r="J339" s="11" t="str">
        <f t="shared" si="26"/>
        <v/>
      </c>
      <c r="K339" s="17">
        <f t="shared" si="27"/>
        <v>0</v>
      </c>
      <c r="L339" s="17">
        <f>IF(B339="",0,COUNTIFS(Changements!$A:$A,A339,Changements!$D:$D,B339)+IF(E339="Oui",1,0))</f>
        <v>0</v>
      </c>
      <c r="M339" s="17">
        <f>IF(B339="",0,COUNTIFS(Changements!$A:$A,A339,Changements!$C:$C,B339))</f>
        <v>0</v>
      </c>
      <c r="N339" s="17">
        <f>IF(B339="",0,SUMIFS(Changements!$B:$B,Changements!$A:$A,A339,Changements!$D:$D,B339))</f>
        <v>0</v>
      </c>
      <c r="O339" s="17">
        <f>IF(B339="",0,SUMIFS(Changements!$B:$B,Changements!$A:$A,A339,Changements!$C:$C,B339)+IF(L339&gt;M339,IFERROR(INDEX(Matchs!$F$4:$F$31,MATCH(A339,Matchs!$A$4:$A$31,0)),0),0))</f>
        <v>0</v>
      </c>
      <c r="P339" s="17">
        <f t="shared" si="28"/>
        <v>0</v>
      </c>
      <c r="Q339" s="17">
        <f t="shared" si="29"/>
        <v>0</v>
      </c>
    </row>
    <row r="340" spans="1:17" ht="15" customHeight="1" x14ac:dyDescent="0.25">
      <c r="A340" s="11">
        <f t="shared" si="25"/>
        <v>15</v>
      </c>
      <c r="B340" s="11" t="str">
        <f>INDEX('Effectif Saison'!$E$4:$E$22,1)</f>
        <v>Alan MICHON</v>
      </c>
      <c r="C340" s="10"/>
      <c r="D340" s="10"/>
      <c r="E340" s="10"/>
      <c r="F340" s="19" t="str">
        <f>IF(B340="","",IF(AND(E340="Oui",COUNTIFS(Changements!$A:$A,A340,Changements!$D:$D,B340)&gt;0),"⚠ Titulaire+entrée ?",IF(ABS(L340-M340)&gt;1,"⚠ vérifier","")))</f>
        <v/>
      </c>
      <c r="G340" s="11" t="str">
        <f>IF(B340="","",IFERROR(INDEX('Effectif Saison'!$D$4:$D$51,MATCH(B340,'Effectif Saison'!$E$4:$E$51,0)),""))</f>
        <v>Équipe 1</v>
      </c>
      <c r="H340" s="19" t="str">
        <f>IF(L340=0,"",IF(E340="Oui",0,IFERROR(_xlfn.MINIFS(Changements!$B:$B,Changements!$A:$A,A340,Changements!$D:$D,B340),"")))</f>
        <v/>
      </c>
      <c r="I340" s="19" t="str">
        <f>IF(M340=0,"",IFERROR(_xlfn.MAXIFS(Changements!$B:$B,Changements!$A:$A,A340,Changements!$C:$C,B340),""))</f>
        <v/>
      </c>
      <c r="J340" s="11" t="str">
        <f t="shared" si="26"/>
        <v/>
      </c>
      <c r="K340" s="17">
        <f t="shared" si="27"/>
        <v>0</v>
      </c>
      <c r="L340" s="17">
        <f>IF(B340="",0,COUNTIFS(Changements!$A:$A,A340,Changements!$D:$D,B340)+IF(E340="Oui",1,0))</f>
        <v>0</v>
      </c>
      <c r="M340" s="17">
        <f>IF(B340="",0,COUNTIFS(Changements!$A:$A,A340,Changements!$C:$C,B340))</f>
        <v>0</v>
      </c>
      <c r="N340" s="17">
        <f>IF(B340="",0,SUMIFS(Changements!$B:$B,Changements!$A:$A,A340,Changements!$D:$D,B340))</f>
        <v>0</v>
      </c>
      <c r="O340" s="17">
        <f>IF(B340="",0,SUMIFS(Changements!$B:$B,Changements!$A:$A,A340,Changements!$C:$C,B340)+IF(L340&gt;M340,IFERROR(INDEX(Matchs!$F$4:$F$31,MATCH(A340,Matchs!$A$4:$A$31,0)),0),0))</f>
        <v>0</v>
      </c>
      <c r="P340" s="17">
        <f t="shared" si="28"/>
        <v>0</v>
      </c>
      <c r="Q340" s="17">
        <f t="shared" si="29"/>
        <v>0</v>
      </c>
    </row>
    <row r="341" spans="1:17" ht="15" customHeight="1" x14ac:dyDescent="0.25">
      <c r="A341" s="11">
        <f t="shared" si="25"/>
        <v>15</v>
      </c>
      <c r="B341" s="11" t="str">
        <f>INDEX('Effectif Saison'!$E$4:$E$22,2)</f>
        <v>Jean BRUNTZ</v>
      </c>
      <c r="C341" s="10"/>
      <c r="D341" s="10"/>
      <c r="E341" s="10"/>
      <c r="F341" s="19" t="str">
        <f>IF(B341="","",IF(AND(E341="Oui",COUNTIFS(Changements!$A:$A,A341,Changements!$D:$D,B341)&gt;0),"⚠ Titulaire+entrée ?",IF(ABS(L341-M341)&gt;1,"⚠ vérifier","")))</f>
        <v/>
      </c>
      <c r="G341" s="11" t="str">
        <f>IF(B341="","",IFERROR(INDEX('Effectif Saison'!$D$4:$D$51,MATCH(B341,'Effectif Saison'!$E$4:$E$51,0)),""))</f>
        <v>Équipe 1</v>
      </c>
      <c r="H341" s="19" t="str">
        <f>IF(L341=0,"",IF(E341="Oui",0,IFERROR(_xlfn.MINIFS(Changements!$B:$B,Changements!$A:$A,A341,Changements!$D:$D,B341),"")))</f>
        <v/>
      </c>
      <c r="I341" s="19" t="str">
        <f>IF(M341=0,"",IFERROR(_xlfn.MAXIFS(Changements!$B:$B,Changements!$A:$A,A341,Changements!$C:$C,B341),""))</f>
        <v/>
      </c>
      <c r="J341" s="11" t="str">
        <f t="shared" si="26"/>
        <v/>
      </c>
      <c r="K341" s="17">
        <f t="shared" si="27"/>
        <v>0</v>
      </c>
      <c r="L341" s="17">
        <f>IF(B341="",0,COUNTIFS(Changements!$A:$A,A341,Changements!$D:$D,B341)+IF(E341="Oui",1,0))</f>
        <v>0</v>
      </c>
      <c r="M341" s="17">
        <f>IF(B341="",0,COUNTIFS(Changements!$A:$A,A341,Changements!$C:$C,B341))</f>
        <v>0</v>
      </c>
      <c r="N341" s="17">
        <f>IF(B341="",0,SUMIFS(Changements!$B:$B,Changements!$A:$A,A341,Changements!$D:$D,B341))</f>
        <v>0</v>
      </c>
      <c r="O341" s="17">
        <f>IF(B341="",0,SUMIFS(Changements!$B:$B,Changements!$A:$A,A341,Changements!$C:$C,B341)+IF(L341&gt;M341,IFERROR(INDEX(Matchs!$F$4:$F$31,MATCH(A341,Matchs!$A$4:$A$31,0)),0),0))</f>
        <v>0</v>
      </c>
      <c r="P341" s="17">
        <f t="shared" si="28"/>
        <v>0</v>
      </c>
      <c r="Q341" s="17">
        <f t="shared" si="29"/>
        <v>0</v>
      </c>
    </row>
    <row r="342" spans="1:17" ht="15" customHeight="1" x14ac:dyDescent="0.25">
      <c r="A342" s="11">
        <f t="shared" si="25"/>
        <v>15</v>
      </c>
      <c r="B342" s="11" t="str">
        <f>INDEX('Effectif Saison'!$E$4:$E$22,3)</f>
        <v>Marouane SBK</v>
      </c>
      <c r="C342" s="10"/>
      <c r="D342" s="10"/>
      <c r="E342" s="10"/>
      <c r="F342" s="19" t="str">
        <f>IF(B342="","",IF(AND(E342="Oui",COUNTIFS(Changements!$A:$A,A342,Changements!$D:$D,B342)&gt;0),"⚠ Titulaire+entrée ?",IF(ABS(L342-M342)&gt;1,"⚠ vérifier","")))</f>
        <v/>
      </c>
      <c r="G342" s="11" t="str">
        <f>IF(B342="","",IFERROR(INDEX('Effectif Saison'!$D$4:$D$51,MATCH(B342,'Effectif Saison'!$E$4:$E$51,0)),""))</f>
        <v>Équipe 1</v>
      </c>
      <c r="H342" s="19" t="str">
        <f>IF(L342=0,"",IF(E342="Oui",0,IFERROR(_xlfn.MINIFS(Changements!$B:$B,Changements!$A:$A,A342,Changements!$D:$D,B342),"")))</f>
        <v/>
      </c>
      <c r="I342" s="19" t="str">
        <f>IF(M342=0,"",IFERROR(_xlfn.MAXIFS(Changements!$B:$B,Changements!$A:$A,A342,Changements!$C:$C,B342),""))</f>
        <v/>
      </c>
      <c r="J342" s="11" t="str">
        <f t="shared" si="26"/>
        <v/>
      </c>
      <c r="K342" s="17">
        <f t="shared" si="27"/>
        <v>0</v>
      </c>
      <c r="L342" s="17">
        <f>IF(B342="",0,COUNTIFS(Changements!$A:$A,A342,Changements!$D:$D,B342)+IF(E342="Oui",1,0))</f>
        <v>0</v>
      </c>
      <c r="M342" s="17">
        <f>IF(B342="",0,COUNTIFS(Changements!$A:$A,A342,Changements!$C:$C,B342))</f>
        <v>0</v>
      </c>
      <c r="N342" s="17">
        <f>IF(B342="",0,SUMIFS(Changements!$B:$B,Changements!$A:$A,A342,Changements!$D:$D,B342))</f>
        <v>0</v>
      </c>
      <c r="O342" s="17">
        <f>IF(B342="",0,SUMIFS(Changements!$B:$B,Changements!$A:$A,A342,Changements!$C:$C,B342)+IF(L342&gt;M342,IFERROR(INDEX(Matchs!$F$4:$F$31,MATCH(A342,Matchs!$A$4:$A$31,0)),0),0))</f>
        <v>0</v>
      </c>
      <c r="P342" s="17">
        <f t="shared" si="28"/>
        <v>0</v>
      </c>
      <c r="Q342" s="17">
        <f t="shared" si="29"/>
        <v>0</v>
      </c>
    </row>
    <row r="343" spans="1:17" ht="15" customHeight="1" x14ac:dyDescent="0.25">
      <c r="A343" s="11">
        <f t="shared" si="25"/>
        <v>15</v>
      </c>
      <c r="B343" s="11" t="str">
        <f>INDEX('Effectif Saison'!$E$4:$E$22,4)</f>
        <v>Noé BIHL</v>
      </c>
      <c r="C343" s="10"/>
      <c r="D343" s="10"/>
      <c r="E343" s="10"/>
      <c r="F343" s="19" t="str">
        <f>IF(B343="","",IF(AND(E343="Oui",COUNTIFS(Changements!$A:$A,A343,Changements!$D:$D,B343)&gt;0),"⚠ Titulaire+entrée ?",IF(ABS(L343-M343)&gt;1,"⚠ vérifier","")))</f>
        <v/>
      </c>
      <c r="G343" s="11" t="str">
        <f>IF(B343="","",IFERROR(INDEX('Effectif Saison'!$D$4:$D$51,MATCH(B343,'Effectif Saison'!$E$4:$E$51,0)),""))</f>
        <v>Équipe 1</v>
      </c>
      <c r="H343" s="19" t="str">
        <f>IF(L343=0,"",IF(E343="Oui",0,IFERROR(_xlfn.MINIFS(Changements!$B:$B,Changements!$A:$A,A343,Changements!$D:$D,B343),"")))</f>
        <v/>
      </c>
      <c r="I343" s="19" t="str">
        <f>IF(M343=0,"",IFERROR(_xlfn.MAXIFS(Changements!$B:$B,Changements!$A:$A,A343,Changements!$C:$C,B343),""))</f>
        <v/>
      </c>
      <c r="J343" s="11" t="str">
        <f t="shared" si="26"/>
        <v/>
      </c>
      <c r="K343" s="17">
        <f t="shared" si="27"/>
        <v>0</v>
      </c>
      <c r="L343" s="17">
        <f>IF(B343="",0,COUNTIFS(Changements!$A:$A,A343,Changements!$D:$D,B343)+IF(E343="Oui",1,0))</f>
        <v>0</v>
      </c>
      <c r="M343" s="17">
        <f>IF(B343="",0,COUNTIFS(Changements!$A:$A,A343,Changements!$C:$C,B343))</f>
        <v>0</v>
      </c>
      <c r="N343" s="17">
        <f>IF(B343="",0,SUMIFS(Changements!$B:$B,Changements!$A:$A,A343,Changements!$D:$D,B343))</f>
        <v>0</v>
      </c>
      <c r="O343" s="17">
        <f>IF(B343="",0,SUMIFS(Changements!$B:$B,Changements!$A:$A,A343,Changements!$C:$C,B343)+IF(L343&gt;M343,IFERROR(INDEX(Matchs!$F$4:$F$31,MATCH(A343,Matchs!$A$4:$A$31,0)),0),0))</f>
        <v>0</v>
      </c>
      <c r="P343" s="17">
        <f t="shared" si="28"/>
        <v>0</v>
      </c>
      <c r="Q343" s="17">
        <f t="shared" si="29"/>
        <v>0</v>
      </c>
    </row>
    <row r="344" spans="1:17" ht="15" customHeight="1" x14ac:dyDescent="0.25">
      <c r="A344" s="11">
        <f t="shared" si="25"/>
        <v>15</v>
      </c>
      <c r="B344" s="11" t="str">
        <f>INDEX('Effectif Saison'!$E$4:$E$22,5)</f>
        <v>Luca COLAIANNI</v>
      </c>
      <c r="C344" s="10"/>
      <c r="D344" s="10"/>
      <c r="E344" s="10"/>
      <c r="F344" s="19" t="str">
        <f>IF(B344="","",IF(AND(E344="Oui",COUNTIFS(Changements!$A:$A,A344,Changements!$D:$D,B344)&gt;0),"⚠ Titulaire+entrée ?",IF(ABS(L344-M344)&gt;1,"⚠ vérifier","")))</f>
        <v/>
      </c>
      <c r="G344" s="11" t="str">
        <f>IF(B344="","",IFERROR(INDEX('Effectif Saison'!$D$4:$D$51,MATCH(B344,'Effectif Saison'!$E$4:$E$51,0)),""))</f>
        <v>Équipe 1</v>
      </c>
      <c r="H344" s="19" t="str">
        <f>IF(L344=0,"",IF(E344="Oui",0,IFERROR(_xlfn.MINIFS(Changements!$B:$B,Changements!$A:$A,A344,Changements!$D:$D,B344),"")))</f>
        <v/>
      </c>
      <c r="I344" s="19" t="str">
        <f>IF(M344=0,"",IFERROR(_xlfn.MAXIFS(Changements!$B:$B,Changements!$A:$A,A344,Changements!$C:$C,B344),""))</f>
        <v/>
      </c>
      <c r="J344" s="11" t="str">
        <f t="shared" si="26"/>
        <v/>
      </c>
      <c r="K344" s="17">
        <f t="shared" si="27"/>
        <v>0</v>
      </c>
      <c r="L344" s="17">
        <f>IF(B344="",0,COUNTIFS(Changements!$A:$A,A344,Changements!$D:$D,B344)+IF(E344="Oui",1,0))</f>
        <v>0</v>
      </c>
      <c r="M344" s="17">
        <f>IF(B344="",0,COUNTIFS(Changements!$A:$A,A344,Changements!$C:$C,B344))</f>
        <v>0</v>
      </c>
      <c r="N344" s="17">
        <f>IF(B344="",0,SUMIFS(Changements!$B:$B,Changements!$A:$A,A344,Changements!$D:$D,B344))</f>
        <v>0</v>
      </c>
      <c r="O344" s="17">
        <f>IF(B344="",0,SUMIFS(Changements!$B:$B,Changements!$A:$A,A344,Changements!$C:$C,B344)+IF(L344&gt;M344,IFERROR(INDEX(Matchs!$F$4:$F$31,MATCH(A344,Matchs!$A$4:$A$31,0)),0),0))</f>
        <v>0</v>
      </c>
      <c r="P344" s="17">
        <f t="shared" si="28"/>
        <v>0</v>
      </c>
      <c r="Q344" s="17">
        <f t="shared" si="29"/>
        <v>0</v>
      </c>
    </row>
    <row r="345" spans="1:17" ht="15" customHeight="1" x14ac:dyDescent="0.25">
      <c r="A345" s="11">
        <f t="shared" si="25"/>
        <v>15</v>
      </c>
      <c r="B345" s="11" t="str">
        <f>INDEX('Effectif Saison'!$E$4:$E$22,6)</f>
        <v>Atilla ER</v>
      </c>
      <c r="C345" s="10"/>
      <c r="D345" s="10"/>
      <c r="E345" s="10"/>
      <c r="F345" s="19" t="str">
        <f>IF(B345="","",IF(AND(E345="Oui",COUNTIFS(Changements!$A:$A,A345,Changements!$D:$D,B345)&gt;0),"⚠ Titulaire+entrée ?",IF(ABS(L345-M345)&gt;1,"⚠ vérifier","")))</f>
        <v/>
      </c>
      <c r="G345" s="11" t="str">
        <f>IF(B345="","",IFERROR(INDEX('Effectif Saison'!$D$4:$D$51,MATCH(B345,'Effectif Saison'!$E$4:$E$51,0)),""))</f>
        <v>Équipe 1</v>
      </c>
      <c r="H345" s="19" t="str">
        <f>IF(L345=0,"",IF(E345="Oui",0,IFERROR(_xlfn.MINIFS(Changements!$B:$B,Changements!$A:$A,A345,Changements!$D:$D,B345),"")))</f>
        <v/>
      </c>
      <c r="I345" s="19" t="str">
        <f>IF(M345=0,"",IFERROR(_xlfn.MAXIFS(Changements!$B:$B,Changements!$A:$A,A345,Changements!$C:$C,B345),""))</f>
        <v/>
      </c>
      <c r="J345" s="11" t="str">
        <f t="shared" si="26"/>
        <v/>
      </c>
      <c r="K345" s="17">
        <f t="shared" si="27"/>
        <v>0</v>
      </c>
      <c r="L345" s="17">
        <f>IF(B345="",0,COUNTIFS(Changements!$A:$A,A345,Changements!$D:$D,B345)+IF(E345="Oui",1,0))</f>
        <v>0</v>
      </c>
      <c r="M345" s="17">
        <f>IF(B345="",0,COUNTIFS(Changements!$A:$A,A345,Changements!$C:$C,B345))</f>
        <v>0</v>
      </c>
      <c r="N345" s="17">
        <f>IF(B345="",0,SUMIFS(Changements!$B:$B,Changements!$A:$A,A345,Changements!$D:$D,B345))</f>
        <v>0</v>
      </c>
      <c r="O345" s="17">
        <f>IF(B345="",0,SUMIFS(Changements!$B:$B,Changements!$A:$A,A345,Changements!$C:$C,B345)+IF(L345&gt;M345,IFERROR(INDEX(Matchs!$F$4:$F$31,MATCH(A345,Matchs!$A$4:$A$31,0)),0),0))</f>
        <v>0</v>
      </c>
      <c r="P345" s="17">
        <f t="shared" si="28"/>
        <v>0</v>
      </c>
      <c r="Q345" s="17">
        <f t="shared" si="29"/>
        <v>0</v>
      </c>
    </row>
    <row r="346" spans="1:17" ht="15" customHeight="1" x14ac:dyDescent="0.25">
      <c r="A346" s="11">
        <f t="shared" si="25"/>
        <v>15</v>
      </c>
      <c r="B346" s="11" t="str">
        <f>INDEX('Effectif Saison'!$E$4:$E$22,7)</f>
        <v>Lucas BUHR</v>
      </c>
      <c r="C346" s="10"/>
      <c r="D346" s="10"/>
      <c r="E346" s="10"/>
      <c r="F346" s="19" t="str">
        <f>IF(B346="","",IF(AND(E346="Oui",COUNTIFS(Changements!$A:$A,A346,Changements!$D:$D,B346)&gt;0),"⚠ Titulaire+entrée ?",IF(ABS(L346-M346)&gt;1,"⚠ vérifier","")))</f>
        <v/>
      </c>
      <c r="G346" s="11" t="str">
        <f>IF(B346="","",IFERROR(INDEX('Effectif Saison'!$D$4:$D$51,MATCH(B346,'Effectif Saison'!$E$4:$E$51,0)),""))</f>
        <v>Équipe 1</v>
      </c>
      <c r="H346" s="19" t="str">
        <f>IF(L346=0,"",IF(E346="Oui",0,IFERROR(_xlfn.MINIFS(Changements!$B:$B,Changements!$A:$A,A346,Changements!$D:$D,B346),"")))</f>
        <v/>
      </c>
      <c r="I346" s="19" t="str">
        <f>IF(M346=0,"",IFERROR(_xlfn.MAXIFS(Changements!$B:$B,Changements!$A:$A,A346,Changements!$C:$C,B346),""))</f>
        <v/>
      </c>
      <c r="J346" s="11" t="str">
        <f t="shared" si="26"/>
        <v/>
      </c>
      <c r="K346" s="17">
        <f t="shared" si="27"/>
        <v>0</v>
      </c>
      <c r="L346" s="17">
        <f>IF(B346="",0,COUNTIFS(Changements!$A:$A,A346,Changements!$D:$D,B346)+IF(E346="Oui",1,0))</f>
        <v>0</v>
      </c>
      <c r="M346" s="17">
        <f>IF(B346="",0,COUNTIFS(Changements!$A:$A,A346,Changements!$C:$C,B346))</f>
        <v>0</v>
      </c>
      <c r="N346" s="17">
        <f>IF(B346="",0,SUMIFS(Changements!$B:$B,Changements!$A:$A,A346,Changements!$D:$D,B346))</f>
        <v>0</v>
      </c>
      <c r="O346" s="17">
        <f>IF(B346="",0,SUMIFS(Changements!$B:$B,Changements!$A:$A,A346,Changements!$C:$C,B346)+IF(L346&gt;M346,IFERROR(INDEX(Matchs!$F$4:$F$31,MATCH(A346,Matchs!$A$4:$A$31,0)),0),0))</f>
        <v>0</v>
      </c>
      <c r="P346" s="17">
        <f t="shared" si="28"/>
        <v>0</v>
      </c>
      <c r="Q346" s="17">
        <f t="shared" si="29"/>
        <v>0</v>
      </c>
    </row>
    <row r="347" spans="1:17" ht="15" customHeight="1" x14ac:dyDescent="0.25">
      <c r="A347" s="11">
        <f t="shared" si="25"/>
        <v>15</v>
      </c>
      <c r="B347" s="11" t="str">
        <f>INDEX('Effectif Saison'!$E$4:$E$22,8)</f>
        <v>Yanis HOUX</v>
      </c>
      <c r="C347" s="10"/>
      <c r="D347" s="10"/>
      <c r="E347" s="10"/>
      <c r="F347" s="19" t="str">
        <f>IF(B347="","",IF(AND(E347="Oui",COUNTIFS(Changements!$A:$A,A347,Changements!$D:$D,B347)&gt;0),"⚠ Titulaire+entrée ?",IF(ABS(L347-M347)&gt;1,"⚠ vérifier","")))</f>
        <v/>
      </c>
      <c r="G347" s="11" t="str">
        <f>IF(B347="","",IFERROR(INDEX('Effectif Saison'!$D$4:$D$51,MATCH(B347,'Effectif Saison'!$E$4:$E$51,0)),""))</f>
        <v>Équipe 1</v>
      </c>
      <c r="H347" s="19" t="str">
        <f>IF(L347=0,"",IF(E347="Oui",0,IFERROR(_xlfn.MINIFS(Changements!$B:$B,Changements!$A:$A,A347,Changements!$D:$D,B347),"")))</f>
        <v/>
      </c>
      <c r="I347" s="19" t="str">
        <f>IF(M347=0,"",IFERROR(_xlfn.MAXIFS(Changements!$B:$B,Changements!$A:$A,A347,Changements!$C:$C,B347),""))</f>
        <v/>
      </c>
      <c r="J347" s="11" t="str">
        <f t="shared" si="26"/>
        <v/>
      </c>
      <c r="K347" s="17">
        <f t="shared" si="27"/>
        <v>0</v>
      </c>
      <c r="L347" s="17">
        <f>IF(B347="",0,COUNTIFS(Changements!$A:$A,A347,Changements!$D:$D,B347)+IF(E347="Oui",1,0))</f>
        <v>0</v>
      </c>
      <c r="M347" s="17">
        <f>IF(B347="",0,COUNTIFS(Changements!$A:$A,A347,Changements!$C:$C,B347))</f>
        <v>0</v>
      </c>
      <c r="N347" s="17">
        <f>IF(B347="",0,SUMIFS(Changements!$B:$B,Changements!$A:$A,A347,Changements!$D:$D,B347))</f>
        <v>0</v>
      </c>
      <c r="O347" s="17">
        <f>IF(B347="",0,SUMIFS(Changements!$B:$B,Changements!$A:$A,A347,Changements!$C:$C,B347)+IF(L347&gt;M347,IFERROR(INDEX(Matchs!$F$4:$F$31,MATCH(A347,Matchs!$A$4:$A$31,0)),0),0))</f>
        <v>0</v>
      </c>
      <c r="P347" s="17">
        <f t="shared" si="28"/>
        <v>0</v>
      </c>
      <c r="Q347" s="17">
        <f t="shared" si="29"/>
        <v>0</v>
      </c>
    </row>
    <row r="348" spans="1:17" ht="15" customHeight="1" x14ac:dyDescent="0.25">
      <c r="A348" s="11">
        <f t="shared" si="25"/>
        <v>15</v>
      </c>
      <c r="B348" s="11" t="str">
        <f>INDEX('Effectif Saison'!$E$4:$E$22,9)</f>
        <v>Tino COLAIANNI</v>
      </c>
      <c r="C348" s="10"/>
      <c r="D348" s="10"/>
      <c r="E348" s="10"/>
      <c r="F348" s="19" t="str">
        <f>IF(B348="","",IF(AND(E348="Oui",COUNTIFS(Changements!$A:$A,A348,Changements!$D:$D,B348)&gt;0),"⚠ Titulaire+entrée ?",IF(ABS(L348-M348)&gt;1,"⚠ vérifier","")))</f>
        <v/>
      </c>
      <c r="G348" s="11" t="str">
        <f>IF(B348="","",IFERROR(INDEX('Effectif Saison'!$D$4:$D$51,MATCH(B348,'Effectif Saison'!$E$4:$E$51,0)),""))</f>
        <v>Équipe 1</v>
      </c>
      <c r="H348" s="19" t="str">
        <f>IF(L348=0,"",IF(E348="Oui",0,IFERROR(_xlfn.MINIFS(Changements!$B:$B,Changements!$A:$A,A348,Changements!$D:$D,B348),"")))</f>
        <v/>
      </c>
      <c r="I348" s="19" t="str">
        <f>IF(M348=0,"",IFERROR(_xlfn.MAXIFS(Changements!$B:$B,Changements!$A:$A,A348,Changements!$C:$C,B348),""))</f>
        <v/>
      </c>
      <c r="J348" s="11" t="str">
        <f t="shared" si="26"/>
        <v/>
      </c>
      <c r="K348" s="17">
        <f t="shared" si="27"/>
        <v>0</v>
      </c>
      <c r="L348" s="17">
        <f>IF(B348="",0,COUNTIFS(Changements!$A:$A,A348,Changements!$D:$D,B348)+IF(E348="Oui",1,0))</f>
        <v>0</v>
      </c>
      <c r="M348" s="17">
        <f>IF(B348="",0,COUNTIFS(Changements!$A:$A,A348,Changements!$C:$C,B348))</f>
        <v>0</v>
      </c>
      <c r="N348" s="17">
        <f>IF(B348="",0,SUMIFS(Changements!$B:$B,Changements!$A:$A,A348,Changements!$D:$D,B348))</f>
        <v>0</v>
      </c>
      <c r="O348" s="17">
        <f>IF(B348="",0,SUMIFS(Changements!$B:$B,Changements!$A:$A,A348,Changements!$C:$C,B348)+IF(L348&gt;M348,IFERROR(INDEX(Matchs!$F$4:$F$31,MATCH(A348,Matchs!$A$4:$A$31,0)),0),0))</f>
        <v>0</v>
      </c>
      <c r="P348" s="17">
        <f t="shared" si="28"/>
        <v>0</v>
      </c>
      <c r="Q348" s="17">
        <f t="shared" si="29"/>
        <v>0</v>
      </c>
    </row>
    <row r="349" spans="1:17" ht="15" customHeight="1" x14ac:dyDescent="0.25">
      <c r="A349" s="11">
        <f t="shared" si="25"/>
        <v>15</v>
      </c>
      <c r="B349" s="11" t="str">
        <f>INDEX('Effectif Saison'!$E$4:$E$22,10)</f>
        <v>Achille KELLERKNECHT</v>
      </c>
      <c r="C349" s="10"/>
      <c r="D349" s="10"/>
      <c r="E349" s="10"/>
      <c r="F349" s="19" t="str">
        <f>IF(B349="","",IF(AND(E349="Oui",COUNTIFS(Changements!$A:$A,A349,Changements!$D:$D,B349)&gt;0),"⚠ Titulaire+entrée ?",IF(ABS(L349-M349)&gt;1,"⚠ vérifier","")))</f>
        <v/>
      </c>
      <c r="G349" s="11" t="str">
        <f>IF(B349="","",IFERROR(INDEX('Effectif Saison'!$D$4:$D$51,MATCH(B349,'Effectif Saison'!$E$4:$E$51,0)),""))</f>
        <v>Équipe 1</v>
      </c>
      <c r="H349" s="19" t="str">
        <f>IF(L349=0,"",IF(E349="Oui",0,IFERROR(_xlfn.MINIFS(Changements!$B:$B,Changements!$A:$A,A349,Changements!$D:$D,B349),"")))</f>
        <v/>
      </c>
      <c r="I349" s="19" t="str">
        <f>IF(M349=0,"",IFERROR(_xlfn.MAXIFS(Changements!$B:$B,Changements!$A:$A,A349,Changements!$C:$C,B349),""))</f>
        <v/>
      </c>
      <c r="J349" s="11" t="str">
        <f t="shared" si="26"/>
        <v/>
      </c>
      <c r="K349" s="17">
        <f t="shared" si="27"/>
        <v>0</v>
      </c>
      <c r="L349" s="17">
        <f>IF(B349="",0,COUNTIFS(Changements!$A:$A,A349,Changements!$D:$D,B349)+IF(E349="Oui",1,0))</f>
        <v>0</v>
      </c>
      <c r="M349" s="17">
        <f>IF(B349="",0,COUNTIFS(Changements!$A:$A,A349,Changements!$C:$C,B349))</f>
        <v>0</v>
      </c>
      <c r="N349" s="17">
        <f>IF(B349="",0,SUMIFS(Changements!$B:$B,Changements!$A:$A,A349,Changements!$D:$D,B349))</f>
        <v>0</v>
      </c>
      <c r="O349" s="17">
        <f>IF(B349="",0,SUMIFS(Changements!$B:$B,Changements!$A:$A,A349,Changements!$C:$C,B349)+IF(L349&gt;M349,IFERROR(INDEX(Matchs!$F$4:$F$31,MATCH(A349,Matchs!$A$4:$A$31,0)),0),0))</f>
        <v>0</v>
      </c>
      <c r="P349" s="17">
        <f t="shared" si="28"/>
        <v>0</v>
      </c>
      <c r="Q349" s="17">
        <f t="shared" si="29"/>
        <v>0</v>
      </c>
    </row>
    <row r="350" spans="1:17" ht="15" customHeight="1" x14ac:dyDescent="0.25">
      <c r="A350" s="11">
        <f t="shared" si="25"/>
        <v>15</v>
      </c>
      <c r="B350" s="11" t="str">
        <f>INDEX('Effectif Saison'!$E$4:$E$22,11)</f>
        <v>Charly LEPERT</v>
      </c>
      <c r="C350" s="10"/>
      <c r="D350" s="10"/>
      <c r="E350" s="10"/>
      <c r="F350" s="19" t="str">
        <f>IF(B350="","",IF(AND(E350="Oui",COUNTIFS(Changements!$A:$A,A350,Changements!$D:$D,B350)&gt;0),"⚠ Titulaire+entrée ?",IF(ABS(L350-M350)&gt;1,"⚠ vérifier","")))</f>
        <v/>
      </c>
      <c r="G350" s="11" t="str">
        <f>IF(B350="","",IFERROR(INDEX('Effectif Saison'!$D$4:$D$51,MATCH(B350,'Effectif Saison'!$E$4:$E$51,0)),""))</f>
        <v>Équipe 1</v>
      </c>
      <c r="H350" s="19" t="str">
        <f>IF(L350=0,"",IF(E350="Oui",0,IFERROR(_xlfn.MINIFS(Changements!$B:$B,Changements!$A:$A,A350,Changements!$D:$D,B350),"")))</f>
        <v/>
      </c>
      <c r="I350" s="19" t="str">
        <f>IF(M350=0,"",IFERROR(_xlfn.MAXIFS(Changements!$B:$B,Changements!$A:$A,A350,Changements!$C:$C,B350),""))</f>
        <v/>
      </c>
      <c r="J350" s="11" t="str">
        <f t="shared" si="26"/>
        <v/>
      </c>
      <c r="K350" s="17">
        <f t="shared" si="27"/>
        <v>0</v>
      </c>
      <c r="L350" s="17">
        <f>IF(B350="",0,COUNTIFS(Changements!$A:$A,A350,Changements!$D:$D,B350)+IF(E350="Oui",1,0))</f>
        <v>0</v>
      </c>
      <c r="M350" s="17">
        <f>IF(B350="",0,COUNTIFS(Changements!$A:$A,A350,Changements!$C:$C,B350))</f>
        <v>0</v>
      </c>
      <c r="N350" s="17">
        <f>IF(B350="",0,SUMIFS(Changements!$B:$B,Changements!$A:$A,A350,Changements!$D:$D,B350))</f>
        <v>0</v>
      </c>
      <c r="O350" s="17">
        <f>IF(B350="",0,SUMIFS(Changements!$B:$B,Changements!$A:$A,A350,Changements!$C:$C,B350)+IF(L350&gt;M350,IFERROR(INDEX(Matchs!$F$4:$F$31,MATCH(A350,Matchs!$A$4:$A$31,0)),0),0))</f>
        <v>0</v>
      </c>
      <c r="P350" s="17">
        <f t="shared" si="28"/>
        <v>0</v>
      </c>
      <c r="Q350" s="17">
        <f t="shared" si="29"/>
        <v>0</v>
      </c>
    </row>
    <row r="351" spans="1:17" ht="15" customHeight="1" x14ac:dyDescent="0.25">
      <c r="A351" s="11">
        <f t="shared" si="25"/>
        <v>15</v>
      </c>
      <c r="B351" s="11" t="str">
        <f>INDEX('Effectif Saison'!$E$4:$E$22,12)</f>
        <v>Basile STANGRET</v>
      </c>
      <c r="C351" s="10"/>
      <c r="D351" s="10"/>
      <c r="E351" s="10"/>
      <c r="F351" s="19" t="str">
        <f>IF(B351="","",IF(AND(E351="Oui",COUNTIFS(Changements!$A:$A,A351,Changements!$D:$D,B351)&gt;0),"⚠ Titulaire+entrée ?",IF(ABS(L351-M351)&gt;1,"⚠ vérifier","")))</f>
        <v/>
      </c>
      <c r="G351" s="11" t="str">
        <f>IF(B351="","",IFERROR(INDEX('Effectif Saison'!$D$4:$D$51,MATCH(B351,'Effectif Saison'!$E$4:$E$51,0)),""))</f>
        <v>Équipe 1</v>
      </c>
      <c r="H351" s="19" t="str">
        <f>IF(L351=0,"",IF(E351="Oui",0,IFERROR(_xlfn.MINIFS(Changements!$B:$B,Changements!$A:$A,A351,Changements!$D:$D,B351),"")))</f>
        <v/>
      </c>
      <c r="I351" s="19" t="str">
        <f>IF(M351=0,"",IFERROR(_xlfn.MAXIFS(Changements!$B:$B,Changements!$A:$A,A351,Changements!$C:$C,B351),""))</f>
        <v/>
      </c>
      <c r="J351" s="11" t="str">
        <f t="shared" si="26"/>
        <v/>
      </c>
      <c r="K351" s="17">
        <f t="shared" si="27"/>
        <v>0</v>
      </c>
      <c r="L351" s="17">
        <f>IF(B351="",0,COUNTIFS(Changements!$A:$A,A351,Changements!$D:$D,B351)+IF(E351="Oui",1,0))</f>
        <v>0</v>
      </c>
      <c r="M351" s="17">
        <f>IF(B351="",0,COUNTIFS(Changements!$A:$A,A351,Changements!$C:$C,B351))</f>
        <v>0</v>
      </c>
      <c r="N351" s="17">
        <f>IF(B351="",0,SUMIFS(Changements!$B:$B,Changements!$A:$A,A351,Changements!$D:$D,B351))</f>
        <v>0</v>
      </c>
      <c r="O351" s="17">
        <f>IF(B351="",0,SUMIFS(Changements!$B:$B,Changements!$A:$A,A351,Changements!$C:$C,B351)+IF(L351&gt;M351,IFERROR(INDEX(Matchs!$F$4:$F$31,MATCH(A351,Matchs!$A$4:$A$31,0)),0),0))</f>
        <v>0</v>
      </c>
      <c r="P351" s="17">
        <f t="shared" si="28"/>
        <v>0</v>
      </c>
      <c r="Q351" s="17">
        <f t="shared" si="29"/>
        <v>0</v>
      </c>
    </row>
    <row r="352" spans="1:17" ht="15" customHeight="1" x14ac:dyDescent="0.25">
      <c r="A352" s="11">
        <f t="shared" si="25"/>
        <v>15</v>
      </c>
      <c r="B352" s="11" t="str">
        <f>INDEX('Effectif Saison'!$E$4:$E$22,13)</f>
        <v>Maxence KELLER</v>
      </c>
      <c r="C352" s="10"/>
      <c r="D352" s="10"/>
      <c r="E352" s="10"/>
      <c r="F352" s="19" t="str">
        <f>IF(B352="","",IF(AND(E352="Oui",COUNTIFS(Changements!$A:$A,A352,Changements!$D:$D,B352)&gt;0),"⚠ Titulaire+entrée ?",IF(ABS(L352-M352)&gt;1,"⚠ vérifier","")))</f>
        <v/>
      </c>
      <c r="G352" s="11" t="str">
        <f>IF(B352="","",IFERROR(INDEX('Effectif Saison'!$D$4:$D$51,MATCH(B352,'Effectif Saison'!$E$4:$E$51,0)),""))</f>
        <v>Équipe 1</v>
      </c>
      <c r="H352" s="19" t="str">
        <f>IF(L352=0,"",IF(E352="Oui",0,IFERROR(_xlfn.MINIFS(Changements!$B:$B,Changements!$A:$A,A352,Changements!$D:$D,B352),"")))</f>
        <v/>
      </c>
      <c r="I352" s="19" t="str">
        <f>IF(M352=0,"",IFERROR(_xlfn.MAXIFS(Changements!$B:$B,Changements!$A:$A,A352,Changements!$C:$C,B352),""))</f>
        <v/>
      </c>
      <c r="J352" s="11" t="str">
        <f t="shared" si="26"/>
        <v/>
      </c>
      <c r="K352" s="17">
        <f t="shared" si="27"/>
        <v>0</v>
      </c>
      <c r="L352" s="17">
        <f>IF(B352="",0,COUNTIFS(Changements!$A:$A,A352,Changements!$D:$D,B352)+IF(E352="Oui",1,0))</f>
        <v>0</v>
      </c>
      <c r="M352" s="17">
        <f>IF(B352="",0,COUNTIFS(Changements!$A:$A,A352,Changements!$C:$C,B352))</f>
        <v>0</v>
      </c>
      <c r="N352" s="17">
        <f>IF(B352="",0,SUMIFS(Changements!$B:$B,Changements!$A:$A,A352,Changements!$D:$D,B352))</f>
        <v>0</v>
      </c>
      <c r="O352" s="17">
        <f>IF(B352="",0,SUMIFS(Changements!$B:$B,Changements!$A:$A,A352,Changements!$C:$C,B352)+IF(L352&gt;M352,IFERROR(INDEX(Matchs!$F$4:$F$31,MATCH(A352,Matchs!$A$4:$A$31,0)),0),0))</f>
        <v>0</v>
      </c>
      <c r="P352" s="17">
        <f t="shared" si="28"/>
        <v>0</v>
      </c>
      <c r="Q352" s="17">
        <f t="shared" si="29"/>
        <v>0</v>
      </c>
    </row>
    <row r="353" spans="1:17" ht="15" customHeight="1" x14ac:dyDescent="0.25">
      <c r="A353" s="11">
        <f t="shared" si="25"/>
        <v>15</v>
      </c>
      <c r="B353" s="11" t="str">
        <f>INDEX('Effectif Saison'!$E$4:$E$22,14)</f>
        <v>Evan SCHMITT</v>
      </c>
      <c r="C353" s="10"/>
      <c r="D353" s="10"/>
      <c r="E353" s="10"/>
      <c r="F353" s="19" t="str">
        <f>IF(B353="","",IF(AND(E353="Oui",COUNTIFS(Changements!$A:$A,A353,Changements!$D:$D,B353)&gt;0),"⚠ Titulaire+entrée ?",IF(ABS(L353-M353)&gt;1,"⚠ vérifier","")))</f>
        <v/>
      </c>
      <c r="G353" s="11" t="str">
        <f>IF(B353="","",IFERROR(INDEX('Effectif Saison'!$D$4:$D$51,MATCH(B353,'Effectif Saison'!$E$4:$E$51,0)),""))</f>
        <v>Équipe 1</v>
      </c>
      <c r="H353" s="19" t="str">
        <f>IF(L353=0,"",IF(E353="Oui",0,IFERROR(_xlfn.MINIFS(Changements!$B:$B,Changements!$A:$A,A353,Changements!$D:$D,B353),"")))</f>
        <v/>
      </c>
      <c r="I353" s="19" t="str">
        <f>IF(M353=0,"",IFERROR(_xlfn.MAXIFS(Changements!$B:$B,Changements!$A:$A,A353,Changements!$C:$C,B353),""))</f>
        <v/>
      </c>
      <c r="J353" s="11" t="str">
        <f t="shared" si="26"/>
        <v/>
      </c>
      <c r="K353" s="17">
        <f t="shared" si="27"/>
        <v>0</v>
      </c>
      <c r="L353" s="17">
        <f>IF(B353="",0,COUNTIFS(Changements!$A:$A,A353,Changements!$D:$D,B353)+IF(E353="Oui",1,0))</f>
        <v>0</v>
      </c>
      <c r="M353" s="17">
        <f>IF(B353="",0,COUNTIFS(Changements!$A:$A,A353,Changements!$C:$C,B353))</f>
        <v>0</v>
      </c>
      <c r="N353" s="17">
        <f>IF(B353="",0,SUMIFS(Changements!$B:$B,Changements!$A:$A,A353,Changements!$D:$D,B353))</f>
        <v>0</v>
      </c>
      <c r="O353" s="17">
        <f>IF(B353="",0,SUMIFS(Changements!$B:$B,Changements!$A:$A,A353,Changements!$C:$C,B353)+IF(L353&gt;M353,IFERROR(INDEX(Matchs!$F$4:$F$31,MATCH(A353,Matchs!$A$4:$A$31,0)),0),0))</f>
        <v>0</v>
      </c>
      <c r="P353" s="17">
        <f t="shared" si="28"/>
        <v>0</v>
      </c>
      <c r="Q353" s="17">
        <f t="shared" si="29"/>
        <v>0</v>
      </c>
    </row>
    <row r="354" spans="1:17" ht="15" customHeight="1" x14ac:dyDescent="0.25">
      <c r="A354" s="11">
        <f t="shared" si="25"/>
        <v>15</v>
      </c>
      <c r="B354" s="11" t="str">
        <f>INDEX('Effectif Saison'!$E$4:$E$22,15)</f>
        <v>William SIMON</v>
      </c>
      <c r="C354" s="10"/>
      <c r="D354" s="10"/>
      <c r="E354" s="10"/>
      <c r="F354" s="19" t="str">
        <f>IF(B354="","",IF(AND(E354="Oui",COUNTIFS(Changements!$A:$A,A354,Changements!$D:$D,B354)&gt;0),"⚠ Titulaire+entrée ?",IF(ABS(L354-M354)&gt;1,"⚠ vérifier","")))</f>
        <v/>
      </c>
      <c r="G354" s="11" t="str">
        <f>IF(B354="","",IFERROR(INDEX('Effectif Saison'!$D$4:$D$51,MATCH(B354,'Effectif Saison'!$E$4:$E$51,0)),""))</f>
        <v>Équipe 1</v>
      </c>
      <c r="H354" s="19" t="str">
        <f>IF(L354=0,"",IF(E354="Oui",0,IFERROR(_xlfn.MINIFS(Changements!$B:$B,Changements!$A:$A,A354,Changements!$D:$D,B354),"")))</f>
        <v/>
      </c>
      <c r="I354" s="19" t="str">
        <f>IF(M354=0,"",IFERROR(_xlfn.MAXIFS(Changements!$B:$B,Changements!$A:$A,A354,Changements!$C:$C,B354),""))</f>
        <v/>
      </c>
      <c r="J354" s="11" t="str">
        <f t="shared" si="26"/>
        <v/>
      </c>
      <c r="K354" s="17">
        <f t="shared" si="27"/>
        <v>0</v>
      </c>
      <c r="L354" s="17">
        <f>IF(B354="",0,COUNTIFS(Changements!$A:$A,A354,Changements!$D:$D,B354)+IF(E354="Oui",1,0))</f>
        <v>0</v>
      </c>
      <c r="M354" s="17">
        <f>IF(B354="",0,COUNTIFS(Changements!$A:$A,A354,Changements!$C:$C,B354))</f>
        <v>0</v>
      </c>
      <c r="N354" s="17">
        <f>IF(B354="",0,SUMIFS(Changements!$B:$B,Changements!$A:$A,A354,Changements!$D:$D,B354))</f>
        <v>0</v>
      </c>
      <c r="O354" s="17">
        <f>IF(B354="",0,SUMIFS(Changements!$B:$B,Changements!$A:$A,A354,Changements!$C:$C,B354)+IF(L354&gt;M354,IFERROR(INDEX(Matchs!$F$4:$F$31,MATCH(A354,Matchs!$A$4:$A$31,0)),0),0))</f>
        <v>0</v>
      </c>
      <c r="P354" s="17">
        <f t="shared" si="28"/>
        <v>0</v>
      </c>
      <c r="Q354" s="17">
        <f t="shared" si="29"/>
        <v>0</v>
      </c>
    </row>
    <row r="355" spans="1:17" ht="15" customHeight="1" x14ac:dyDescent="0.25">
      <c r="A355" s="11">
        <f t="shared" si="25"/>
        <v>15</v>
      </c>
      <c r="B355" s="11" t="str">
        <f>INDEX('Effectif Saison'!$E$4:$E$22,16)</f>
        <v>Lenny LEPPER</v>
      </c>
      <c r="C355" s="10"/>
      <c r="D355" s="10"/>
      <c r="E355" s="10"/>
      <c r="F355" s="19" t="str">
        <f>IF(B355="","",IF(AND(E355="Oui",COUNTIFS(Changements!$A:$A,A355,Changements!$D:$D,B355)&gt;0),"⚠ Titulaire+entrée ?",IF(ABS(L355-M355)&gt;1,"⚠ vérifier","")))</f>
        <v/>
      </c>
      <c r="G355" s="11" t="str">
        <f>IF(B355="","",IFERROR(INDEX('Effectif Saison'!$D$4:$D$51,MATCH(B355,'Effectif Saison'!$E$4:$E$51,0)),""))</f>
        <v>Équipe 1</v>
      </c>
      <c r="H355" s="19" t="str">
        <f>IF(L355=0,"",IF(E355="Oui",0,IFERROR(_xlfn.MINIFS(Changements!$B:$B,Changements!$A:$A,A355,Changements!$D:$D,B355),"")))</f>
        <v/>
      </c>
      <c r="I355" s="19" t="str">
        <f>IF(M355=0,"",IFERROR(_xlfn.MAXIFS(Changements!$B:$B,Changements!$A:$A,A355,Changements!$C:$C,B355),""))</f>
        <v/>
      </c>
      <c r="J355" s="11" t="str">
        <f t="shared" si="26"/>
        <v/>
      </c>
      <c r="K355" s="17">
        <f t="shared" si="27"/>
        <v>0</v>
      </c>
      <c r="L355" s="17">
        <f>IF(B355="",0,COUNTIFS(Changements!$A:$A,A355,Changements!$D:$D,B355)+IF(E355="Oui",1,0))</f>
        <v>0</v>
      </c>
      <c r="M355" s="17">
        <f>IF(B355="",0,COUNTIFS(Changements!$A:$A,A355,Changements!$C:$C,B355))</f>
        <v>0</v>
      </c>
      <c r="N355" s="17">
        <f>IF(B355="",0,SUMIFS(Changements!$B:$B,Changements!$A:$A,A355,Changements!$D:$D,B355))</f>
        <v>0</v>
      </c>
      <c r="O355" s="17">
        <f>IF(B355="",0,SUMIFS(Changements!$B:$B,Changements!$A:$A,A355,Changements!$C:$C,B355)+IF(L355&gt;M355,IFERROR(INDEX(Matchs!$F$4:$F$31,MATCH(A355,Matchs!$A$4:$A$31,0)),0),0))</f>
        <v>0</v>
      </c>
      <c r="P355" s="17">
        <f t="shared" si="28"/>
        <v>0</v>
      </c>
      <c r="Q355" s="17">
        <f t="shared" si="29"/>
        <v>0</v>
      </c>
    </row>
    <row r="356" spans="1:17" ht="15" customHeight="1" x14ac:dyDescent="0.25">
      <c r="A356" s="11">
        <f t="shared" si="25"/>
        <v>15</v>
      </c>
      <c r="B356" s="11" t="str">
        <f>INDEX('Effectif Saison'!$E$4:$E$22,17)</f>
        <v>Malo KELLER</v>
      </c>
      <c r="C356" s="10"/>
      <c r="D356" s="10"/>
      <c r="E356" s="10"/>
      <c r="F356" s="19" t="str">
        <f>IF(B356="","",IF(AND(E356="Oui",COUNTIFS(Changements!$A:$A,A356,Changements!$D:$D,B356)&gt;0),"⚠ Titulaire+entrée ?",IF(ABS(L356-M356)&gt;1,"⚠ vérifier","")))</f>
        <v/>
      </c>
      <c r="G356" s="11" t="str">
        <f>IF(B356="","",IFERROR(INDEX('Effectif Saison'!$D$4:$D$51,MATCH(B356,'Effectif Saison'!$E$4:$E$51,0)),""))</f>
        <v>Équipe 1</v>
      </c>
      <c r="H356" s="19" t="str">
        <f>IF(L356=0,"",IF(E356="Oui",0,IFERROR(_xlfn.MINIFS(Changements!$B:$B,Changements!$A:$A,A356,Changements!$D:$D,B356),"")))</f>
        <v/>
      </c>
      <c r="I356" s="19" t="str">
        <f>IF(M356=0,"",IFERROR(_xlfn.MAXIFS(Changements!$B:$B,Changements!$A:$A,A356,Changements!$C:$C,B356),""))</f>
        <v/>
      </c>
      <c r="J356" s="11" t="str">
        <f t="shared" si="26"/>
        <v/>
      </c>
      <c r="K356" s="17">
        <f t="shared" si="27"/>
        <v>0</v>
      </c>
      <c r="L356" s="17">
        <f>IF(B356="",0,COUNTIFS(Changements!$A:$A,A356,Changements!$D:$D,B356)+IF(E356="Oui",1,0))</f>
        <v>0</v>
      </c>
      <c r="M356" s="17">
        <f>IF(B356="",0,COUNTIFS(Changements!$A:$A,A356,Changements!$C:$C,B356))</f>
        <v>0</v>
      </c>
      <c r="N356" s="17">
        <f>IF(B356="",0,SUMIFS(Changements!$B:$B,Changements!$A:$A,A356,Changements!$D:$D,B356))</f>
        <v>0</v>
      </c>
      <c r="O356" s="17">
        <f>IF(B356="",0,SUMIFS(Changements!$B:$B,Changements!$A:$A,A356,Changements!$C:$C,B356)+IF(L356&gt;M356,IFERROR(INDEX(Matchs!$F$4:$F$31,MATCH(A356,Matchs!$A$4:$A$31,0)),0),0))</f>
        <v>0</v>
      </c>
      <c r="P356" s="17">
        <f t="shared" si="28"/>
        <v>0</v>
      </c>
      <c r="Q356" s="17">
        <f t="shared" si="29"/>
        <v>0</v>
      </c>
    </row>
    <row r="357" spans="1:17" ht="15" customHeight="1" x14ac:dyDescent="0.25">
      <c r="A357" s="11">
        <f t="shared" si="25"/>
        <v>15</v>
      </c>
      <c r="B357" s="11" t="str">
        <f>INDEX('Effectif Saison'!$E$4:$E$22,18)</f>
        <v>Tom SCHILLER</v>
      </c>
      <c r="C357" s="10"/>
      <c r="D357" s="10"/>
      <c r="E357" s="10"/>
      <c r="F357" s="19" t="str">
        <f>IF(B357="","",IF(AND(E357="Oui",COUNTIFS(Changements!$A:$A,A357,Changements!$D:$D,B357)&gt;0),"⚠ Titulaire+entrée ?",IF(ABS(L357-M357)&gt;1,"⚠ vérifier","")))</f>
        <v/>
      </c>
      <c r="G357" s="11" t="str">
        <f>IF(B357="","",IFERROR(INDEX('Effectif Saison'!$D$4:$D$51,MATCH(B357,'Effectif Saison'!$E$4:$E$51,0)),""))</f>
        <v>Équipe 1</v>
      </c>
      <c r="H357" s="19" t="str">
        <f>IF(L357=0,"",IF(E357="Oui",0,IFERROR(_xlfn.MINIFS(Changements!$B:$B,Changements!$A:$A,A357,Changements!$D:$D,B357),"")))</f>
        <v/>
      </c>
      <c r="I357" s="19" t="str">
        <f>IF(M357=0,"",IFERROR(_xlfn.MAXIFS(Changements!$B:$B,Changements!$A:$A,A357,Changements!$C:$C,B357),""))</f>
        <v/>
      </c>
      <c r="J357" s="11" t="str">
        <f t="shared" si="26"/>
        <v/>
      </c>
      <c r="K357" s="17">
        <f t="shared" si="27"/>
        <v>0</v>
      </c>
      <c r="L357" s="17">
        <f>IF(B357="",0,COUNTIFS(Changements!$A:$A,A357,Changements!$D:$D,B357)+IF(E357="Oui",1,0))</f>
        <v>0</v>
      </c>
      <c r="M357" s="17">
        <f>IF(B357="",0,COUNTIFS(Changements!$A:$A,A357,Changements!$C:$C,B357))</f>
        <v>0</v>
      </c>
      <c r="N357" s="17">
        <f>IF(B357="",0,SUMIFS(Changements!$B:$B,Changements!$A:$A,A357,Changements!$D:$D,B357))</f>
        <v>0</v>
      </c>
      <c r="O357" s="17">
        <f>IF(B357="",0,SUMIFS(Changements!$B:$B,Changements!$A:$A,A357,Changements!$C:$C,B357)+IF(L357&gt;M357,IFERROR(INDEX(Matchs!$F$4:$F$31,MATCH(A357,Matchs!$A$4:$A$31,0)),0),0))</f>
        <v>0</v>
      </c>
      <c r="P357" s="17">
        <f t="shared" si="28"/>
        <v>0</v>
      </c>
      <c r="Q357" s="17">
        <f t="shared" si="29"/>
        <v>0</v>
      </c>
    </row>
    <row r="358" spans="1:17" ht="15" customHeight="1" x14ac:dyDescent="0.25">
      <c r="A358" s="11">
        <f t="shared" si="25"/>
        <v>15</v>
      </c>
      <c r="B358" s="11" t="str">
        <f>INDEX('Effectif Saison'!$E$4:$E$22,19)</f>
        <v>Eliot LEIBY</v>
      </c>
      <c r="C358" s="10"/>
      <c r="D358" s="10"/>
      <c r="E358" s="10"/>
      <c r="F358" s="19" t="str">
        <f>IF(B358="","",IF(AND(E358="Oui",COUNTIFS(Changements!$A:$A,A358,Changements!$D:$D,B358)&gt;0),"⚠ Titulaire+entrée ?",IF(ABS(L358-M358)&gt;1,"⚠ vérifier","")))</f>
        <v/>
      </c>
      <c r="G358" s="11" t="str">
        <f>IF(B358="","",IFERROR(INDEX('Effectif Saison'!$D$4:$D$51,MATCH(B358,'Effectif Saison'!$E$4:$E$51,0)),""))</f>
        <v>Équipe 1</v>
      </c>
      <c r="H358" s="19" t="str">
        <f>IF(L358=0,"",IF(E358="Oui",0,IFERROR(_xlfn.MINIFS(Changements!$B:$B,Changements!$A:$A,A358,Changements!$D:$D,B358),"")))</f>
        <v/>
      </c>
      <c r="I358" s="19" t="str">
        <f>IF(M358=0,"",IFERROR(_xlfn.MAXIFS(Changements!$B:$B,Changements!$A:$A,A358,Changements!$C:$C,B358),""))</f>
        <v/>
      </c>
      <c r="J358" s="11" t="str">
        <f t="shared" si="26"/>
        <v/>
      </c>
      <c r="K358" s="17">
        <f t="shared" si="27"/>
        <v>0</v>
      </c>
      <c r="L358" s="17">
        <f>IF(B358="",0,COUNTIFS(Changements!$A:$A,A358,Changements!$D:$D,B358)+IF(E358="Oui",1,0))</f>
        <v>0</v>
      </c>
      <c r="M358" s="17">
        <f>IF(B358="",0,COUNTIFS(Changements!$A:$A,A358,Changements!$C:$C,B358))</f>
        <v>0</v>
      </c>
      <c r="N358" s="17">
        <f>IF(B358="",0,SUMIFS(Changements!$B:$B,Changements!$A:$A,A358,Changements!$D:$D,B358))</f>
        <v>0</v>
      </c>
      <c r="O358" s="17">
        <f>IF(B358="",0,SUMIFS(Changements!$B:$B,Changements!$A:$A,A358,Changements!$C:$C,B358)+IF(L358&gt;M358,IFERROR(INDEX(Matchs!$F$4:$F$31,MATCH(A358,Matchs!$A$4:$A$31,0)),0),0))</f>
        <v>0</v>
      </c>
      <c r="P358" s="17">
        <f t="shared" si="28"/>
        <v>0</v>
      </c>
      <c r="Q358" s="17">
        <f t="shared" si="29"/>
        <v>0</v>
      </c>
    </row>
    <row r="359" spans="1:17" ht="15" customHeight="1" x14ac:dyDescent="0.25">
      <c r="A359" s="11">
        <f t="shared" si="25"/>
        <v>15</v>
      </c>
      <c r="B359" s="10"/>
      <c r="C359" s="10"/>
      <c r="D359" s="10"/>
      <c r="E359" s="10"/>
      <c r="F359" s="19" t="str">
        <f>IF(B359="","",IF(AND(E359="Oui",COUNTIFS(Changements!$A:$A,A359,Changements!$D:$D,B359)&gt;0),"⚠ Titulaire+entrée ?",IF(ABS(L359-M359)&gt;1,"⚠ vérifier","")))</f>
        <v/>
      </c>
      <c r="G359" s="11" t="str">
        <f>IF(B359="","",IFERROR(INDEX('Effectif Saison'!$D$4:$D$51,MATCH(B359,'Effectif Saison'!$E$4:$E$51,0)),""))</f>
        <v/>
      </c>
      <c r="H359" s="19" t="str">
        <f>IF(L359=0,"",IF(E359="Oui",0,IFERROR(_xlfn.MINIFS(Changements!$B:$B,Changements!$A:$A,A359,Changements!$D:$D,B359),"")))</f>
        <v/>
      </c>
      <c r="I359" s="19" t="str">
        <f>IF(M359=0,"",IFERROR(_xlfn.MAXIFS(Changements!$B:$B,Changements!$A:$A,A359,Changements!$C:$C,B359),""))</f>
        <v/>
      </c>
      <c r="J359" s="11" t="str">
        <f t="shared" si="26"/>
        <v/>
      </c>
      <c r="K359" s="17">
        <f t="shared" si="27"/>
        <v>0</v>
      </c>
      <c r="L359" s="17">
        <f>IF(B359="",0,COUNTIFS(Changements!$A:$A,A359,Changements!$D:$D,B359)+IF(E359="Oui",1,0))</f>
        <v>0</v>
      </c>
      <c r="M359" s="17">
        <f>IF(B359="",0,COUNTIFS(Changements!$A:$A,A359,Changements!$C:$C,B359))</f>
        <v>0</v>
      </c>
      <c r="N359" s="17">
        <f>IF(B359="",0,SUMIFS(Changements!$B:$B,Changements!$A:$A,A359,Changements!$D:$D,B359))</f>
        <v>0</v>
      </c>
      <c r="O359" s="17">
        <f>IF(B359="",0,SUMIFS(Changements!$B:$B,Changements!$A:$A,A359,Changements!$C:$C,B359)+IF(L359&gt;M359,IFERROR(INDEX(Matchs!$F$4:$F$31,MATCH(A359,Matchs!$A$4:$A$31,0)),0),0))</f>
        <v>0</v>
      </c>
      <c r="P359" s="17">
        <f t="shared" si="28"/>
        <v>0</v>
      </c>
      <c r="Q359" s="17">
        <f t="shared" si="29"/>
        <v>0</v>
      </c>
    </row>
    <row r="360" spans="1:17" ht="15" customHeight="1" x14ac:dyDescent="0.25">
      <c r="A360" s="11">
        <f t="shared" si="25"/>
        <v>15</v>
      </c>
      <c r="B360" s="10"/>
      <c r="C360" s="10"/>
      <c r="D360" s="10"/>
      <c r="E360" s="10"/>
      <c r="F360" s="19" t="str">
        <f>IF(B360="","",IF(AND(E360="Oui",COUNTIFS(Changements!$A:$A,A360,Changements!$D:$D,B360)&gt;0),"⚠ Titulaire+entrée ?",IF(ABS(L360-M360)&gt;1,"⚠ vérifier","")))</f>
        <v/>
      </c>
      <c r="G360" s="11" t="str">
        <f>IF(B360="","",IFERROR(INDEX('Effectif Saison'!$D$4:$D$51,MATCH(B360,'Effectif Saison'!$E$4:$E$51,0)),""))</f>
        <v/>
      </c>
      <c r="H360" s="19" t="str">
        <f>IF(L360=0,"",IF(E360="Oui",0,IFERROR(_xlfn.MINIFS(Changements!$B:$B,Changements!$A:$A,A360,Changements!$D:$D,B360),"")))</f>
        <v/>
      </c>
      <c r="I360" s="19" t="str">
        <f>IF(M360=0,"",IFERROR(_xlfn.MAXIFS(Changements!$B:$B,Changements!$A:$A,A360,Changements!$C:$C,B360),""))</f>
        <v/>
      </c>
      <c r="J360" s="11" t="str">
        <f t="shared" si="26"/>
        <v/>
      </c>
      <c r="K360" s="17">
        <f t="shared" si="27"/>
        <v>0</v>
      </c>
      <c r="L360" s="17">
        <f>IF(B360="",0,COUNTIFS(Changements!$A:$A,A360,Changements!$D:$D,B360)+IF(E360="Oui",1,0))</f>
        <v>0</v>
      </c>
      <c r="M360" s="17">
        <f>IF(B360="",0,COUNTIFS(Changements!$A:$A,A360,Changements!$C:$C,B360))</f>
        <v>0</v>
      </c>
      <c r="N360" s="17">
        <f>IF(B360="",0,SUMIFS(Changements!$B:$B,Changements!$A:$A,A360,Changements!$D:$D,B360))</f>
        <v>0</v>
      </c>
      <c r="O360" s="17">
        <f>IF(B360="",0,SUMIFS(Changements!$B:$B,Changements!$A:$A,A360,Changements!$C:$C,B360)+IF(L360&gt;M360,IFERROR(INDEX(Matchs!$F$4:$F$31,MATCH(A360,Matchs!$A$4:$A$31,0)),0),0))</f>
        <v>0</v>
      </c>
      <c r="P360" s="17">
        <f t="shared" si="28"/>
        <v>0</v>
      </c>
      <c r="Q360" s="17">
        <f t="shared" si="29"/>
        <v>0</v>
      </c>
    </row>
    <row r="361" spans="1:17" ht="15" customHeight="1" x14ac:dyDescent="0.25">
      <c r="A361" s="11">
        <f t="shared" si="25"/>
        <v>15</v>
      </c>
      <c r="B361" s="10"/>
      <c r="C361" s="10"/>
      <c r="D361" s="10"/>
      <c r="E361" s="10"/>
      <c r="F361" s="19" t="str">
        <f>IF(B361="","",IF(AND(E361="Oui",COUNTIFS(Changements!$A:$A,A361,Changements!$D:$D,B361)&gt;0),"⚠ Titulaire+entrée ?",IF(ABS(L361-M361)&gt;1,"⚠ vérifier","")))</f>
        <v/>
      </c>
      <c r="G361" s="11" t="str">
        <f>IF(B361="","",IFERROR(INDEX('Effectif Saison'!$D$4:$D$51,MATCH(B361,'Effectif Saison'!$E$4:$E$51,0)),""))</f>
        <v/>
      </c>
      <c r="H361" s="19" t="str">
        <f>IF(L361=0,"",IF(E361="Oui",0,IFERROR(_xlfn.MINIFS(Changements!$B:$B,Changements!$A:$A,A361,Changements!$D:$D,B361),"")))</f>
        <v/>
      </c>
      <c r="I361" s="19" t="str">
        <f>IF(M361=0,"",IFERROR(_xlfn.MAXIFS(Changements!$B:$B,Changements!$A:$A,A361,Changements!$C:$C,B361),""))</f>
        <v/>
      </c>
      <c r="J361" s="11" t="str">
        <f t="shared" si="26"/>
        <v/>
      </c>
      <c r="K361" s="17">
        <f t="shared" si="27"/>
        <v>0</v>
      </c>
      <c r="L361" s="17">
        <f>IF(B361="",0,COUNTIFS(Changements!$A:$A,A361,Changements!$D:$D,B361)+IF(E361="Oui",1,0))</f>
        <v>0</v>
      </c>
      <c r="M361" s="17">
        <f>IF(B361="",0,COUNTIFS(Changements!$A:$A,A361,Changements!$C:$C,B361))</f>
        <v>0</v>
      </c>
      <c r="N361" s="17">
        <f>IF(B361="",0,SUMIFS(Changements!$B:$B,Changements!$A:$A,A361,Changements!$D:$D,B361))</f>
        <v>0</v>
      </c>
      <c r="O361" s="17">
        <f>IF(B361="",0,SUMIFS(Changements!$B:$B,Changements!$A:$A,A361,Changements!$C:$C,B361)+IF(L361&gt;M361,IFERROR(INDEX(Matchs!$F$4:$F$31,MATCH(A361,Matchs!$A$4:$A$31,0)),0),0))</f>
        <v>0</v>
      </c>
      <c r="P361" s="17">
        <f t="shared" si="28"/>
        <v>0</v>
      </c>
      <c r="Q361" s="17">
        <f t="shared" si="29"/>
        <v>0</v>
      </c>
    </row>
    <row r="362" spans="1:17" ht="15" customHeight="1" x14ac:dyDescent="0.25">
      <c r="A362" s="11">
        <f t="shared" si="25"/>
        <v>15</v>
      </c>
      <c r="B362" s="10"/>
      <c r="C362" s="10"/>
      <c r="D362" s="10"/>
      <c r="E362" s="10"/>
      <c r="F362" s="19" t="str">
        <f>IF(B362="","",IF(AND(E362="Oui",COUNTIFS(Changements!$A:$A,A362,Changements!$D:$D,B362)&gt;0),"⚠ Titulaire+entrée ?",IF(ABS(L362-M362)&gt;1,"⚠ vérifier","")))</f>
        <v/>
      </c>
      <c r="G362" s="11" t="str">
        <f>IF(B362="","",IFERROR(INDEX('Effectif Saison'!$D$4:$D$51,MATCH(B362,'Effectif Saison'!$E$4:$E$51,0)),""))</f>
        <v/>
      </c>
      <c r="H362" s="19" t="str">
        <f>IF(L362=0,"",IF(E362="Oui",0,IFERROR(_xlfn.MINIFS(Changements!$B:$B,Changements!$A:$A,A362,Changements!$D:$D,B362),"")))</f>
        <v/>
      </c>
      <c r="I362" s="19" t="str">
        <f>IF(M362=0,"",IFERROR(_xlfn.MAXIFS(Changements!$B:$B,Changements!$A:$A,A362,Changements!$C:$C,B362),""))</f>
        <v/>
      </c>
      <c r="J362" s="11" t="str">
        <f t="shared" si="26"/>
        <v/>
      </c>
      <c r="K362" s="17">
        <f t="shared" si="27"/>
        <v>0</v>
      </c>
      <c r="L362" s="17">
        <f>IF(B362="",0,COUNTIFS(Changements!$A:$A,A362,Changements!$D:$D,B362)+IF(E362="Oui",1,0))</f>
        <v>0</v>
      </c>
      <c r="M362" s="17">
        <f>IF(B362="",0,COUNTIFS(Changements!$A:$A,A362,Changements!$C:$C,B362))</f>
        <v>0</v>
      </c>
      <c r="N362" s="17">
        <f>IF(B362="",0,SUMIFS(Changements!$B:$B,Changements!$A:$A,A362,Changements!$D:$D,B362))</f>
        <v>0</v>
      </c>
      <c r="O362" s="17">
        <f>IF(B362="",0,SUMIFS(Changements!$B:$B,Changements!$A:$A,A362,Changements!$C:$C,B362)+IF(L362&gt;M362,IFERROR(INDEX(Matchs!$F$4:$F$31,MATCH(A362,Matchs!$A$4:$A$31,0)),0),0))</f>
        <v>0</v>
      </c>
      <c r="P362" s="17">
        <f t="shared" si="28"/>
        <v>0</v>
      </c>
      <c r="Q362" s="17">
        <f t="shared" si="29"/>
        <v>0</v>
      </c>
    </row>
    <row r="363" spans="1:17" ht="15" customHeight="1" x14ac:dyDescent="0.25">
      <c r="A363" s="11">
        <f t="shared" si="25"/>
        <v>15</v>
      </c>
      <c r="B363" s="10"/>
      <c r="C363" s="10"/>
      <c r="D363" s="10"/>
      <c r="E363" s="10"/>
      <c r="F363" s="19" t="str">
        <f>IF(B363="","",IF(AND(E363="Oui",COUNTIFS(Changements!$A:$A,A363,Changements!$D:$D,B363)&gt;0),"⚠ Titulaire+entrée ?",IF(ABS(L363-M363)&gt;1,"⚠ vérifier","")))</f>
        <v/>
      </c>
      <c r="G363" s="11" t="str">
        <f>IF(B363="","",IFERROR(INDEX('Effectif Saison'!$D$4:$D$51,MATCH(B363,'Effectif Saison'!$E$4:$E$51,0)),""))</f>
        <v/>
      </c>
      <c r="H363" s="19" t="str">
        <f>IF(L363=0,"",IF(E363="Oui",0,IFERROR(_xlfn.MINIFS(Changements!$B:$B,Changements!$A:$A,A363,Changements!$D:$D,B363),"")))</f>
        <v/>
      </c>
      <c r="I363" s="19" t="str">
        <f>IF(M363=0,"",IFERROR(_xlfn.MAXIFS(Changements!$B:$B,Changements!$A:$A,A363,Changements!$C:$C,B363),""))</f>
        <v/>
      </c>
      <c r="J363" s="11" t="str">
        <f t="shared" si="26"/>
        <v/>
      </c>
      <c r="K363" s="17">
        <f t="shared" si="27"/>
        <v>0</v>
      </c>
      <c r="L363" s="17">
        <f>IF(B363="",0,COUNTIFS(Changements!$A:$A,A363,Changements!$D:$D,B363)+IF(E363="Oui",1,0))</f>
        <v>0</v>
      </c>
      <c r="M363" s="17">
        <f>IF(B363="",0,COUNTIFS(Changements!$A:$A,A363,Changements!$C:$C,B363))</f>
        <v>0</v>
      </c>
      <c r="N363" s="17">
        <f>IF(B363="",0,SUMIFS(Changements!$B:$B,Changements!$A:$A,A363,Changements!$D:$D,B363))</f>
        <v>0</v>
      </c>
      <c r="O363" s="17">
        <f>IF(B363="",0,SUMIFS(Changements!$B:$B,Changements!$A:$A,A363,Changements!$C:$C,B363)+IF(L363&gt;M363,IFERROR(INDEX(Matchs!$F$4:$F$31,MATCH(A363,Matchs!$A$4:$A$31,0)),0),0))</f>
        <v>0</v>
      </c>
      <c r="P363" s="17">
        <f t="shared" si="28"/>
        <v>0</v>
      </c>
      <c r="Q363" s="17">
        <f t="shared" si="29"/>
        <v>0</v>
      </c>
    </row>
    <row r="364" spans="1:17" ht="15" customHeight="1" x14ac:dyDescent="0.25">
      <c r="A364" s="11">
        <f t="shared" si="25"/>
        <v>16</v>
      </c>
      <c r="B364" s="11" t="str">
        <f>INDEX('Effectif Saison'!$E$4:$E$22,1)</f>
        <v>Alan MICHON</v>
      </c>
      <c r="C364" s="10"/>
      <c r="D364" s="10"/>
      <c r="E364" s="10"/>
      <c r="F364" s="19" t="str">
        <f>IF(B364="","",IF(AND(E364="Oui",COUNTIFS(Changements!$A:$A,A364,Changements!$D:$D,B364)&gt;0),"⚠ Titulaire+entrée ?",IF(ABS(L364-M364)&gt;1,"⚠ vérifier","")))</f>
        <v/>
      </c>
      <c r="G364" s="11" t="str">
        <f>IF(B364="","",IFERROR(INDEX('Effectif Saison'!$D$4:$D$51,MATCH(B364,'Effectif Saison'!$E$4:$E$51,0)),""))</f>
        <v>Équipe 1</v>
      </c>
      <c r="H364" s="19" t="str">
        <f>IF(L364=0,"",IF(E364="Oui",0,IFERROR(_xlfn.MINIFS(Changements!$B:$B,Changements!$A:$A,A364,Changements!$D:$D,B364),"")))</f>
        <v/>
      </c>
      <c r="I364" s="19" t="str">
        <f>IF(M364=0,"",IFERROR(_xlfn.MAXIFS(Changements!$B:$B,Changements!$A:$A,A364,Changements!$C:$C,B364),""))</f>
        <v/>
      </c>
      <c r="J364" s="11" t="str">
        <f t="shared" si="26"/>
        <v/>
      </c>
      <c r="K364" s="17">
        <f t="shared" si="27"/>
        <v>0</v>
      </c>
      <c r="L364" s="17">
        <f>IF(B364="",0,COUNTIFS(Changements!$A:$A,A364,Changements!$D:$D,B364)+IF(E364="Oui",1,0))</f>
        <v>0</v>
      </c>
      <c r="M364" s="17">
        <f>IF(B364="",0,COUNTIFS(Changements!$A:$A,A364,Changements!$C:$C,B364))</f>
        <v>0</v>
      </c>
      <c r="N364" s="17">
        <f>IF(B364="",0,SUMIFS(Changements!$B:$B,Changements!$A:$A,A364,Changements!$D:$D,B364))</f>
        <v>0</v>
      </c>
      <c r="O364" s="17">
        <f>IF(B364="",0,SUMIFS(Changements!$B:$B,Changements!$A:$A,A364,Changements!$C:$C,B364)+IF(L364&gt;M364,IFERROR(INDEX(Matchs!$F$4:$F$31,MATCH(A364,Matchs!$A$4:$A$31,0)),0),0))</f>
        <v>0</v>
      </c>
      <c r="P364" s="17">
        <f t="shared" si="28"/>
        <v>0</v>
      </c>
      <c r="Q364" s="17">
        <f t="shared" si="29"/>
        <v>0</v>
      </c>
    </row>
    <row r="365" spans="1:17" ht="15" customHeight="1" x14ac:dyDescent="0.25">
      <c r="A365" s="11">
        <f t="shared" si="25"/>
        <v>16</v>
      </c>
      <c r="B365" s="11" t="str">
        <f>INDEX('Effectif Saison'!$E$4:$E$22,2)</f>
        <v>Jean BRUNTZ</v>
      </c>
      <c r="C365" s="10"/>
      <c r="D365" s="10"/>
      <c r="E365" s="10"/>
      <c r="F365" s="19" t="str">
        <f>IF(B365="","",IF(AND(E365="Oui",COUNTIFS(Changements!$A:$A,A365,Changements!$D:$D,B365)&gt;0),"⚠ Titulaire+entrée ?",IF(ABS(L365-M365)&gt;1,"⚠ vérifier","")))</f>
        <v/>
      </c>
      <c r="G365" s="11" t="str">
        <f>IF(B365="","",IFERROR(INDEX('Effectif Saison'!$D$4:$D$51,MATCH(B365,'Effectif Saison'!$E$4:$E$51,0)),""))</f>
        <v>Équipe 1</v>
      </c>
      <c r="H365" s="19" t="str">
        <f>IF(L365=0,"",IF(E365="Oui",0,IFERROR(_xlfn.MINIFS(Changements!$B:$B,Changements!$A:$A,A365,Changements!$D:$D,B365),"")))</f>
        <v/>
      </c>
      <c r="I365" s="19" t="str">
        <f>IF(M365=0,"",IFERROR(_xlfn.MAXIFS(Changements!$B:$B,Changements!$A:$A,A365,Changements!$C:$C,B365),""))</f>
        <v/>
      </c>
      <c r="J365" s="11" t="str">
        <f t="shared" si="26"/>
        <v/>
      </c>
      <c r="K365" s="17">
        <f t="shared" si="27"/>
        <v>0</v>
      </c>
      <c r="L365" s="17">
        <f>IF(B365="",0,COUNTIFS(Changements!$A:$A,A365,Changements!$D:$D,B365)+IF(E365="Oui",1,0))</f>
        <v>0</v>
      </c>
      <c r="M365" s="17">
        <f>IF(B365="",0,COUNTIFS(Changements!$A:$A,A365,Changements!$C:$C,B365))</f>
        <v>0</v>
      </c>
      <c r="N365" s="17">
        <f>IF(B365="",0,SUMIFS(Changements!$B:$B,Changements!$A:$A,A365,Changements!$D:$D,B365))</f>
        <v>0</v>
      </c>
      <c r="O365" s="17">
        <f>IF(B365="",0,SUMIFS(Changements!$B:$B,Changements!$A:$A,A365,Changements!$C:$C,B365)+IF(L365&gt;M365,IFERROR(INDEX(Matchs!$F$4:$F$31,MATCH(A365,Matchs!$A$4:$A$31,0)),0),0))</f>
        <v>0</v>
      </c>
      <c r="P365" s="17">
        <f t="shared" si="28"/>
        <v>0</v>
      </c>
      <c r="Q365" s="17">
        <f t="shared" si="29"/>
        <v>0</v>
      </c>
    </row>
    <row r="366" spans="1:17" ht="15" customHeight="1" x14ac:dyDescent="0.25">
      <c r="A366" s="11">
        <f t="shared" si="25"/>
        <v>16</v>
      </c>
      <c r="B366" s="11" t="str">
        <f>INDEX('Effectif Saison'!$E$4:$E$22,3)</f>
        <v>Marouane SBK</v>
      </c>
      <c r="C366" s="10"/>
      <c r="D366" s="10"/>
      <c r="E366" s="10"/>
      <c r="F366" s="19" t="str">
        <f>IF(B366="","",IF(AND(E366="Oui",COUNTIFS(Changements!$A:$A,A366,Changements!$D:$D,B366)&gt;0),"⚠ Titulaire+entrée ?",IF(ABS(L366-M366)&gt;1,"⚠ vérifier","")))</f>
        <v/>
      </c>
      <c r="G366" s="11" t="str">
        <f>IF(B366="","",IFERROR(INDEX('Effectif Saison'!$D$4:$D$51,MATCH(B366,'Effectif Saison'!$E$4:$E$51,0)),""))</f>
        <v>Équipe 1</v>
      </c>
      <c r="H366" s="19" t="str">
        <f>IF(L366=0,"",IF(E366="Oui",0,IFERROR(_xlfn.MINIFS(Changements!$B:$B,Changements!$A:$A,A366,Changements!$D:$D,B366),"")))</f>
        <v/>
      </c>
      <c r="I366" s="19" t="str">
        <f>IF(M366=0,"",IFERROR(_xlfn.MAXIFS(Changements!$B:$B,Changements!$A:$A,A366,Changements!$C:$C,B366),""))</f>
        <v/>
      </c>
      <c r="J366" s="11" t="str">
        <f t="shared" si="26"/>
        <v/>
      </c>
      <c r="K366" s="17">
        <f t="shared" si="27"/>
        <v>0</v>
      </c>
      <c r="L366" s="17">
        <f>IF(B366="",0,COUNTIFS(Changements!$A:$A,A366,Changements!$D:$D,B366)+IF(E366="Oui",1,0))</f>
        <v>0</v>
      </c>
      <c r="M366" s="17">
        <f>IF(B366="",0,COUNTIFS(Changements!$A:$A,A366,Changements!$C:$C,B366))</f>
        <v>0</v>
      </c>
      <c r="N366" s="17">
        <f>IF(B366="",0,SUMIFS(Changements!$B:$B,Changements!$A:$A,A366,Changements!$D:$D,B366))</f>
        <v>0</v>
      </c>
      <c r="O366" s="17">
        <f>IF(B366="",0,SUMIFS(Changements!$B:$B,Changements!$A:$A,A366,Changements!$C:$C,B366)+IF(L366&gt;M366,IFERROR(INDEX(Matchs!$F$4:$F$31,MATCH(A366,Matchs!$A$4:$A$31,0)),0),0))</f>
        <v>0</v>
      </c>
      <c r="P366" s="17">
        <f t="shared" si="28"/>
        <v>0</v>
      </c>
      <c r="Q366" s="17">
        <f t="shared" si="29"/>
        <v>0</v>
      </c>
    </row>
    <row r="367" spans="1:17" ht="15" customHeight="1" x14ac:dyDescent="0.25">
      <c r="A367" s="11">
        <f t="shared" si="25"/>
        <v>16</v>
      </c>
      <c r="B367" s="11" t="str">
        <f>INDEX('Effectif Saison'!$E$4:$E$22,4)</f>
        <v>Noé BIHL</v>
      </c>
      <c r="C367" s="10"/>
      <c r="D367" s="10"/>
      <c r="E367" s="10"/>
      <c r="F367" s="19" t="str">
        <f>IF(B367="","",IF(AND(E367="Oui",COUNTIFS(Changements!$A:$A,A367,Changements!$D:$D,B367)&gt;0),"⚠ Titulaire+entrée ?",IF(ABS(L367-M367)&gt;1,"⚠ vérifier","")))</f>
        <v/>
      </c>
      <c r="G367" s="11" t="str">
        <f>IF(B367="","",IFERROR(INDEX('Effectif Saison'!$D$4:$D$51,MATCH(B367,'Effectif Saison'!$E$4:$E$51,0)),""))</f>
        <v>Équipe 1</v>
      </c>
      <c r="H367" s="19" t="str">
        <f>IF(L367=0,"",IF(E367="Oui",0,IFERROR(_xlfn.MINIFS(Changements!$B:$B,Changements!$A:$A,A367,Changements!$D:$D,B367),"")))</f>
        <v/>
      </c>
      <c r="I367" s="19" t="str">
        <f>IF(M367=0,"",IFERROR(_xlfn.MAXIFS(Changements!$B:$B,Changements!$A:$A,A367,Changements!$C:$C,B367),""))</f>
        <v/>
      </c>
      <c r="J367" s="11" t="str">
        <f t="shared" si="26"/>
        <v/>
      </c>
      <c r="K367" s="17">
        <f t="shared" si="27"/>
        <v>0</v>
      </c>
      <c r="L367" s="17">
        <f>IF(B367="",0,COUNTIFS(Changements!$A:$A,A367,Changements!$D:$D,B367)+IF(E367="Oui",1,0))</f>
        <v>0</v>
      </c>
      <c r="M367" s="17">
        <f>IF(B367="",0,COUNTIFS(Changements!$A:$A,A367,Changements!$C:$C,B367))</f>
        <v>0</v>
      </c>
      <c r="N367" s="17">
        <f>IF(B367="",0,SUMIFS(Changements!$B:$B,Changements!$A:$A,A367,Changements!$D:$D,B367))</f>
        <v>0</v>
      </c>
      <c r="O367" s="17">
        <f>IF(B367="",0,SUMIFS(Changements!$B:$B,Changements!$A:$A,A367,Changements!$C:$C,B367)+IF(L367&gt;M367,IFERROR(INDEX(Matchs!$F$4:$F$31,MATCH(A367,Matchs!$A$4:$A$31,0)),0),0))</f>
        <v>0</v>
      </c>
      <c r="P367" s="17">
        <f t="shared" si="28"/>
        <v>0</v>
      </c>
      <c r="Q367" s="17">
        <f t="shared" si="29"/>
        <v>0</v>
      </c>
    </row>
    <row r="368" spans="1:17" ht="15" customHeight="1" x14ac:dyDescent="0.25">
      <c r="A368" s="11">
        <f t="shared" si="25"/>
        <v>16</v>
      </c>
      <c r="B368" s="11" t="str">
        <f>INDEX('Effectif Saison'!$E$4:$E$22,5)</f>
        <v>Luca COLAIANNI</v>
      </c>
      <c r="C368" s="10"/>
      <c r="D368" s="10"/>
      <c r="E368" s="10"/>
      <c r="F368" s="19" t="str">
        <f>IF(B368="","",IF(AND(E368="Oui",COUNTIFS(Changements!$A:$A,A368,Changements!$D:$D,B368)&gt;0),"⚠ Titulaire+entrée ?",IF(ABS(L368-M368)&gt;1,"⚠ vérifier","")))</f>
        <v/>
      </c>
      <c r="G368" s="11" t="str">
        <f>IF(B368="","",IFERROR(INDEX('Effectif Saison'!$D$4:$D$51,MATCH(B368,'Effectif Saison'!$E$4:$E$51,0)),""))</f>
        <v>Équipe 1</v>
      </c>
      <c r="H368" s="19" t="str">
        <f>IF(L368=0,"",IF(E368="Oui",0,IFERROR(_xlfn.MINIFS(Changements!$B:$B,Changements!$A:$A,A368,Changements!$D:$D,B368),"")))</f>
        <v/>
      </c>
      <c r="I368" s="19" t="str">
        <f>IF(M368=0,"",IFERROR(_xlfn.MAXIFS(Changements!$B:$B,Changements!$A:$A,A368,Changements!$C:$C,B368),""))</f>
        <v/>
      </c>
      <c r="J368" s="11" t="str">
        <f t="shared" si="26"/>
        <v/>
      </c>
      <c r="K368" s="17">
        <f t="shared" si="27"/>
        <v>0</v>
      </c>
      <c r="L368" s="17">
        <f>IF(B368="",0,COUNTIFS(Changements!$A:$A,A368,Changements!$D:$D,B368)+IF(E368="Oui",1,0))</f>
        <v>0</v>
      </c>
      <c r="M368" s="17">
        <f>IF(B368="",0,COUNTIFS(Changements!$A:$A,A368,Changements!$C:$C,B368))</f>
        <v>0</v>
      </c>
      <c r="N368" s="17">
        <f>IF(B368="",0,SUMIFS(Changements!$B:$B,Changements!$A:$A,A368,Changements!$D:$D,B368))</f>
        <v>0</v>
      </c>
      <c r="O368" s="17">
        <f>IF(B368="",0,SUMIFS(Changements!$B:$B,Changements!$A:$A,A368,Changements!$C:$C,B368)+IF(L368&gt;M368,IFERROR(INDEX(Matchs!$F$4:$F$31,MATCH(A368,Matchs!$A$4:$A$31,0)),0),0))</f>
        <v>0</v>
      </c>
      <c r="P368" s="17">
        <f t="shared" si="28"/>
        <v>0</v>
      </c>
      <c r="Q368" s="17">
        <f t="shared" si="29"/>
        <v>0</v>
      </c>
    </row>
    <row r="369" spans="1:17" ht="15" customHeight="1" x14ac:dyDescent="0.25">
      <c r="A369" s="11">
        <f t="shared" si="25"/>
        <v>16</v>
      </c>
      <c r="B369" s="11" t="str">
        <f>INDEX('Effectif Saison'!$E$4:$E$22,6)</f>
        <v>Atilla ER</v>
      </c>
      <c r="C369" s="10"/>
      <c r="D369" s="10"/>
      <c r="E369" s="10"/>
      <c r="F369" s="19" t="str">
        <f>IF(B369="","",IF(AND(E369="Oui",COUNTIFS(Changements!$A:$A,A369,Changements!$D:$D,B369)&gt;0),"⚠ Titulaire+entrée ?",IF(ABS(L369-M369)&gt;1,"⚠ vérifier","")))</f>
        <v/>
      </c>
      <c r="G369" s="11" t="str">
        <f>IF(B369="","",IFERROR(INDEX('Effectif Saison'!$D$4:$D$51,MATCH(B369,'Effectif Saison'!$E$4:$E$51,0)),""))</f>
        <v>Équipe 1</v>
      </c>
      <c r="H369" s="19" t="str">
        <f>IF(L369=0,"",IF(E369="Oui",0,IFERROR(_xlfn.MINIFS(Changements!$B:$B,Changements!$A:$A,A369,Changements!$D:$D,B369),"")))</f>
        <v/>
      </c>
      <c r="I369" s="19" t="str">
        <f>IF(M369=0,"",IFERROR(_xlfn.MAXIFS(Changements!$B:$B,Changements!$A:$A,A369,Changements!$C:$C,B369),""))</f>
        <v/>
      </c>
      <c r="J369" s="11" t="str">
        <f t="shared" si="26"/>
        <v/>
      </c>
      <c r="K369" s="17">
        <f t="shared" si="27"/>
        <v>0</v>
      </c>
      <c r="L369" s="17">
        <f>IF(B369="",0,COUNTIFS(Changements!$A:$A,A369,Changements!$D:$D,B369)+IF(E369="Oui",1,0))</f>
        <v>0</v>
      </c>
      <c r="M369" s="17">
        <f>IF(B369="",0,COUNTIFS(Changements!$A:$A,A369,Changements!$C:$C,B369))</f>
        <v>0</v>
      </c>
      <c r="N369" s="17">
        <f>IF(B369="",0,SUMIFS(Changements!$B:$B,Changements!$A:$A,A369,Changements!$D:$D,B369))</f>
        <v>0</v>
      </c>
      <c r="O369" s="17">
        <f>IF(B369="",0,SUMIFS(Changements!$B:$B,Changements!$A:$A,A369,Changements!$C:$C,B369)+IF(L369&gt;M369,IFERROR(INDEX(Matchs!$F$4:$F$31,MATCH(A369,Matchs!$A$4:$A$31,0)),0),0))</f>
        <v>0</v>
      </c>
      <c r="P369" s="17">
        <f t="shared" si="28"/>
        <v>0</v>
      </c>
      <c r="Q369" s="17">
        <f t="shared" si="29"/>
        <v>0</v>
      </c>
    </row>
    <row r="370" spans="1:17" ht="15" customHeight="1" x14ac:dyDescent="0.25">
      <c r="A370" s="11">
        <f t="shared" si="25"/>
        <v>16</v>
      </c>
      <c r="B370" s="11" t="str">
        <f>INDEX('Effectif Saison'!$E$4:$E$22,7)</f>
        <v>Lucas BUHR</v>
      </c>
      <c r="C370" s="10"/>
      <c r="D370" s="10"/>
      <c r="E370" s="10"/>
      <c r="F370" s="19" t="str">
        <f>IF(B370="","",IF(AND(E370="Oui",COUNTIFS(Changements!$A:$A,A370,Changements!$D:$D,B370)&gt;0),"⚠ Titulaire+entrée ?",IF(ABS(L370-M370)&gt;1,"⚠ vérifier","")))</f>
        <v/>
      </c>
      <c r="G370" s="11" t="str">
        <f>IF(B370="","",IFERROR(INDEX('Effectif Saison'!$D$4:$D$51,MATCH(B370,'Effectif Saison'!$E$4:$E$51,0)),""))</f>
        <v>Équipe 1</v>
      </c>
      <c r="H370" s="19" t="str">
        <f>IF(L370=0,"",IF(E370="Oui",0,IFERROR(_xlfn.MINIFS(Changements!$B:$B,Changements!$A:$A,A370,Changements!$D:$D,B370),"")))</f>
        <v/>
      </c>
      <c r="I370" s="19" t="str">
        <f>IF(M370=0,"",IFERROR(_xlfn.MAXIFS(Changements!$B:$B,Changements!$A:$A,A370,Changements!$C:$C,B370),""))</f>
        <v/>
      </c>
      <c r="J370" s="11" t="str">
        <f t="shared" si="26"/>
        <v/>
      </c>
      <c r="K370" s="17">
        <f t="shared" si="27"/>
        <v>0</v>
      </c>
      <c r="L370" s="17">
        <f>IF(B370="",0,COUNTIFS(Changements!$A:$A,A370,Changements!$D:$D,B370)+IF(E370="Oui",1,0))</f>
        <v>0</v>
      </c>
      <c r="M370" s="17">
        <f>IF(B370="",0,COUNTIFS(Changements!$A:$A,A370,Changements!$C:$C,B370))</f>
        <v>0</v>
      </c>
      <c r="N370" s="17">
        <f>IF(B370="",0,SUMIFS(Changements!$B:$B,Changements!$A:$A,A370,Changements!$D:$D,B370))</f>
        <v>0</v>
      </c>
      <c r="O370" s="17">
        <f>IF(B370="",0,SUMIFS(Changements!$B:$B,Changements!$A:$A,A370,Changements!$C:$C,B370)+IF(L370&gt;M370,IFERROR(INDEX(Matchs!$F$4:$F$31,MATCH(A370,Matchs!$A$4:$A$31,0)),0),0))</f>
        <v>0</v>
      </c>
      <c r="P370" s="17">
        <f t="shared" si="28"/>
        <v>0</v>
      </c>
      <c r="Q370" s="17">
        <f t="shared" si="29"/>
        <v>0</v>
      </c>
    </row>
    <row r="371" spans="1:17" ht="15" customHeight="1" x14ac:dyDescent="0.25">
      <c r="A371" s="11">
        <f t="shared" si="25"/>
        <v>16</v>
      </c>
      <c r="B371" s="11" t="str">
        <f>INDEX('Effectif Saison'!$E$4:$E$22,8)</f>
        <v>Yanis HOUX</v>
      </c>
      <c r="C371" s="10"/>
      <c r="D371" s="10"/>
      <c r="E371" s="10"/>
      <c r="F371" s="19" t="str">
        <f>IF(B371="","",IF(AND(E371="Oui",COUNTIFS(Changements!$A:$A,A371,Changements!$D:$D,B371)&gt;0),"⚠ Titulaire+entrée ?",IF(ABS(L371-M371)&gt;1,"⚠ vérifier","")))</f>
        <v/>
      </c>
      <c r="G371" s="11" t="str">
        <f>IF(B371="","",IFERROR(INDEX('Effectif Saison'!$D$4:$D$51,MATCH(B371,'Effectif Saison'!$E$4:$E$51,0)),""))</f>
        <v>Équipe 1</v>
      </c>
      <c r="H371" s="19" t="str">
        <f>IF(L371=0,"",IF(E371="Oui",0,IFERROR(_xlfn.MINIFS(Changements!$B:$B,Changements!$A:$A,A371,Changements!$D:$D,B371),"")))</f>
        <v/>
      </c>
      <c r="I371" s="19" t="str">
        <f>IF(M371=0,"",IFERROR(_xlfn.MAXIFS(Changements!$B:$B,Changements!$A:$A,A371,Changements!$C:$C,B371),""))</f>
        <v/>
      </c>
      <c r="J371" s="11" t="str">
        <f t="shared" si="26"/>
        <v/>
      </c>
      <c r="K371" s="17">
        <f t="shared" si="27"/>
        <v>0</v>
      </c>
      <c r="L371" s="17">
        <f>IF(B371="",0,COUNTIFS(Changements!$A:$A,A371,Changements!$D:$D,B371)+IF(E371="Oui",1,0))</f>
        <v>0</v>
      </c>
      <c r="M371" s="17">
        <f>IF(B371="",0,COUNTIFS(Changements!$A:$A,A371,Changements!$C:$C,B371))</f>
        <v>0</v>
      </c>
      <c r="N371" s="17">
        <f>IF(B371="",0,SUMIFS(Changements!$B:$B,Changements!$A:$A,A371,Changements!$D:$D,B371))</f>
        <v>0</v>
      </c>
      <c r="O371" s="17">
        <f>IF(B371="",0,SUMIFS(Changements!$B:$B,Changements!$A:$A,A371,Changements!$C:$C,B371)+IF(L371&gt;M371,IFERROR(INDEX(Matchs!$F$4:$F$31,MATCH(A371,Matchs!$A$4:$A$31,0)),0),0))</f>
        <v>0</v>
      </c>
      <c r="P371" s="17">
        <f t="shared" si="28"/>
        <v>0</v>
      </c>
      <c r="Q371" s="17">
        <f t="shared" si="29"/>
        <v>0</v>
      </c>
    </row>
    <row r="372" spans="1:17" ht="15" customHeight="1" x14ac:dyDescent="0.25">
      <c r="A372" s="11">
        <f t="shared" si="25"/>
        <v>16</v>
      </c>
      <c r="B372" s="11" t="str">
        <f>INDEX('Effectif Saison'!$E$4:$E$22,9)</f>
        <v>Tino COLAIANNI</v>
      </c>
      <c r="C372" s="10"/>
      <c r="D372" s="10"/>
      <c r="E372" s="10"/>
      <c r="F372" s="19" t="str">
        <f>IF(B372="","",IF(AND(E372="Oui",COUNTIFS(Changements!$A:$A,A372,Changements!$D:$D,B372)&gt;0),"⚠ Titulaire+entrée ?",IF(ABS(L372-M372)&gt;1,"⚠ vérifier","")))</f>
        <v/>
      </c>
      <c r="G372" s="11" t="str">
        <f>IF(B372="","",IFERROR(INDEX('Effectif Saison'!$D$4:$D$51,MATCH(B372,'Effectif Saison'!$E$4:$E$51,0)),""))</f>
        <v>Équipe 1</v>
      </c>
      <c r="H372" s="19" t="str">
        <f>IF(L372=0,"",IF(E372="Oui",0,IFERROR(_xlfn.MINIFS(Changements!$B:$B,Changements!$A:$A,A372,Changements!$D:$D,B372),"")))</f>
        <v/>
      </c>
      <c r="I372" s="19" t="str">
        <f>IF(M372=0,"",IFERROR(_xlfn.MAXIFS(Changements!$B:$B,Changements!$A:$A,A372,Changements!$C:$C,B372),""))</f>
        <v/>
      </c>
      <c r="J372" s="11" t="str">
        <f t="shared" si="26"/>
        <v/>
      </c>
      <c r="K372" s="17">
        <f t="shared" si="27"/>
        <v>0</v>
      </c>
      <c r="L372" s="17">
        <f>IF(B372="",0,COUNTIFS(Changements!$A:$A,A372,Changements!$D:$D,B372)+IF(E372="Oui",1,0))</f>
        <v>0</v>
      </c>
      <c r="M372" s="17">
        <f>IF(B372="",0,COUNTIFS(Changements!$A:$A,A372,Changements!$C:$C,B372))</f>
        <v>0</v>
      </c>
      <c r="N372" s="17">
        <f>IF(B372="",0,SUMIFS(Changements!$B:$B,Changements!$A:$A,A372,Changements!$D:$D,B372))</f>
        <v>0</v>
      </c>
      <c r="O372" s="17">
        <f>IF(B372="",0,SUMIFS(Changements!$B:$B,Changements!$A:$A,A372,Changements!$C:$C,B372)+IF(L372&gt;M372,IFERROR(INDEX(Matchs!$F$4:$F$31,MATCH(A372,Matchs!$A$4:$A$31,0)),0),0))</f>
        <v>0</v>
      </c>
      <c r="P372" s="17">
        <f t="shared" si="28"/>
        <v>0</v>
      </c>
      <c r="Q372" s="17">
        <f t="shared" si="29"/>
        <v>0</v>
      </c>
    </row>
    <row r="373" spans="1:17" ht="15" customHeight="1" x14ac:dyDescent="0.25">
      <c r="A373" s="11">
        <f t="shared" si="25"/>
        <v>16</v>
      </c>
      <c r="B373" s="11" t="str">
        <f>INDEX('Effectif Saison'!$E$4:$E$22,10)</f>
        <v>Achille KELLERKNECHT</v>
      </c>
      <c r="C373" s="10"/>
      <c r="D373" s="10"/>
      <c r="E373" s="10"/>
      <c r="F373" s="19" t="str">
        <f>IF(B373="","",IF(AND(E373="Oui",COUNTIFS(Changements!$A:$A,A373,Changements!$D:$D,B373)&gt;0),"⚠ Titulaire+entrée ?",IF(ABS(L373-M373)&gt;1,"⚠ vérifier","")))</f>
        <v/>
      </c>
      <c r="G373" s="11" t="str">
        <f>IF(B373="","",IFERROR(INDEX('Effectif Saison'!$D$4:$D$51,MATCH(B373,'Effectif Saison'!$E$4:$E$51,0)),""))</f>
        <v>Équipe 1</v>
      </c>
      <c r="H373" s="19" t="str">
        <f>IF(L373=0,"",IF(E373="Oui",0,IFERROR(_xlfn.MINIFS(Changements!$B:$B,Changements!$A:$A,A373,Changements!$D:$D,B373),"")))</f>
        <v/>
      </c>
      <c r="I373" s="19" t="str">
        <f>IF(M373=0,"",IFERROR(_xlfn.MAXIFS(Changements!$B:$B,Changements!$A:$A,A373,Changements!$C:$C,B373),""))</f>
        <v/>
      </c>
      <c r="J373" s="11" t="str">
        <f t="shared" si="26"/>
        <v/>
      </c>
      <c r="K373" s="17">
        <f t="shared" si="27"/>
        <v>0</v>
      </c>
      <c r="L373" s="17">
        <f>IF(B373="",0,COUNTIFS(Changements!$A:$A,A373,Changements!$D:$D,B373)+IF(E373="Oui",1,0))</f>
        <v>0</v>
      </c>
      <c r="M373" s="17">
        <f>IF(B373="",0,COUNTIFS(Changements!$A:$A,A373,Changements!$C:$C,B373))</f>
        <v>0</v>
      </c>
      <c r="N373" s="17">
        <f>IF(B373="",0,SUMIFS(Changements!$B:$B,Changements!$A:$A,A373,Changements!$D:$D,B373))</f>
        <v>0</v>
      </c>
      <c r="O373" s="17">
        <f>IF(B373="",0,SUMIFS(Changements!$B:$B,Changements!$A:$A,A373,Changements!$C:$C,B373)+IF(L373&gt;M373,IFERROR(INDEX(Matchs!$F$4:$F$31,MATCH(A373,Matchs!$A$4:$A$31,0)),0),0))</f>
        <v>0</v>
      </c>
      <c r="P373" s="17">
        <f t="shared" si="28"/>
        <v>0</v>
      </c>
      <c r="Q373" s="17">
        <f t="shared" si="29"/>
        <v>0</v>
      </c>
    </row>
    <row r="374" spans="1:17" ht="15" customHeight="1" x14ac:dyDescent="0.25">
      <c r="A374" s="11">
        <f t="shared" si="25"/>
        <v>16</v>
      </c>
      <c r="B374" s="11" t="str">
        <f>INDEX('Effectif Saison'!$E$4:$E$22,11)</f>
        <v>Charly LEPERT</v>
      </c>
      <c r="C374" s="10"/>
      <c r="D374" s="10"/>
      <c r="E374" s="10"/>
      <c r="F374" s="19" t="str">
        <f>IF(B374="","",IF(AND(E374="Oui",COUNTIFS(Changements!$A:$A,A374,Changements!$D:$D,B374)&gt;0),"⚠ Titulaire+entrée ?",IF(ABS(L374-M374)&gt;1,"⚠ vérifier","")))</f>
        <v/>
      </c>
      <c r="G374" s="11" t="str">
        <f>IF(B374="","",IFERROR(INDEX('Effectif Saison'!$D$4:$D$51,MATCH(B374,'Effectif Saison'!$E$4:$E$51,0)),""))</f>
        <v>Équipe 1</v>
      </c>
      <c r="H374" s="19" t="str">
        <f>IF(L374=0,"",IF(E374="Oui",0,IFERROR(_xlfn.MINIFS(Changements!$B:$B,Changements!$A:$A,A374,Changements!$D:$D,B374),"")))</f>
        <v/>
      </c>
      <c r="I374" s="19" t="str">
        <f>IF(M374=0,"",IFERROR(_xlfn.MAXIFS(Changements!$B:$B,Changements!$A:$A,A374,Changements!$C:$C,B374),""))</f>
        <v/>
      </c>
      <c r="J374" s="11" t="str">
        <f t="shared" si="26"/>
        <v/>
      </c>
      <c r="K374" s="17">
        <f t="shared" si="27"/>
        <v>0</v>
      </c>
      <c r="L374" s="17">
        <f>IF(B374="",0,COUNTIFS(Changements!$A:$A,A374,Changements!$D:$D,B374)+IF(E374="Oui",1,0))</f>
        <v>0</v>
      </c>
      <c r="M374" s="17">
        <f>IF(B374="",0,COUNTIFS(Changements!$A:$A,A374,Changements!$C:$C,B374))</f>
        <v>0</v>
      </c>
      <c r="N374" s="17">
        <f>IF(B374="",0,SUMIFS(Changements!$B:$B,Changements!$A:$A,A374,Changements!$D:$D,B374))</f>
        <v>0</v>
      </c>
      <c r="O374" s="17">
        <f>IF(B374="",0,SUMIFS(Changements!$B:$B,Changements!$A:$A,A374,Changements!$C:$C,B374)+IF(L374&gt;M374,IFERROR(INDEX(Matchs!$F$4:$F$31,MATCH(A374,Matchs!$A$4:$A$31,0)),0),0))</f>
        <v>0</v>
      </c>
      <c r="P374" s="17">
        <f t="shared" si="28"/>
        <v>0</v>
      </c>
      <c r="Q374" s="17">
        <f t="shared" si="29"/>
        <v>0</v>
      </c>
    </row>
    <row r="375" spans="1:17" ht="15" customHeight="1" x14ac:dyDescent="0.25">
      <c r="A375" s="11">
        <f t="shared" si="25"/>
        <v>16</v>
      </c>
      <c r="B375" s="11" t="str">
        <f>INDEX('Effectif Saison'!$E$4:$E$22,12)</f>
        <v>Basile STANGRET</v>
      </c>
      <c r="C375" s="10"/>
      <c r="D375" s="10"/>
      <c r="E375" s="10"/>
      <c r="F375" s="19" t="str">
        <f>IF(B375="","",IF(AND(E375="Oui",COUNTIFS(Changements!$A:$A,A375,Changements!$D:$D,B375)&gt;0),"⚠ Titulaire+entrée ?",IF(ABS(L375-M375)&gt;1,"⚠ vérifier","")))</f>
        <v/>
      </c>
      <c r="G375" s="11" t="str">
        <f>IF(B375="","",IFERROR(INDEX('Effectif Saison'!$D$4:$D$51,MATCH(B375,'Effectif Saison'!$E$4:$E$51,0)),""))</f>
        <v>Équipe 1</v>
      </c>
      <c r="H375" s="19" t="str">
        <f>IF(L375=0,"",IF(E375="Oui",0,IFERROR(_xlfn.MINIFS(Changements!$B:$B,Changements!$A:$A,A375,Changements!$D:$D,B375),"")))</f>
        <v/>
      </c>
      <c r="I375" s="19" t="str">
        <f>IF(M375=0,"",IFERROR(_xlfn.MAXIFS(Changements!$B:$B,Changements!$A:$A,A375,Changements!$C:$C,B375),""))</f>
        <v/>
      </c>
      <c r="J375" s="11" t="str">
        <f t="shared" si="26"/>
        <v/>
      </c>
      <c r="K375" s="17">
        <f t="shared" si="27"/>
        <v>0</v>
      </c>
      <c r="L375" s="17">
        <f>IF(B375="",0,COUNTIFS(Changements!$A:$A,A375,Changements!$D:$D,B375)+IF(E375="Oui",1,0))</f>
        <v>0</v>
      </c>
      <c r="M375" s="17">
        <f>IF(B375="",0,COUNTIFS(Changements!$A:$A,A375,Changements!$C:$C,B375))</f>
        <v>0</v>
      </c>
      <c r="N375" s="17">
        <f>IF(B375="",0,SUMIFS(Changements!$B:$B,Changements!$A:$A,A375,Changements!$D:$D,B375))</f>
        <v>0</v>
      </c>
      <c r="O375" s="17">
        <f>IF(B375="",0,SUMIFS(Changements!$B:$B,Changements!$A:$A,A375,Changements!$C:$C,B375)+IF(L375&gt;M375,IFERROR(INDEX(Matchs!$F$4:$F$31,MATCH(A375,Matchs!$A$4:$A$31,0)),0),0))</f>
        <v>0</v>
      </c>
      <c r="P375" s="17">
        <f t="shared" si="28"/>
        <v>0</v>
      </c>
      <c r="Q375" s="17">
        <f t="shared" si="29"/>
        <v>0</v>
      </c>
    </row>
    <row r="376" spans="1:17" ht="15" customHeight="1" x14ac:dyDescent="0.25">
      <c r="A376" s="11">
        <f t="shared" si="25"/>
        <v>16</v>
      </c>
      <c r="B376" s="11" t="str">
        <f>INDEX('Effectif Saison'!$E$4:$E$22,13)</f>
        <v>Maxence KELLER</v>
      </c>
      <c r="C376" s="10"/>
      <c r="D376" s="10"/>
      <c r="E376" s="10"/>
      <c r="F376" s="19" t="str">
        <f>IF(B376="","",IF(AND(E376="Oui",COUNTIFS(Changements!$A:$A,A376,Changements!$D:$D,B376)&gt;0),"⚠ Titulaire+entrée ?",IF(ABS(L376-M376)&gt;1,"⚠ vérifier","")))</f>
        <v/>
      </c>
      <c r="G376" s="11" t="str">
        <f>IF(B376="","",IFERROR(INDEX('Effectif Saison'!$D$4:$D$51,MATCH(B376,'Effectif Saison'!$E$4:$E$51,0)),""))</f>
        <v>Équipe 1</v>
      </c>
      <c r="H376" s="19" t="str">
        <f>IF(L376=0,"",IF(E376="Oui",0,IFERROR(_xlfn.MINIFS(Changements!$B:$B,Changements!$A:$A,A376,Changements!$D:$D,B376),"")))</f>
        <v/>
      </c>
      <c r="I376" s="19" t="str">
        <f>IF(M376=0,"",IFERROR(_xlfn.MAXIFS(Changements!$B:$B,Changements!$A:$A,A376,Changements!$C:$C,B376),""))</f>
        <v/>
      </c>
      <c r="J376" s="11" t="str">
        <f t="shared" si="26"/>
        <v/>
      </c>
      <c r="K376" s="17">
        <f t="shared" si="27"/>
        <v>0</v>
      </c>
      <c r="L376" s="17">
        <f>IF(B376="",0,COUNTIFS(Changements!$A:$A,A376,Changements!$D:$D,B376)+IF(E376="Oui",1,0))</f>
        <v>0</v>
      </c>
      <c r="M376" s="17">
        <f>IF(B376="",0,COUNTIFS(Changements!$A:$A,A376,Changements!$C:$C,B376))</f>
        <v>0</v>
      </c>
      <c r="N376" s="17">
        <f>IF(B376="",0,SUMIFS(Changements!$B:$B,Changements!$A:$A,A376,Changements!$D:$D,B376))</f>
        <v>0</v>
      </c>
      <c r="O376" s="17">
        <f>IF(B376="",0,SUMIFS(Changements!$B:$B,Changements!$A:$A,A376,Changements!$C:$C,B376)+IF(L376&gt;M376,IFERROR(INDEX(Matchs!$F$4:$F$31,MATCH(A376,Matchs!$A$4:$A$31,0)),0),0))</f>
        <v>0</v>
      </c>
      <c r="P376" s="17">
        <f t="shared" si="28"/>
        <v>0</v>
      </c>
      <c r="Q376" s="17">
        <f t="shared" si="29"/>
        <v>0</v>
      </c>
    </row>
    <row r="377" spans="1:17" ht="15" customHeight="1" x14ac:dyDescent="0.25">
      <c r="A377" s="11">
        <f t="shared" si="25"/>
        <v>16</v>
      </c>
      <c r="B377" s="11" t="str">
        <f>INDEX('Effectif Saison'!$E$4:$E$22,14)</f>
        <v>Evan SCHMITT</v>
      </c>
      <c r="C377" s="10"/>
      <c r="D377" s="10"/>
      <c r="E377" s="10"/>
      <c r="F377" s="19" t="str">
        <f>IF(B377="","",IF(AND(E377="Oui",COUNTIFS(Changements!$A:$A,A377,Changements!$D:$D,B377)&gt;0),"⚠ Titulaire+entrée ?",IF(ABS(L377-M377)&gt;1,"⚠ vérifier","")))</f>
        <v/>
      </c>
      <c r="G377" s="11" t="str">
        <f>IF(B377="","",IFERROR(INDEX('Effectif Saison'!$D$4:$D$51,MATCH(B377,'Effectif Saison'!$E$4:$E$51,0)),""))</f>
        <v>Équipe 1</v>
      </c>
      <c r="H377" s="19" t="str">
        <f>IF(L377=0,"",IF(E377="Oui",0,IFERROR(_xlfn.MINIFS(Changements!$B:$B,Changements!$A:$A,A377,Changements!$D:$D,B377),"")))</f>
        <v/>
      </c>
      <c r="I377" s="19" t="str">
        <f>IF(M377=0,"",IFERROR(_xlfn.MAXIFS(Changements!$B:$B,Changements!$A:$A,A377,Changements!$C:$C,B377),""))</f>
        <v/>
      </c>
      <c r="J377" s="11" t="str">
        <f t="shared" si="26"/>
        <v/>
      </c>
      <c r="K377" s="17">
        <f t="shared" si="27"/>
        <v>0</v>
      </c>
      <c r="L377" s="17">
        <f>IF(B377="",0,COUNTIFS(Changements!$A:$A,A377,Changements!$D:$D,B377)+IF(E377="Oui",1,0))</f>
        <v>0</v>
      </c>
      <c r="M377" s="17">
        <f>IF(B377="",0,COUNTIFS(Changements!$A:$A,A377,Changements!$C:$C,B377))</f>
        <v>0</v>
      </c>
      <c r="N377" s="17">
        <f>IF(B377="",0,SUMIFS(Changements!$B:$B,Changements!$A:$A,A377,Changements!$D:$D,B377))</f>
        <v>0</v>
      </c>
      <c r="O377" s="17">
        <f>IF(B377="",0,SUMIFS(Changements!$B:$B,Changements!$A:$A,A377,Changements!$C:$C,B377)+IF(L377&gt;M377,IFERROR(INDEX(Matchs!$F$4:$F$31,MATCH(A377,Matchs!$A$4:$A$31,0)),0),0))</f>
        <v>0</v>
      </c>
      <c r="P377" s="17">
        <f t="shared" si="28"/>
        <v>0</v>
      </c>
      <c r="Q377" s="17">
        <f t="shared" si="29"/>
        <v>0</v>
      </c>
    </row>
    <row r="378" spans="1:17" ht="15" customHeight="1" x14ac:dyDescent="0.25">
      <c r="A378" s="11">
        <f t="shared" si="25"/>
        <v>16</v>
      </c>
      <c r="B378" s="11" t="str">
        <f>INDEX('Effectif Saison'!$E$4:$E$22,15)</f>
        <v>William SIMON</v>
      </c>
      <c r="C378" s="10"/>
      <c r="D378" s="10"/>
      <c r="E378" s="10"/>
      <c r="F378" s="19" t="str">
        <f>IF(B378="","",IF(AND(E378="Oui",COUNTIFS(Changements!$A:$A,A378,Changements!$D:$D,B378)&gt;0),"⚠ Titulaire+entrée ?",IF(ABS(L378-M378)&gt;1,"⚠ vérifier","")))</f>
        <v/>
      </c>
      <c r="G378" s="11" t="str">
        <f>IF(B378="","",IFERROR(INDEX('Effectif Saison'!$D$4:$D$51,MATCH(B378,'Effectif Saison'!$E$4:$E$51,0)),""))</f>
        <v>Équipe 1</v>
      </c>
      <c r="H378" s="19" t="str">
        <f>IF(L378=0,"",IF(E378="Oui",0,IFERROR(_xlfn.MINIFS(Changements!$B:$B,Changements!$A:$A,A378,Changements!$D:$D,B378),"")))</f>
        <v/>
      </c>
      <c r="I378" s="19" t="str">
        <f>IF(M378=0,"",IFERROR(_xlfn.MAXIFS(Changements!$B:$B,Changements!$A:$A,A378,Changements!$C:$C,B378),""))</f>
        <v/>
      </c>
      <c r="J378" s="11" t="str">
        <f t="shared" si="26"/>
        <v/>
      </c>
      <c r="K378" s="17">
        <f t="shared" si="27"/>
        <v>0</v>
      </c>
      <c r="L378" s="17">
        <f>IF(B378="",0,COUNTIFS(Changements!$A:$A,A378,Changements!$D:$D,B378)+IF(E378="Oui",1,0))</f>
        <v>0</v>
      </c>
      <c r="M378" s="17">
        <f>IF(B378="",0,COUNTIFS(Changements!$A:$A,A378,Changements!$C:$C,B378))</f>
        <v>0</v>
      </c>
      <c r="N378" s="17">
        <f>IF(B378="",0,SUMIFS(Changements!$B:$B,Changements!$A:$A,A378,Changements!$D:$D,B378))</f>
        <v>0</v>
      </c>
      <c r="O378" s="17">
        <f>IF(B378="",0,SUMIFS(Changements!$B:$B,Changements!$A:$A,A378,Changements!$C:$C,B378)+IF(L378&gt;M378,IFERROR(INDEX(Matchs!$F$4:$F$31,MATCH(A378,Matchs!$A$4:$A$31,0)),0),0))</f>
        <v>0</v>
      </c>
      <c r="P378" s="17">
        <f t="shared" si="28"/>
        <v>0</v>
      </c>
      <c r="Q378" s="17">
        <f t="shared" si="29"/>
        <v>0</v>
      </c>
    </row>
    <row r="379" spans="1:17" ht="15" customHeight="1" x14ac:dyDescent="0.25">
      <c r="A379" s="11">
        <f t="shared" si="25"/>
        <v>16</v>
      </c>
      <c r="B379" s="11" t="str">
        <f>INDEX('Effectif Saison'!$E$4:$E$22,16)</f>
        <v>Lenny LEPPER</v>
      </c>
      <c r="C379" s="10"/>
      <c r="D379" s="10"/>
      <c r="E379" s="10"/>
      <c r="F379" s="19" t="str">
        <f>IF(B379="","",IF(AND(E379="Oui",COUNTIFS(Changements!$A:$A,A379,Changements!$D:$D,B379)&gt;0),"⚠ Titulaire+entrée ?",IF(ABS(L379-M379)&gt;1,"⚠ vérifier","")))</f>
        <v/>
      </c>
      <c r="G379" s="11" t="str">
        <f>IF(B379="","",IFERROR(INDEX('Effectif Saison'!$D$4:$D$51,MATCH(B379,'Effectif Saison'!$E$4:$E$51,0)),""))</f>
        <v>Équipe 1</v>
      </c>
      <c r="H379" s="19" t="str">
        <f>IF(L379=0,"",IF(E379="Oui",0,IFERROR(_xlfn.MINIFS(Changements!$B:$B,Changements!$A:$A,A379,Changements!$D:$D,B379),"")))</f>
        <v/>
      </c>
      <c r="I379" s="19" t="str">
        <f>IF(M379=0,"",IFERROR(_xlfn.MAXIFS(Changements!$B:$B,Changements!$A:$A,A379,Changements!$C:$C,B379),""))</f>
        <v/>
      </c>
      <c r="J379" s="11" t="str">
        <f t="shared" si="26"/>
        <v/>
      </c>
      <c r="K379" s="17">
        <f t="shared" si="27"/>
        <v>0</v>
      </c>
      <c r="L379" s="17">
        <f>IF(B379="",0,COUNTIFS(Changements!$A:$A,A379,Changements!$D:$D,B379)+IF(E379="Oui",1,0))</f>
        <v>0</v>
      </c>
      <c r="M379" s="17">
        <f>IF(B379="",0,COUNTIFS(Changements!$A:$A,A379,Changements!$C:$C,B379))</f>
        <v>0</v>
      </c>
      <c r="N379" s="17">
        <f>IF(B379="",0,SUMIFS(Changements!$B:$B,Changements!$A:$A,A379,Changements!$D:$D,B379))</f>
        <v>0</v>
      </c>
      <c r="O379" s="17">
        <f>IF(B379="",0,SUMIFS(Changements!$B:$B,Changements!$A:$A,A379,Changements!$C:$C,B379)+IF(L379&gt;M379,IFERROR(INDEX(Matchs!$F$4:$F$31,MATCH(A379,Matchs!$A$4:$A$31,0)),0),0))</f>
        <v>0</v>
      </c>
      <c r="P379" s="17">
        <f t="shared" si="28"/>
        <v>0</v>
      </c>
      <c r="Q379" s="17">
        <f t="shared" si="29"/>
        <v>0</v>
      </c>
    </row>
    <row r="380" spans="1:17" ht="15" customHeight="1" x14ac:dyDescent="0.25">
      <c r="A380" s="11">
        <f t="shared" si="25"/>
        <v>16</v>
      </c>
      <c r="B380" s="11" t="str">
        <f>INDEX('Effectif Saison'!$E$4:$E$22,17)</f>
        <v>Malo KELLER</v>
      </c>
      <c r="C380" s="10"/>
      <c r="D380" s="10"/>
      <c r="E380" s="10"/>
      <c r="F380" s="19" t="str">
        <f>IF(B380="","",IF(AND(E380="Oui",COUNTIFS(Changements!$A:$A,A380,Changements!$D:$D,B380)&gt;0),"⚠ Titulaire+entrée ?",IF(ABS(L380-M380)&gt;1,"⚠ vérifier","")))</f>
        <v/>
      </c>
      <c r="G380" s="11" t="str">
        <f>IF(B380="","",IFERROR(INDEX('Effectif Saison'!$D$4:$D$51,MATCH(B380,'Effectif Saison'!$E$4:$E$51,0)),""))</f>
        <v>Équipe 1</v>
      </c>
      <c r="H380" s="19" t="str">
        <f>IF(L380=0,"",IF(E380="Oui",0,IFERROR(_xlfn.MINIFS(Changements!$B:$B,Changements!$A:$A,A380,Changements!$D:$D,B380),"")))</f>
        <v/>
      </c>
      <c r="I380" s="19" t="str">
        <f>IF(M380=0,"",IFERROR(_xlfn.MAXIFS(Changements!$B:$B,Changements!$A:$A,A380,Changements!$C:$C,B380),""))</f>
        <v/>
      </c>
      <c r="J380" s="11" t="str">
        <f t="shared" si="26"/>
        <v/>
      </c>
      <c r="K380" s="17">
        <f t="shared" si="27"/>
        <v>0</v>
      </c>
      <c r="L380" s="17">
        <f>IF(B380="",0,COUNTIFS(Changements!$A:$A,A380,Changements!$D:$D,B380)+IF(E380="Oui",1,0))</f>
        <v>0</v>
      </c>
      <c r="M380" s="17">
        <f>IF(B380="",0,COUNTIFS(Changements!$A:$A,A380,Changements!$C:$C,B380))</f>
        <v>0</v>
      </c>
      <c r="N380" s="17">
        <f>IF(B380="",0,SUMIFS(Changements!$B:$B,Changements!$A:$A,A380,Changements!$D:$D,B380))</f>
        <v>0</v>
      </c>
      <c r="O380" s="17">
        <f>IF(B380="",0,SUMIFS(Changements!$B:$B,Changements!$A:$A,A380,Changements!$C:$C,B380)+IF(L380&gt;M380,IFERROR(INDEX(Matchs!$F$4:$F$31,MATCH(A380,Matchs!$A$4:$A$31,0)),0),0))</f>
        <v>0</v>
      </c>
      <c r="P380" s="17">
        <f t="shared" si="28"/>
        <v>0</v>
      </c>
      <c r="Q380" s="17">
        <f t="shared" si="29"/>
        <v>0</v>
      </c>
    </row>
    <row r="381" spans="1:17" ht="15" customHeight="1" x14ac:dyDescent="0.25">
      <c r="A381" s="11">
        <f t="shared" si="25"/>
        <v>16</v>
      </c>
      <c r="B381" s="11" t="str">
        <f>INDEX('Effectif Saison'!$E$4:$E$22,18)</f>
        <v>Tom SCHILLER</v>
      </c>
      <c r="C381" s="10"/>
      <c r="D381" s="10"/>
      <c r="E381" s="10"/>
      <c r="F381" s="19" t="str">
        <f>IF(B381="","",IF(AND(E381="Oui",COUNTIFS(Changements!$A:$A,A381,Changements!$D:$D,B381)&gt;0),"⚠ Titulaire+entrée ?",IF(ABS(L381-M381)&gt;1,"⚠ vérifier","")))</f>
        <v/>
      </c>
      <c r="G381" s="11" t="str">
        <f>IF(B381="","",IFERROR(INDEX('Effectif Saison'!$D$4:$D$51,MATCH(B381,'Effectif Saison'!$E$4:$E$51,0)),""))</f>
        <v>Équipe 1</v>
      </c>
      <c r="H381" s="19" t="str">
        <f>IF(L381=0,"",IF(E381="Oui",0,IFERROR(_xlfn.MINIFS(Changements!$B:$B,Changements!$A:$A,A381,Changements!$D:$D,B381),"")))</f>
        <v/>
      </c>
      <c r="I381" s="19" t="str">
        <f>IF(M381=0,"",IFERROR(_xlfn.MAXIFS(Changements!$B:$B,Changements!$A:$A,A381,Changements!$C:$C,B381),""))</f>
        <v/>
      </c>
      <c r="J381" s="11" t="str">
        <f t="shared" si="26"/>
        <v/>
      </c>
      <c r="K381" s="17">
        <f t="shared" si="27"/>
        <v>0</v>
      </c>
      <c r="L381" s="17">
        <f>IF(B381="",0,COUNTIFS(Changements!$A:$A,A381,Changements!$D:$D,B381)+IF(E381="Oui",1,0))</f>
        <v>0</v>
      </c>
      <c r="M381" s="17">
        <f>IF(B381="",0,COUNTIFS(Changements!$A:$A,A381,Changements!$C:$C,B381))</f>
        <v>0</v>
      </c>
      <c r="N381" s="17">
        <f>IF(B381="",0,SUMIFS(Changements!$B:$B,Changements!$A:$A,A381,Changements!$D:$D,B381))</f>
        <v>0</v>
      </c>
      <c r="O381" s="17">
        <f>IF(B381="",0,SUMIFS(Changements!$B:$B,Changements!$A:$A,A381,Changements!$C:$C,B381)+IF(L381&gt;M381,IFERROR(INDEX(Matchs!$F$4:$F$31,MATCH(A381,Matchs!$A$4:$A$31,0)),0),0))</f>
        <v>0</v>
      </c>
      <c r="P381" s="17">
        <f t="shared" si="28"/>
        <v>0</v>
      </c>
      <c r="Q381" s="17">
        <f t="shared" si="29"/>
        <v>0</v>
      </c>
    </row>
    <row r="382" spans="1:17" ht="15" customHeight="1" x14ac:dyDescent="0.25">
      <c r="A382" s="11">
        <f t="shared" si="25"/>
        <v>16</v>
      </c>
      <c r="B382" s="11" t="str">
        <f>INDEX('Effectif Saison'!$E$4:$E$22,19)</f>
        <v>Eliot LEIBY</v>
      </c>
      <c r="C382" s="10"/>
      <c r="D382" s="10"/>
      <c r="E382" s="10"/>
      <c r="F382" s="19" t="str">
        <f>IF(B382="","",IF(AND(E382="Oui",COUNTIFS(Changements!$A:$A,A382,Changements!$D:$D,B382)&gt;0),"⚠ Titulaire+entrée ?",IF(ABS(L382-M382)&gt;1,"⚠ vérifier","")))</f>
        <v/>
      </c>
      <c r="G382" s="11" t="str">
        <f>IF(B382="","",IFERROR(INDEX('Effectif Saison'!$D$4:$D$51,MATCH(B382,'Effectif Saison'!$E$4:$E$51,0)),""))</f>
        <v>Équipe 1</v>
      </c>
      <c r="H382" s="19" t="str">
        <f>IF(L382=0,"",IF(E382="Oui",0,IFERROR(_xlfn.MINIFS(Changements!$B:$B,Changements!$A:$A,A382,Changements!$D:$D,B382),"")))</f>
        <v/>
      </c>
      <c r="I382" s="19" t="str">
        <f>IF(M382=0,"",IFERROR(_xlfn.MAXIFS(Changements!$B:$B,Changements!$A:$A,A382,Changements!$C:$C,B382),""))</f>
        <v/>
      </c>
      <c r="J382" s="11" t="str">
        <f t="shared" si="26"/>
        <v/>
      </c>
      <c r="K382" s="17">
        <f t="shared" si="27"/>
        <v>0</v>
      </c>
      <c r="L382" s="17">
        <f>IF(B382="",0,COUNTIFS(Changements!$A:$A,A382,Changements!$D:$D,B382)+IF(E382="Oui",1,0))</f>
        <v>0</v>
      </c>
      <c r="M382" s="17">
        <f>IF(B382="",0,COUNTIFS(Changements!$A:$A,A382,Changements!$C:$C,B382))</f>
        <v>0</v>
      </c>
      <c r="N382" s="17">
        <f>IF(B382="",0,SUMIFS(Changements!$B:$B,Changements!$A:$A,A382,Changements!$D:$D,B382))</f>
        <v>0</v>
      </c>
      <c r="O382" s="17">
        <f>IF(B382="",0,SUMIFS(Changements!$B:$B,Changements!$A:$A,A382,Changements!$C:$C,B382)+IF(L382&gt;M382,IFERROR(INDEX(Matchs!$F$4:$F$31,MATCH(A382,Matchs!$A$4:$A$31,0)),0),0))</f>
        <v>0</v>
      </c>
      <c r="P382" s="17">
        <f t="shared" si="28"/>
        <v>0</v>
      </c>
      <c r="Q382" s="17">
        <f t="shared" si="29"/>
        <v>0</v>
      </c>
    </row>
    <row r="383" spans="1:17" ht="15" customHeight="1" x14ac:dyDescent="0.25">
      <c r="A383" s="11">
        <f t="shared" si="25"/>
        <v>16</v>
      </c>
      <c r="B383" s="10"/>
      <c r="C383" s="10"/>
      <c r="D383" s="10"/>
      <c r="E383" s="10"/>
      <c r="F383" s="19" t="str">
        <f>IF(B383="","",IF(AND(E383="Oui",COUNTIFS(Changements!$A:$A,A383,Changements!$D:$D,B383)&gt;0),"⚠ Titulaire+entrée ?",IF(ABS(L383-M383)&gt;1,"⚠ vérifier","")))</f>
        <v/>
      </c>
      <c r="G383" s="11" t="str">
        <f>IF(B383="","",IFERROR(INDEX('Effectif Saison'!$D$4:$D$51,MATCH(B383,'Effectif Saison'!$E$4:$E$51,0)),""))</f>
        <v/>
      </c>
      <c r="H383" s="19" t="str">
        <f>IF(L383=0,"",IF(E383="Oui",0,IFERROR(_xlfn.MINIFS(Changements!$B:$B,Changements!$A:$A,A383,Changements!$D:$D,B383),"")))</f>
        <v/>
      </c>
      <c r="I383" s="19" t="str">
        <f>IF(M383=0,"",IFERROR(_xlfn.MAXIFS(Changements!$B:$B,Changements!$A:$A,A383,Changements!$C:$C,B383),""))</f>
        <v/>
      </c>
      <c r="J383" s="11" t="str">
        <f t="shared" si="26"/>
        <v/>
      </c>
      <c r="K383" s="17">
        <f t="shared" si="27"/>
        <v>0</v>
      </c>
      <c r="L383" s="17">
        <f>IF(B383="",0,COUNTIFS(Changements!$A:$A,A383,Changements!$D:$D,B383)+IF(E383="Oui",1,0))</f>
        <v>0</v>
      </c>
      <c r="M383" s="17">
        <f>IF(B383="",0,COUNTIFS(Changements!$A:$A,A383,Changements!$C:$C,B383))</f>
        <v>0</v>
      </c>
      <c r="N383" s="17">
        <f>IF(B383="",0,SUMIFS(Changements!$B:$B,Changements!$A:$A,A383,Changements!$D:$D,B383))</f>
        <v>0</v>
      </c>
      <c r="O383" s="17">
        <f>IF(B383="",0,SUMIFS(Changements!$B:$B,Changements!$A:$A,A383,Changements!$C:$C,B383)+IF(L383&gt;M383,IFERROR(INDEX(Matchs!$F$4:$F$31,MATCH(A383,Matchs!$A$4:$A$31,0)),0),0))</f>
        <v>0</v>
      </c>
      <c r="P383" s="17">
        <f t="shared" si="28"/>
        <v>0</v>
      </c>
      <c r="Q383" s="17">
        <f t="shared" si="29"/>
        <v>0</v>
      </c>
    </row>
    <row r="384" spans="1:17" ht="15" customHeight="1" x14ac:dyDescent="0.25">
      <c r="A384" s="11">
        <f t="shared" si="25"/>
        <v>16</v>
      </c>
      <c r="B384" s="10"/>
      <c r="C384" s="10"/>
      <c r="D384" s="10"/>
      <c r="E384" s="10"/>
      <c r="F384" s="19" t="str">
        <f>IF(B384="","",IF(AND(E384="Oui",COUNTIFS(Changements!$A:$A,A384,Changements!$D:$D,B384)&gt;0),"⚠ Titulaire+entrée ?",IF(ABS(L384-M384)&gt;1,"⚠ vérifier","")))</f>
        <v/>
      </c>
      <c r="G384" s="11" t="str">
        <f>IF(B384="","",IFERROR(INDEX('Effectif Saison'!$D$4:$D$51,MATCH(B384,'Effectif Saison'!$E$4:$E$51,0)),""))</f>
        <v/>
      </c>
      <c r="H384" s="19" t="str">
        <f>IF(L384=0,"",IF(E384="Oui",0,IFERROR(_xlfn.MINIFS(Changements!$B:$B,Changements!$A:$A,A384,Changements!$D:$D,B384),"")))</f>
        <v/>
      </c>
      <c r="I384" s="19" t="str">
        <f>IF(M384=0,"",IFERROR(_xlfn.MAXIFS(Changements!$B:$B,Changements!$A:$A,A384,Changements!$C:$C,B384),""))</f>
        <v/>
      </c>
      <c r="J384" s="11" t="str">
        <f t="shared" si="26"/>
        <v/>
      </c>
      <c r="K384" s="17">
        <f t="shared" si="27"/>
        <v>0</v>
      </c>
      <c r="L384" s="17">
        <f>IF(B384="",0,COUNTIFS(Changements!$A:$A,A384,Changements!$D:$D,B384)+IF(E384="Oui",1,0))</f>
        <v>0</v>
      </c>
      <c r="M384" s="17">
        <f>IF(B384="",0,COUNTIFS(Changements!$A:$A,A384,Changements!$C:$C,B384))</f>
        <v>0</v>
      </c>
      <c r="N384" s="17">
        <f>IF(B384="",0,SUMIFS(Changements!$B:$B,Changements!$A:$A,A384,Changements!$D:$D,B384))</f>
        <v>0</v>
      </c>
      <c r="O384" s="17">
        <f>IF(B384="",0,SUMIFS(Changements!$B:$B,Changements!$A:$A,A384,Changements!$C:$C,B384)+IF(L384&gt;M384,IFERROR(INDEX(Matchs!$F$4:$F$31,MATCH(A384,Matchs!$A$4:$A$31,0)),0),0))</f>
        <v>0</v>
      </c>
      <c r="P384" s="17">
        <f t="shared" si="28"/>
        <v>0</v>
      </c>
      <c r="Q384" s="17">
        <f t="shared" si="29"/>
        <v>0</v>
      </c>
    </row>
    <row r="385" spans="1:17" ht="15" customHeight="1" x14ac:dyDescent="0.25">
      <c r="A385" s="11">
        <f t="shared" si="25"/>
        <v>16</v>
      </c>
      <c r="B385" s="10"/>
      <c r="C385" s="10"/>
      <c r="D385" s="10"/>
      <c r="E385" s="10"/>
      <c r="F385" s="19" t="str">
        <f>IF(B385="","",IF(AND(E385="Oui",COUNTIFS(Changements!$A:$A,A385,Changements!$D:$D,B385)&gt;0),"⚠ Titulaire+entrée ?",IF(ABS(L385-M385)&gt;1,"⚠ vérifier","")))</f>
        <v/>
      </c>
      <c r="G385" s="11" t="str">
        <f>IF(B385="","",IFERROR(INDEX('Effectif Saison'!$D$4:$D$51,MATCH(B385,'Effectif Saison'!$E$4:$E$51,0)),""))</f>
        <v/>
      </c>
      <c r="H385" s="19" t="str">
        <f>IF(L385=0,"",IF(E385="Oui",0,IFERROR(_xlfn.MINIFS(Changements!$B:$B,Changements!$A:$A,A385,Changements!$D:$D,B385),"")))</f>
        <v/>
      </c>
      <c r="I385" s="19" t="str">
        <f>IF(M385=0,"",IFERROR(_xlfn.MAXIFS(Changements!$B:$B,Changements!$A:$A,A385,Changements!$C:$C,B385),""))</f>
        <v/>
      </c>
      <c r="J385" s="11" t="str">
        <f t="shared" si="26"/>
        <v/>
      </c>
      <c r="K385" s="17">
        <f t="shared" si="27"/>
        <v>0</v>
      </c>
      <c r="L385" s="17">
        <f>IF(B385="",0,COUNTIFS(Changements!$A:$A,A385,Changements!$D:$D,B385)+IF(E385="Oui",1,0))</f>
        <v>0</v>
      </c>
      <c r="M385" s="17">
        <f>IF(B385="",0,COUNTIFS(Changements!$A:$A,A385,Changements!$C:$C,B385))</f>
        <v>0</v>
      </c>
      <c r="N385" s="17">
        <f>IF(B385="",0,SUMIFS(Changements!$B:$B,Changements!$A:$A,A385,Changements!$D:$D,B385))</f>
        <v>0</v>
      </c>
      <c r="O385" s="17">
        <f>IF(B385="",0,SUMIFS(Changements!$B:$B,Changements!$A:$A,A385,Changements!$C:$C,B385)+IF(L385&gt;M385,IFERROR(INDEX(Matchs!$F$4:$F$31,MATCH(A385,Matchs!$A$4:$A$31,0)),0),0))</f>
        <v>0</v>
      </c>
      <c r="P385" s="17">
        <f t="shared" si="28"/>
        <v>0</v>
      </c>
      <c r="Q385" s="17">
        <f t="shared" si="29"/>
        <v>0</v>
      </c>
    </row>
    <row r="386" spans="1:17" ht="15" customHeight="1" x14ac:dyDescent="0.25">
      <c r="A386" s="11">
        <f t="shared" si="25"/>
        <v>16</v>
      </c>
      <c r="B386" s="10"/>
      <c r="C386" s="10"/>
      <c r="D386" s="10"/>
      <c r="E386" s="10"/>
      <c r="F386" s="19" t="str">
        <f>IF(B386="","",IF(AND(E386="Oui",COUNTIFS(Changements!$A:$A,A386,Changements!$D:$D,B386)&gt;0),"⚠ Titulaire+entrée ?",IF(ABS(L386-M386)&gt;1,"⚠ vérifier","")))</f>
        <v/>
      </c>
      <c r="G386" s="11" t="str">
        <f>IF(B386="","",IFERROR(INDEX('Effectif Saison'!$D$4:$D$51,MATCH(B386,'Effectif Saison'!$E$4:$E$51,0)),""))</f>
        <v/>
      </c>
      <c r="H386" s="19" t="str">
        <f>IF(L386=0,"",IF(E386="Oui",0,IFERROR(_xlfn.MINIFS(Changements!$B:$B,Changements!$A:$A,A386,Changements!$D:$D,B386),"")))</f>
        <v/>
      </c>
      <c r="I386" s="19" t="str">
        <f>IF(M386=0,"",IFERROR(_xlfn.MAXIFS(Changements!$B:$B,Changements!$A:$A,A386,Changements!$C:$C,B386),""))</f>
        <v/>
      </c>
      <c r="J386" s="11" t="str">
        <f t="shared" si="26"/>
        <v/>
      </c>
      <c r="K386" s="17">
        <f t="shared" si="27"/>
        <v>0</v>
      </c>
      <c r="L386" s="17">
        <f>IF(B386="",0,COUNTIFS(Changements!$A:$A,A386,Changements!$D:$D,B386)+IF(E386="Oui",1,0))</f>
        <v>0</v>
      </c>
      <c r="M386" s="17">
        <f>IF(B386="",0,COUNTIFS(Changements!$A:$A,A386,Changements!$C:$C,B386))</f>
        <v>0</v>
      </c>
      <c r="N386" s="17">
        <f>IF(B386="",0,SUMIFS(Changements!$B:$B,Changements!$A:$A,A386,Changements!$D:$D,B386))</f>
        <v>0</v>
      </c>
      <c r="O386" s="17">
        <f>IF(B386="",0,SUMIFS(Changements!$B:$B,Changements!$A:$A,A386,Changements!$C:$C,B386)+IF(L386&gt;M386,IFERROR(INDEX(Matchs!$F$4:$F$31,MATCH(A386,Matchs!$A$4:$A$31,0)),0),0))</f>
        <v>0</v>
      </c>
      <c r="P386" s="17">
        <f t="shared" si="28"/>
        <v>0</v>
      </c>
      <c r="Q386" s="17">
        <f t="shared" si="29"/>
        <v>0</v>
      </c>
    </row>
    <row r="387" spans="1:17" ht="15" customHeight="1" x14ac:dyDescent="0.25">
      <c r="A387" s="11">
        <f t="shared" si="25"/>
        <v>16</v>
      </c>
      <c r="B387" s="10"/>
      <c r="C387" s="10"/>
      <c r="D387" s="10"/>
      <c r="E387" s="10"/>
      <c r="F387" s="19" t="str">
        <f>IF(B387="","",IF(AND(E387="Oui",COUNTIFS(Changements!$A:$A,A387,Changements!$D:$D,B387)&gt;0),"⚠ Titulaire+entrée ?",IF(ABS(L387-M387)&gt;1,"⚠ vérifier","")))</f>
        <v/>
      </c>
      <c r="G387" s="11" t="str">
        <f>IF(B387="","",IFERROR(INDEX('Effectif Saison'!$D$4:$D$51,MATCH(B387,'Effectif Saison'!$E$4:$E$51,0)),""))</f>
        <v/>
      </c>
      <c r="H387" s="19" t="str">
        <f>IF(L387=0,"",IF(E387="Oui",0,IFERROR(_xlfn.MINIFS(Changements!$B:$B,Changements!$A:$A,A387,Changements!$D:$D,B387),"")))</f>
        <v/>
      </c>
      <c r="I387" s="19" t="str">
        <f>IF(M387=0,"",IFERROR(_xlfn.MAXIFS(Changements!$B:$B,Changements!$A:$A,A387,Changements!$C:$C,B387),""))</f>
        <v/>
      </c>
      <c r="J387" s="11" t="str">
        <f t="shared" si="26"/>
        <v/>
      </c>
      <c r="K387" s="17">
        <f t="shared" si="27"/>
        <v>0</v>
      </c>
      <c r="L387" s="17">
        <f>IF(B387="",0,COUNTIFS(Changements!$A:$A,A387,Changements!$D:$D,B387)+IF(E387="Oui",1,0))</f>
        <v>0</v>
      </c>
      <c r="M387" s="17">
        <f>IF(B387="",0,COUNTIFS(Changements!$A:$A,A387,Changements!$C:$C,B387))</f>
        <v>0</v>
      </c>
      <c r="N387" s="17">
        <f>IF(B387="",0,SUMIFS(Changements!$B:$B,Changements!$A:$A,A387,Changements!$D:$D,B387))</f>
        <v>0</v>
      </c>
      <c r="O387" s="17">
        <f>IF(B387="",0,SUMIFS(Changements!$B:$B,Changements!$A:$A,A387,Changements!$C:$C,B387)+IF(L387&gt;M387,IFERROR(INDEX(Matchs!$F$4:$F$31,MATCH(A387,Matchs!$A$4:$A$31,0)),0),0))</f>
        <v>0</v>
      </c>
      <c r="P387" s="17">
        <f t="shared" si="28"/>
        <v>0</v>
      </c>
      <c r="Q387" s="17">
        <f t="shared" si="29"/>
        <v>0</v>
      </c>
    </row>
    <row r="388" spans="1:17" ht="15" customHeight="1" x14ac:dyDescent="0.25">
      <c r="A388" s="11">
        <f t="shared" ref="A388:A451" si="30">INT((ROW()-4)/24)+1</f>
        <v>17</v>
      </c>
      <c r="B388" s="11" t="str">
        <f>INDEX('Effectif Saison'!$E$4:$E$22,1)</f>
        <v>Alan MICHON</v>
      </c>
      <c r="C388" s="10"/>
      <c r="D388" s="10"/>
      <c r="E388" s="10"/>
      <c r="F388" s="19" t="str">
        <f>IF(B388="","",IF(AND(E388="Oui",COUNTIFS(Changements!$A:$A,A388,Changements!$D:$D,B388)&gt;0),"⚠ Titulaire+entrée ?",IF(ABS(L388-M388)&gt;1,"⚠ vérifier","")))</f>
        <v/>
      </c>
      <c r="G388" s="11" t="str">
        <f>IF(B388="","",IFERROR(INDEX('Effectif Saison'!$D$4:$D$51,MATCH(B388,'Effectif Saison'!$E$4:$E$51,0)),""))</f>
        <v>Équipe 1</v>
      </c>
      <c r="H388" s="19" t="str">
        <f>IF(L388=0,"",IF(E388="Oui",0,IFERROR(_xlfn.MINIFS(Changements!$B:$B,Changements!$A:$A,A388,Changements!$D:$D,B388),"")))</f>
        <v/>
      </c>
      <c r="I388" s="19" t="str">
        <f>IF(M388=0,"",IFERROR(_xlfn.MAXIFS(Changements!$B:$B,Changements!$A:$A,A388,Changements!$C:$C,B388),""))</f>
        <v/>
      </c>
      <c r="J388" s="11" t="str">
        <f t="shared" ref="J388:J451" si="31">IF(OR(B388="",C388&lt;&gt;"Oui"),"",O388-N388)</f>
        <v/>
      </c>
      <c r="K388" s="17">
        <f t="shared" ref="K388:K451" si="32">IF(AND(B388&lt;&gt;"",ISNUMBER(J388)),1,0)</f>
        <v>0</v>
      </c>
      <c r="L388" s="17">
        <f>IF(B388="",0,COUNTIFS(Changements!$A:$A,A388,Changements!$D:$D,B388)+IF(E388="Oui",1,0))</f>
        <v>0</v>
      </c>
      <c r="M388" s="17">
        <f>IF(B388="",0,COUNTIFS(Changements!$A:$A,A388,Changements!$C:$C,B388))</f>
        <v>0</v>
      </c>
      <c r="N388" s="17">
        <f>IF(B388="",0,SUMIFS(Changements!$B:$B,Changements!$A:$A,A388,Changements!$D:$D,B388))</f>
        <v>0</v>
      </c>
      <c r="O388" s="17">
        <f>IF(B388="",0,SUMIFS(Changements!$B:$B,Changements!$A:$A,A388,Changements!$C:$C,B388)+IF(L388&gt;M388,IFERROR(INDEX(Matchs!$F$4:$F$31,MATCH(A388,Matchs!$A$4:$A$31,0)),0),0))</f>
        <v>0</v>
      </c>
      <c r="P388" s="17">
        <f t="shared" ref="P388:P451" si="33">IF(AND(B388&lt;&gt;"",C388="Oui"),1,0)</f>
        <v>0</v>
      </c>
      <c r="Q388" s="17">
        <f t="shared" ref="Q388:Q451" si="34">IF(AND(B388&lt;&gt;"",E388="Oui"),1,0)</f>
        <v>0</v>
      </c>
    </row>
    <row r="389" spans="1:17" ht="15" customHeight="1" x14ac:dyDescent="0.25">
      <c r="A389" s="11">
        <f t="shared" si="30"/>
        <v>17</v>
      </c>
      <c r="B389" s="11" t="str">
        <f>INDEX('Effectif Saison'!$E$4:$E$22,2)</f>
        <v>Jean BRUNTZ</v>
      </c>
      <c r="C389" s="10"/>
      <c r="D389" s="10"/>
      <c r="E389" s="10"/>
      <c r="F389" s="19" t="str">
        <f>IF(B389="","",IF(AND(E389="Oui",COUNTIFS(Changements!$A:$A,A389,Changements!$D:$D,B389)&gt;0),"⚠ Titulaire+entrée ?",IF(ABS(L389-M389)&gt;1,"⚠ vérifier","")))</f>
        <v/>
      </c>
      <c r="G389" s="11" t="str">
        <f>IF(B389="","",IFERROR(INDEX('Effectif Saison'!$D$4:$D$51,MATCH(B389,'Effectif Saison'!$E$4:$E$51,0)),""))</f>
        <v>Équipe 1</v>
      </c>
      <c r="H389" s="19" t="str">
        <f>IF(L389=0,"",IF(E389="Oui",0,IFERROR(_xlfn.MINIFS(Changements!$B:$B,Changements!$A:$A,A389,Changements!$D:$D,B389),"")))</f>
        <v/>
      </c>
      <c r="I389" s="19" t="str">
        <f>IF(M389=0,"",IFERROR(_xlfn.MAXIFS(Changements!$B:$B,Changements!$A:$A,A389,Changements!$C:$C,B389),""))</f>
        <v/>
      </c>
      <c r="J389" s="11" t="str">
        <f t="shared" si="31"/>
        <v/>
      </c>
      <c r="K389" s="17">
        <f t="shared" si="32"/>
        <v>0</v>
      </c>
      <c r="L389" s="17">
        <f>IF(B389="",0,COUNTIFS(Changements!$A:$A,A389,Changements!$D:$D,B389)+IF(E389="Oui",1,0))</f>
        <v>0</v>
      </c>
      <c r="M389" s="17">
        <f>IF(B389="",0,COUNTIFS(Changements!$A:$A,A389,Changements!$C:$C,B389))</f>
        <v>0</v>
      </c>
      <c r="N389" s="17">
        <f>IF(B389="",0,SUMIFS(Changements!$B:$B,Changements!$A:$A,A389,Changements!$D:$D,B389))</f>
        <v>0</v>
      </c>
      <c r="O389" s="17">
        <f>IF(B389="",0,SUMIFS(Changements!$B:$B,Changements!$A:$A,A389,Changements!$C:$C,B389)+IF(L389&gt;M389,IFERROR(INDEX(Matchs!$F$4:$F$31,MATCH(A389,Matchs!$A$4:$A$31,0)),0),0))</f>
        <v>0</v>
      </c>
      <c r="P389" s="17">
        <f t="shared" si="33"/>
        <v>0</v>
      </c>
      <c r="Q389" s="17">
        <f t="shared" si="34"/>
        <v>0</v>
      </c>
    </row>
    <row r="390" spans="1:17" ht="15" customHeight="1" x14ac:dyDescent="0.25">
      <c r="A390" s="11">
        <f t="shared" si="30"/>
        <v>17</v>
      </c>
      <c r="B390" s="11" t="str">
        <f>INDEX('Effectif Saison'!$E$4:$E$22,3)</f>
        <v>Marouane SBK</v>
      </c>
      <c r="C390" s="10"/>
      <c r="D390" s="10"/>
      <c r="E390" s="10"/>
      <c r="F390" s="19" t="str">
        <f>IF(B390="","",IF(AND(E390="Oui",COUNTIFS(Changements!$A:$A,A390,Changements!$D:$D,B390)&gt;0),"⚠ Titulaire+entrée ?",IF(ABS(L390-M390)&gt;1,"⚠ vérifier","")))</f>
        <v/>
      </c>
      <c r="G390" s="11" t="str">
        <f>IF(B390="","",IFERROR(INDEX('Effectif Saison'!$D$4:$D$51,MATCH(B390,'Effectif Saison'!$E$4:$E$51,0)),""))</f>
        <v>Équipe 1</v>
      </c>
      <c r="H390" s="19" t="str">
        <f>IF(L390=0,"",IF(E390="Oui",0,IFERROR(_xlfn.MINIFS(Changements!$B:$B,Changements!$A:$A,A390,Changements!$D:$D,B390),"")))</f>
        <v/>
      </c>
      <c r="I390" s="19" t="str">
        <f>IF(M390=0,"",IFERROR(_xlfn.MAXIFS(Changements!$B:$B,Changements!$A:$A,A390,Changements!$C:$C,B390),""))</f>
        <v/>
      </c>
      <c r="J390" s="11" t="str">
        <f t="shared" si="31"/>
        <v/>
      </c>
      <c r="K390" s="17">
        <f t="shared" si="32"/>
        <v>0</v>
      </c>
      <c r="L390" s="17">
        <f>IF(B390="",0,COUNTIFS(Changements!$A:$A,A390,Changements!$D:$D,B390)+IF(E390="Oui",1,0))</f>
        <v>0</v>
      </c>
      <c r="M390" s="17">
        <f>IF(B390="",0,COUNTIFS(Changements!$A:$A,A390,Changements!$C:$C,B390))</f>
        <v>0</v>
      </c>
      <c r="N390" s="17">
        <f>IF(B390="",0,SUMIFS(Changements!$B:$B,Changements!$A:$A,A390,Changements!$D:$D,B390))</f>
        <v>0</v>
      </c>
      <c r="O390" s="17">
        <f>IF(B390="",0,SUMIFS(Changements!$B:$B,Changements!$A:$A,A390,Changements!$C:$C,B390)+IF(L390&gt;M390,IFERROR(INDEX(Matchs!$F$4:$F$31,MATCH(A390,Matchs!$A$4:$A$31,0)),0),0))</f>
        <v>0</v>
      </c>
      <c r="P390" s="17">
        <f t="shared" si="33"/>
        <v>0</v>
      </c>
      <c r="Q390" s="17">
        <f t="shared" si="34"/>
        <v>0</v>
      </c>
    </row>
    <row r="391" spans="1:17" ht="15" customHeight="1" x14ac:dyDescent="0.25">
      <c r="A391" s="11">
        <f t="shared" si="30"/>
        <v>17</v>
      </c>
      <c r="B391" s="11" t="str">
        <f>INDEX('Effectif Saison'!$E$4:$E$22,4)</f>
        <v>Noé BIHL</v>
      </c>
      <c r="C391" s="10"/>
      <c r="D391" s="10"/>
      <c r="E391" s="10"/>
      <c r="F391" s="19" t="str">
        <f>IF(B391="","",IF(AND(E391="Oui",COUNTIFS(Changements!$A:$A,A391,Changements!$D:$D,B391)&gt;0),"⚠ Titulaire+entrée ?",IF(ABS(L391-M391)&gt;1,"⚠ vérifier","")))</f>
        <v/>
      </c>
      <c r="G391" s="11" t="str">
        <f>IF(B391="","",IFERROR(INDEX('Effectif Saison'!$D$4:$D$51,MATCH(B391,'Effectif Saison'!$E$4:$E$51,0)),""))</f>
        <v>Équipe 1</v>
      </c>
      <c r="H391" s="19" t="str">
        <f>IF(L391=0,"",IF(E391="Oui",0,IFERROR(_xlfn.MINIFS(Changements!$B:$B,Changements!$A:$A,A391,Changements!$D:$D,B391),"")))</f>
        <v/>
      </c>
      <c r="I391" s="19" t="str">
        <f>IF(M391=0,"",IFERROR(_xlfn.MAXIFS(Changements!$B:$B,Changements!$A:$A,A391,Changements!$C:$C,B391),""))</f>
        <v/>
      </c>
      <c r="J391" s="11" t="str">
        <f t="shared" si="31"/>
        <v/>
      </c>
      <c r="K391" s="17">
        <f t="shared" si="32"/>
        <v>0</v>
      </c>
      <c r="L391" s="17">
        <f>IF(B391="",0,COUNTIFS(Changements!$A:$A,A391,Changements!$D:$D,B391)+IF(E391="Oui",1,0))</f>
        <v>0</v>
      </c>
      <c r="M391" s="17">
        <f>IF(B391="",0,COUNTIFS(Changements!$A:$A,A391,Changements!$C:$C,B391))</f>
        <v>0</v>
      </c>
      <c r="N391" s="17">
        <f>IF(B391="",0,SUMIFS(Changements!$B:$B,Changements!$A:$A,A391,Changements!$D:$D,B391))</f>
        <v>0</v>
      </c>
      <c r="O391" s="17">
        <f>IF(B391="",0,SUMIFS(Changements!$B:$B,Changements!$A:$A,A391,Changements!$C:$C,B391)+IF(L391&gt;M391,IFERROR(INDEX(Matchs!$F$4:$F$31,MATCH(A391,Matchs!$A$4:$A$31,0)),0),0))</f>
        <v>0</v>
      </c>
      <c r="P391" s="17">
        <f t="shared" si="33"/>
        <v>0</v>
      </c>
      <c r="Q391" s="17">
        <f t="shared" si="34"/>
        <v>0</v>
      </c>
    </row>
    <row r="392" spans="1:17" ht="15" customHeight="1" x14ac:dyDescent="0.25">
      <c r="A392" s="11">
        <f t="shared" si="30"/>
        <v>17</v>
      </c>
      <c r="B392" s="11" t="str">
        <f>INDEX('Effectif Saison'!$E$4:$E$22,5)</f>
        <v>Luca COLAIANNI</v>
      </c>
      <c r="C392" s="10"/>
      <c r="D392" s="10"/>
      <c r="E392" s="10"/>
      <c r="F392" s="19" t="str">
        <f>IF(B392="","",IF(AND(E392="Oui",COUNTIFS(Changements!$A:$A,A392,Changements!$D:$D,B392)&gt;0),"⚠ Titulaire+entrée ?",IF(ABS(L392-M392)&gt;1,"⚠ vérifier","")))</f>
        <v/>
      </c>
      <c r="G392" s="11" t="str">
        <f>IF(B392="","",IFERROR(INDEX('Effectif Saison'!$D$4:$D$51,MATCH(B392,'Effectif Saison'!$E$4:$E$51,0)),""))</f>
        <v>Équipe 1</v>
      </c>
      <c r="H392" s="19" t="str">
        <f>IF(L392=0,"",IF(E392="Oui",0,IFERROR(_xlfn.MINIFS(Changements!$B:$B,Changements!$A:$A,A392,Changements!$D:$D,B392),"")))</f>
        <v/>
      </c>
      <c r="I392" s="19" t="str">
        <f>IF(M392=0,"",IFERROR(_xlfn.MAXIFS(Changements!$B:$B,Changements!$A:$A,A392,Changements!$C:$C,B392),""))</f>
        <v/>
      </c>
      <c r="J392" s="11" t="str">
        <f t="shared" si="31"/>
        <v/>
      </c>
      <c r="K392" s="17">
        <f t="shared" si="32"/>
        <v>0</v>
      </c>
      <c r="L392" s="17">
        <f>IF(B392="",0,COUNTIFS(Changements!$A:$A,A392,Changements!$D:$D,B392)+IF(E392="Oui",1,0))</f>
        <v>0</v>
      </c>
      <c r="M392" s="17">
        <f>IF(B392="",0,COUNTIFS(Changements!$A:$A,A392,Changements!$C:$C,B392))</f>
        <v>0</v>
      </c>
      <c r="N392" s="17">
        <f>IF(B392="",0,SUMIFS(Changements!$B:$B,Changements!$A:$A,A392,Changements!$D:$D,B392))</f>
        <v>0</v>
      </c>
      <c r="O392" s="17">
        <f>IF(B392="",0,SUMIFS(Changements!$B:$B,Changements!$A:$A,A392,Changements!$C:$C,B392)+IF(L392&gt;M392,IFERROR(INDEX(Matchs!$F$4:$F$31,MATCH(A392,Matchs!$A$4:$A$31,0)),0),0))</f>
        <v>0</v>
      </c>
      <c r="P392" s="17">
        <f t="shared" si="33"/>
        <v>0</v>
      </c>
      <c r="Q392" s="17">
        <f t="shared" si="34"/>
        <v>0</v>
      </c>
    </row>
    <row r="393" spans="1:17" ht="15" customHeight="1" x14ac:dyDescent="0.25">
      <c r="A393" s="11">
        <f t="shared" si="30"/>
        <v>17</v>
      </c>
      <c r="B393" s="11" t="str">
        <f>INDEX('Effectif Saison'!$E$4:$E$22,6)</f>
        <v>Atilla ER</v>
      </c>
      <c r="C393" s="10"/>
      <c r="D393" s="10"/>
      <c r="E393" s="10"/>
      <c r="F393" s="19" t="str">
        <f>IF(B393="","",IF(AND(E393="Oui",COUNTIFS(Changements!$A:$A,A393,Changements!$D:$D,B393)&gt;0),"⚠ Titulaire+entrée ?",IF(ABS(L393-M393)&gt;1,"⚠ vérifier","")))</f>
        <v/>
      </c>
      <c r="G393" s="11" t="str">
        <f>IF(B393="","",IFERROR(INDEX('Effectif Saison'!$D$4:$D$51,MATCH(B393,'Effectif Saison'!$E$4:$E$51,0)),""))</f>
        <v>Équipe 1</v>
      </c>
      <c r="H393" s="19" t="str">
        <f>IF(L393=0,"",IF(E393="Oui",0,IFERROR(_xlfn.MINIFS(Changements!$B:$B,Changements!$A:$A,A393,Changements!$D:$D,B393),"")))</f>
        <v/>
      </c>
      <c r="I393" s="19" t="str">
        <f>IF(M393=0,"",IFERROR(_xlfn.MAXIFS(Changements!$B:$B,Changements!$A:$A,A393,Changements!$C:$C,B393),""))</f>
        <v/>
      </c>
      <c r="J393" s="11" t="str">
        <f t="shared" si="31"/>
        <v/>
      </c>
      <c r="K393" s="17">
        <f t="shared" si="32"/>
        <v>0</v>
      </c>
      <c r="L393" s="17">
        <f>IF(B393="",0,COUNTIFS(Changements!$A:$A,A393,Changements!$D:$D,B393)+IF(E393="Oui",1,0))</f>
        <v>0</v>
      </c>
      <c r="M393" s="17">
        <f>IF(B393="",0,COUNTIFS(Changements!$A:$A,A393,Changements!$C:$C,B393))</f>
        <v>0</v>
      </c>
      <c r="N393" s="17">
        <f>IF(B393="",0,SUMIFS(Changements!$B:$B,Changements!$A:$A,A393,Changements!$D:$D,B393))</f>
        <v>0</v>
      </c>
      <c r="O393" s="17">
        <f>IF(B393="",0,SUMIFS(Changements!$B:$B,Changements!$A:$A,A393,Changements!$C:$C,B393)+IF(L393&gt;M393,IFERROR(INDEX(Matchs!$F$4:$F$31,MATCH(A393,Matchs!$A$4:$A$31,0)),0),0))</f>
        <v>0</v>
      </c>
      <c r="P393" s="17">
        <f t="shared" si="33"/>
        <v>0</v>
      </c>
      <c r="Q393" s="17">
        <f t="shared" si="34"/>
        <v>0</v>
      </c>
    </row>
    <row r="394" spans="1:17" ht="15" customHeight="1" x14ac:dyDescent="0.25">
      <c r="A394" s="11">
        <f t="shared" si="30"/>
        <v>17</v>
      </c>
      <c r="B394" s="11" t="str">
        <f>INDEX('Effectif Saison'!$E$4:$E$22,7)</f>
        <v>Lucas BUHR</v>
      </c>
      <c r="C394" s="10"/>
      <c r="D394" s="10"/>
      <c r="E394" s="10"/>
      <c r="F394" s="19" t="str">
        <f>IF(B394="","",IF(AND(E394="Oui",COUNTIFS(Changements!$A:$A,A394,Changements!$D:$D,B394)&gt;0),"⚠ Titulaire+entrée ?",IF(ABS(L394-M394)&gt;1,"⚠ vérifier","")))</f>
        <v/>
      </c>
      <c r="G394" s="11" t="str">
        <f>IF(B394="","",IFERROR(INDEX('Effectif Saison'!$D$4:$D$51,MATCH(B394,'Effectif Saison'!$E$4:$E$51,0)),""))</f>
        <v>Équipe 1</v>
      </c>
      <c r="H394" s="19" t="str">
        <f>IF(L394=0,"",IF(E394="Oui",0,IFERROR(_xlfn.MINIFS(Changements!$B:$B,Changements!$A:$A,A394,Changements!$D:$D,B394),"")))</f>
        <v/>
      </c>
      <c r="I394" s="19" t="str">
        <f>IF(M394=0,"",IFERROR(_xlfn.MAXIFS(Changements!$B:$B,Changements!$A:$A,A394,Changements!$C:$C,B394),""))</f>
        <v/>
      </c>
      <c r="J394" s="11" t="str">
        <f t="shared" si="31"/>
        <v/>
      </c>
      <c r="K394" s="17">
        <f t="shared" si="32"/>
        <v>0</v>
      </c>
      <c r="L394" s="17">
        <f>IF(B394="",0,COUNTIFS(Changements!$A:$A,A394,Changements!$D:$D,B394)+IF(E394="Oui",1,0))</f>
        <v>0</v>
      </c>
      <c r="M394" s="17">
        <f>IF(B394="",0,COUNTIFS(Changements!$A:$A,A394,Changements!$C:$C,B394))</f>
        <v>0</v>
      </c>
      <c r="N394" s="17">
        <f>IF(B394="",0,SUMIFS(Changements!$B:$B,Changements!$A:$A,A394,Changements!$D:$D,B394))</f>
        <v>0</v>
      </c>
      <c r="O394" s="17">
        <f>IF(B394="",0,SUMIFS(Changements!$B:$B,Changements!$A:$A,A394,Changements!$C:$C,B394)+IF(L394&gt;M394,IFERROR(INDEX(Matchs!$F$4:$F$31,MATCH(A394,Matchs!$A$4:$A$31,0)),0),0))</f>
        <v>0</v>
      </c>
      <c r="P394" s="17">
        <f t="shared" si="33"/>
        <v>0</v>
      </c>
      <c r="Q394" s="17">
        <f t="shared" si="34"/>
        <v>0</v>
      </c>
    </row>
    <row r="395" spans="1:17" ht="15" customHeight="1" x14ac:dyDescent="0.25">
      <c r="A395" s="11">
        <f t="shared" si="30"/>
        <v>17</v>
      </c>
      <c r="B395" s="11" t="str">
        <f>INDEX('Effectif Saison'!$E$4:$E$22,8)</f>
        <v>Yanis HOUX</v>
      </c>
      <c r="C395" s="10"/>
      <c r="D395" s="10"/>
      <c r="E395" s="10"/>
      <c r="F395" s="19" t="str">
        <f>IF(B395="","",IF(AND(E395="Oui",COUNTIFS(Changements!$A:$A,A395,Changements!$D:$D,B395)&gt;0),"⚠ Titulaire+entrée ?",IF(ABS(L395-M395)&gt;1,"⚠ vérifier","")))</f>
        <v/>
      </c>
      <c r="G395" s="11" t="str">
        <f>IF(B395="","",IFERROR(INDEX('Effectif Saison'!$D$4:$D$51,MATCH(B395,'Effectif Saison'!$E$4:$E$51,0)),""))</f>
        <v>Équipe 1</v>
      </c>
      <c r="H395" s="19" t="str">
        <f>IF(L395=0,"",IF(E395="Oui",0,IFERROR(_xlfn.MINIFS(Changements!$B:$B,Changements!$A:$A,A395,Changements!$D:$D,B395),"")))</f>
        <v/>
      </c>
      <c r="I395" s="19" t="str">
        <f>IF(M395=0,"",IFERROR(_xlfn.MAXIFS(Changements!$B:$B,Changements!$A:$A,A395,Changements!$C:$C,B395),""))</f>
        <v/>
      </c>
      <c r="J395" s="11" t="str">
        <f t="shared" si="31"/>
        <v/>
      </c>
      <c r="K395" s="17">
        <f t="shared" si="32"/>
        <v>0</v>
      </c>
      <c r="L395" s="17">
        <f>IF(B395="",0,COUNTIFS(Changements!$A:$A,A395,Changements!$D:$D,B395)+IF(E395="Oui",1,0))</f>
        <v>0</v>
      </c>
      <c r="M395" s="17">
        <f>IF(B395="",0,COUNTIFS(Changements!$A:$A,A395,Changements!$C:$C,B395))</f>
        <v>0</v>
      </c>
      <c r="N395" s="17">
        <f>IF(B395="",0,SUMIFS(Changements!$B:$B,Changements!$A:$A,A395,Changements!$D:$D,B395))</f>
        <v>0</v>
      </c>
      <c r="O395" s="17">
        <f>IF(B395="",0,SUMIFS(Changements!$B:$B,Changements!$A:$A,A395,Changements!$C:$C,B395)+IF(L395&gt;M395,IFERROR(INDEX(Matchs!$F$4:$F$31,MATCH(A395,Matchs!$A$4:$A$31,0)),0),0))</f>
        <v>0</v>
      </c>
      <c r="P395" s="17">
        <f t="shared" si="33"/>
        <v>0</v>
      </c>
      <c r="Q395" s="17">
        <f t="shared" si="34"/>
        <v>0</v>
      </c>
    </row>
    <row r="396" spans="1:17" ht="15" customHeight="1" x14ac:dyDescent="0.25">
      <c r="A396" s="11">
        <f t="shared" si="30"/>
        <v>17</v>
      </c>
      <c r="B396" s="11" t="str">
        <f>INDEX('Effectif Saison'!$E$4:$E$22,9)</f>
        <v>Tino COLAIANNI</v>
      </c>
      <c r="C396" s="10"/>
      <c r="D396" s="10"/>
      <c r="E396" s="10"/>
      <c r="F396" s="19" t="str">
        <f>IF(B396="","",IF(AND(E396="Oui",COUNTIFS(Changements!$A:$A,A396,Changements!$D:$D,B396)&gt;0),"⚠ Titulaire+entrée ?",IF(ABS(L396-M396)&gt;1,"⚠ vérifier","")))</f>
        <v/>
      </c>
      <c r="G396" s="11" t="str">
        <f>IF(B396="","",IFERROR(INDEX('Effectif Saison'!$D$4:$D$51,MATCH(B396,'Effectif Saison'!$E$4:$E$51,0)),""))</f>
        <v>Équipe 1</v>
      </c>
      <c r="H396" s="19" t="str">
        <f>IF(L396=0,"",IF(E396="Oui",0,IFERROR(_xlfn.MINIFS(Changements!$B:$B,Changements!$A:$A,A396,Changements!$D:$D,B396),"")))</f>
        <v/>
      </c>
      <c r="I396" s="19" t="str">
        <f>IF(M396=0,"",IFERROR(_xlfn.MAXIFS(Changements!$B:$B,Changements!$A:$A,A396,Changements!$C:$C,B396),""))</f>
        <v/>
      </c>
      <c r="J396" s="11" t="str">
        <f t="shared" si="31"/>
        <v/>
      </c>
      <c r="K396" s="17">
        <f t="shared" si="32"/>
        <v>0</v>
      </c>
      <c r="L396" s="17">
        <f>IF(B396="",0,COUNTIFS(Changements!$A:$A,A396,Changements!$D:$D,B396)+IF(E396="Oui",1,0))</f>
        <v>0</v>
      </c>
      <c r="M396" s="17">
        <f>IF(B396="",0,COUNTIFS(Changements!$A:$A,A396,Changements!$C:$C,B396))</f>
        <v>0</v>
      </c>
      <c r="N396" s="17">
        <f>IF(B396="",0,SUMIFS(Changements!$B:$B,Changements!$A:$A,A396,Changements!$D:$D,B396))</f>
        <v>0</v>
      </c>
      <c r="O396" s="17">
        <f>IF(B396="",0,SUMIFS(Changements!$B:$B,Changements!$A:$A,A396,Changements!$C:$C,B396)+IF(L396&gt;M396,IFERROR(INDEX(Matchs!$F$4:$F$31,MATCH(A396,Matchs!$A$4:$A$31,0)),0),0))</f>
        <v>0</v>
      </c>
      <c r="P396" s="17">
        <f t="shared" si="33"/>
        <v>0</v>
      </c>
      <c r="Q396" s="17">
        <f t="shared" si="34"/>
        <v>0</v>
      </c>
    </row>
    <row r="397" spans="1:17" ht="15" customHeight="1" x14ac:dyDescent="0.25">
      <c r="A397" s="11">
        <f t="shared" si="30"/>
        <v>17</v>
      </c>
      <c r="B397" s="11" t="str">
        <f>INDEX('Effectif Saison'!$E$4:$E$22,10)</f>
        <v>Achille KELLERKNECHT</v>
      </c>
      <c r="C397" s="10"/>
      <c r="D397" s="10"/>
      <c r="E397" s="10"/>
      <c r="F397" s="19" t="str">
        <f>IF(B397="","",IF(AND(E397="Oui",COUNTIFS(Changements!$A:$A,A397,Changements!$D:$D,B397)&gt;0),"⚠ Titulaire+entrée ?",IF(ABS(L397-M397)&gt;1,"⚠ vérifier","")))</f>
        <v/>
      </c>
      <c r="G397" s="11" t="str">
        <f>IF(B397="","",IFERROR(INDEX('Effectif Saison'!$D$4:$D$51,MATCH(B397,'Effectif Saison'!$E$4:$E$51,0)),""))</f>
        <v>Équipe 1</v>
      </c>
      <c r="H397" s="19" t="str">
        <f>IF(L397=0,"",IF(E397="Oui",0,IFERROR(_xlfn.MINIFS(Changements!$B:$B,Changements!$A:$A,A397,Changements!$D:$D,B397),"")))</f>
        <v/>
      </c>
      <c r="I397" s="19" t="str">
        <f>IF(M397=0,"",IFERROR(_xlfn.MAXIFS(Changements!$B:$B,Changements!$A:$A,A397,Changements!$C:$C,B397),""))</f>
        <v/>
      </c>
      <c r="J397" s="11" t="str">
        <f t="shared" si="31"/>
        <v/>
      </c>
      <c r="K397" s="17">
        <f t="shared" si="32"/>
        <v>0</v>
      </c>
      <c r="L397" s="17">
        <f>IF(B397="",0,COUNTIFS(Changements!$A:$A,A397,Changements!$D:$D,B397)+IF(E397="Oui",1,0))</f>
        <v>0</v>
      </c>
      <c r="M397" s="17">
        <f>IF(B397="",0,COUNTIFS(Changements!$A:$A,A397,Changements!$C:$C,B397))</f>
        <v>0</v>
      </c>
      <c r="N397" s="17">
        <f>IF(B397="",0,SUMIFS(Changements!$B:$B,Changements!$A:$A,A397,Changements!$D:$D,B397))</f>
        <v>0</v>
      </c>
      <c r="O397" s="17">
        <f>IF(B397="",0,SUMIFS(Changements!$B:$B,Changements!$A:$A,A397,Changements!$C:$C,B397)+IF(L397&gt;M397,IFERROR(INDEX(Matchs!$F$4:$F$31,MATCH(A397,Matchs!$A$4:$A$31,0)),0),0))</f>
        <v>0</v>
      </c>
      <c r="P397" s="17">
        <f t="shared" si="33"/>
        <v>0</v>
      </c>
      <c r="Q397" s="17">
        <f t="shared" si="34"/>
        <v>0</v>
      </c>
    </row>
    <row r="398" spans="1:17" ht="15" customHeight="1" x14ac:dyDescent="0.25">
      <c r="A398" s="11">
        <f t="shared" si="30"/>
        <v>17</v>
      </c>
      <c r="B398" s="11" t="str">
        <f>INDEX('Effectif Saison'!$E$4:$E$22,11)</f>
        <v>Charly LEPERT</v>
      </c>
      <c r="C398" s="10"/>
      <c r="D398" s="10"/>
      <c r="E398" s="10"/>
      <c r="F398" s="19" t="str">
        <f>IF(B398="","",IF(AND(E398="Oui",COUNTIFS(Changements!$A:$A,A398,Changements!$D:$D,B398)&gt;0),"⚠ Titulaire+entrée ?",IF(ABS(L398-M398)&gt;1,"⚠ vérifier","")))</f>
        <v/>
      </c>
      <c r="G398" s="11" t="str">
        <f>IF(B398="","",IFERROR(INDEX('Effectif Saison'!$D$4:$D$51,MATCH(B398,'Effectif Saison'!$E$4:$E$51,0)),""))</f>
        <v>Équipe 1</v>
      </c>
      <c r="H398" s="19" t="str">
        <f>IF(L398=0,"",IF(E398="Oui",0,IFERROR(_xlfn.MINIFS(Changements!$B:$B,Changements!$A:$A,A398,Changements!$D:$D,B398),"")))</f>
        <v/>
      </c>
      <c r="I398" s="19" t="str">
        <f>IF(M398=0,"",IFERROR(_xlfn.MAXIFS(Changements!$B:$B,Changements!$A:$A,A398,Changements!$C:$C,B398),""))</f>
        <v/>
      </c>
      <c r="J398" s="11" t="str">
        <f t="shared" si="31"/>
        <v/>
      </c>
      <c r="K398" s="17">
        <f t="shared" si="32"/>
        <v>0</v>
      </c>
      <c r="L398" s="17">
        <f>IF(B398="",0,COUNTIFS(Changements!$A:$A,A398,Changements!$D:$D,B398)+IF(E398="Oui",1,0))</f>
        <v>0</v>
      </c>
      <c r="M398" s="17">
        <f>IF(B398="",0,COUNTIFS(Changements!$A:$A,A398,Changements!$C:$C,B398))</f>
        <v>0</v>
      </c>
      <c r="N398" s="17">
        <f>IF(B398="",0,SUMIFS(Changements!$B:$B,Changements!$A:$A,A398,Changements!$D:$D,B398))</f>
        <v>0</v>
      </c>
      <c r="O398" s="17">
        <f>IF(B398="",0,SUMIFS(Changements!$B:$B,Changements!$A:$A,A398,Changements!$C:$C,B398)+IF(L398&gt;M398,IFERROR(INDEX(Matchs!$F$4:$F$31,MATCH(A398,Matchs!$A$4:$A$31,0)),0),0))</f>
        <v>0</v>
      </c>
      <c r="P398" s="17">
        <f t="shared" si="33"/>
        <v>0</v>
      </c>
      <c r="Q398" s="17">
        <f t="shared" si="34"/>
        <v>0</v>
      </c>
    </row>
    <row r="399" spans="1:17" ht="15" customHeight="1" x14ac:dyDescent="0.25">
      <c r="A399" s="11">
        <f t="shared" si="30"/>
        <v>17</v>
      </c>
      <c r="B399" s="11" t="str">
        <f>INDEX('Effectif Saison'!$E$4:$E$22,12)</f>
        <v>Basile STANGRET</v>
      </c>
      <c r="C399" s="10"/>
      <c r="D399" s="10"/>
      <c r="E399" s="10"/>
      <c r="F399" s="19" t="str">
        <f>IF(B399="","",IF(AND(E399="Oui",COUNTIFS(Changements!$A:$A,A399,Changements!$D:$D,B399)&gt;0),"⚠ Titulaire+entrée ?",IF(ABS(L399-M399)&gt;1,"⚠ vérifier","")))</f>
        <v/>
      </c>
      <c r="G399" s="11" t="str">
        <f>IF(B399="","",IFERROR(INDEX('Effectif Saison'!$D$4:$D$51,MATCH(B399,'Effectif Saison'!$E$4:$E$51,0)),""))</f>
        <v>Équipe 1</v>
      </c>
      <c r="H399" s="19" t="str">
        <f>IF(L399=0,"",IF(E399="Oui",0,IFERROR(_xlfn.MINIFS(Changements!$B:$B,Changements!$A:$A,A399,Changements!$D:$D,B399),"")))</f>
        <v/>
      </c>
      <c r="I399" s="19" t="str">
        <f>IF(M399=0,"",IFERROR(_xlfn.MAXIFS(Changements!$B:$B,Changements!$A:$A,A399,Changements!$C:$C,B399),""))</f>
        <v/>
      </c>
      <c r="J399" s="11" t="str">
        <f t="shared" si="31"/>
        <v/>
      </c>
      <c r="K399" s="17">
        <f t="shared" si="32"/>
        <v>0</v>
      </c>
      <c r="L399" s="17">
        <f>IF(B399="",0,COUNTIFS(Changements!$A:$A,A399,Changements!$D:$D,B399)+IF(E399="Oui",1,0))</f>
        <v>0</v>
      </c>
      <c r="M399" s="17">
        <f>IF(B399="",0,COUNTIFS(Changements!$A:$A,A399,Changements!$C:$C,B399))</f>
        <v>0</v>
      </c>
      <c r="N399" s="17">
        <f>IF(B399="",0,SUMIFS(Changements!$B:$B,Changements!$A:$A,A399,Changements!$D:$D,B399))</f>
        <v>0</v>
      </c>
      <c r="O399" s="17">
        <f>IF(B399="",0,SUMIFS(Changements!$B:$B,Changements!$A:$A,A399,Changements!$C:$C,B399)+IF(L399&gt;M399,IFERROR(INDEX(Matchs!$F$4:$F$31,MATCH(A399,Matchs!$A$4:$A$31,0)),0),0))</f>
        <v>0</v>
      </c>
      <c r="P399" s="17">
        <f t="shared" si="33"/>
        <v>0</v>
      </c>
      <c r="Q399" s="17">
        <f t="shared" si="34"/>
        <v>0</v>
      </c>
    </row>
    <row r="400" spans="1:17" ht="15" customHeight="1" x14ac:dyDescent="0.25">
      <c r="A400" s="11">
        <f t="shared" si="30"/>
        <v>17</v>
      </c>
      <c r="B400" s="11" t="str">
        <f>INDEX('Effectif Saison'!$E$4:$E$22,13)</f>
        <v>Maxence KELLER</v>
      </c>
      <c r="C400" s="10"/>
      <c r="D400" s="10"/>
      <c r="E400" s="10"/>
      <c r="F400" s="19" t="str">
        <f>IF(B400="","",IF(AND(E400="Oui",COUNTIFS(Changements!$A:$A,A400,Changements!$D:$D,B400)&gt;0),"⚠ Titulaire+entrée ?",IF(ABS(L400-M400)&gt;1,"⚠ vérifier","")))</f>
        <v/>
      </c>
      <c r="G400" s="11" t="str">
        <f>IF(B400="","",IFERROR(INDEX('Effectif Saison'!$D$4:$D$51,MATCH(B400,'Effectif Saison'!$E$4:$E$51,0)),""))</f>
        <v>Équipe 1</v>
      </c>
      <c r="H400" s="19" t="str">
        <f>IF(L400=0,"",IF(E400="Oui",0,IFERROR(_xlfn.MINIFS(Changements!$B:$B,Changements!$A:$A,A400,Changements!$D:$D,B400),"")))</f>
        <v/>
      </c>
      <c r="I400" s="19" t="str">
        <f>IF(M400=0,"",IFERROR(_xlfn.MAXIFS(Changements!$B:$B,Changements!$A:$A,A400,Changements!$C:$C,B400),""))</f>
        <v/>
      </c>
      <c r="J400" s="11" t="str">
        <f t="shared" si="31"/>
        <v/>
      </c>
      <c r="K400" s="17">
        <f t="shared" si="32"/>
        <v>0</v>
      </c>
      <c r="L400" s="17">
        <f>IF(B400="",0,COUNTIFS(Changements!$A:$A,A400,Changements!$D:$D,B400)+IF(E400="Oui",1,0))</f>
        <v>0</v>
      </c>
      <c r="M400" s="17">
        <f>IF(B400="",0,COUNTIFS(Changements!$A:$A,A400,Changements!$C:$C,B400))</f>
        <v>0</v>
      </c>
      <c r="N400" s="17">
        <f>IF(B400="",0,SUMIFS(Changements!$B:$B,Changements!$A:$A,A400,Changements!$D:$D,B400))</f>
        <v>0</v>
      </c>
      <c r="O400" s="17">
        <f>IF(B400="",0,SUMIFS(Changements!$B:$B,Changements!$A:$A,A400,Changements!$C:$C,B400)+IF(L400&gt;M400,IFERROR(INDEX(Matchs!$F$4:$F$31,MATCH(A400,Matchs!$A$4:$A$31,0)),0),0))</f>
        <v>0</v>
      </c>
      <c r="P400" s="17">
        <f t="shared" si="33"/>
        <v>0</v>
      </c>
      <c r="Q400" s="17">
        <f t="shared" si="34"/>
        <v>0</v>
      </c>
    </row>
    <row r="401" spans="1:17" ht="15" customHeight="1" x14ac:dyDescent="0.25">
      <c r="A401" s="11">
        <f t="shared" si="30"/>
        <v>17</v>
      </c>
      <c r="B401" s="11" t="str">
        <f>INDEX('Effectif Saison'!$E$4:$E$22,14)</f>
        <v>Evan SCHMITT</v>
      </c>
      <c r="C401" s="10"/>
      <c r="D401" s="10"/>
      <c r="E401" s="10"/>
      <c r="F401" s="19" t="str">
        <f>IF(B401="","",IF(AND(E401="Oui",COUNTIFS(Changements!$A:$A,A401,Changements!$D:$D,B401)&gt;0),"⚠ Titulaire+entrée ?",IF(ABS(L401-M401)&gt;1,"⚠ vérifier","")))</f>
        <v/>
      </c>
      <c r="G401" s="11" t="str">
        <f>IF(B401="","",IFERROR(INDEX('Effectif Saison'!$D$4:$D$51,MATCH(B401,'Effectif Saison'!$E$4:$E$51,0)),""))</f>
        <v>Équipe 1</v>
      </c>
      <c r="H401" s="19" t="str">
        <f>IF(L401=0,"",IF(E401="Oui",0,IFERROR(_xlfn.MINIFS(Changements!$B:$B,Changements!$A:$A,A401,Changements!$D:$D,B401),"")))</f>
        <v/>
      </c>
      <c r="I401" s="19" t="str">
        <f>IF(M401=0,"",IFERROR(_xlfn.MAXIFS(Changements!$B:$B,Changements!$A:$A,A401,Changements!$C:$C,B401),""))</f>
        <v/>
      </c>
      <c r="J401" s="11" t="str">
        <f t="shared" si="31"/>
        <v/>
      </c>
      <c r="K401" s="17">
        <f t="shared" si="32"/>
        <v>0</v>
      </c>
      <c r="L401" s="17">
        <f>IF(B401="",0,COUNTIFS(Changements!$A:$A,A401,Changements!$D:$D,B401)+IF(E401="Oui",1,0))</f>
        <v>0</v>
      </c>
      <c r="M401" s="17">
        <f>IF(B401="",0,COUNTIFS(Changements!$A:$A,A401,Changements!$C:$C,B401))</f>
        <v>0</v>
      </c>
      <c r="N401" s="17">
        <f>IF(B401="",0,SUMIFS(Changements!$B:$B,Changements!$A:$A,A401,Changements!$D:$D,B401))</f>
        <v>0</v>
      </c>
      <c r="O401" s="17">
        <f>IF(B401="",0,SUMIFS(Changements!$B:$B,Changements!$A:$A,A401,Changements!$C:$C,B401)+IF(L401&gt;M401,IFERROR(INDEX(Matchs!$F$4:$F$31,MATCH(A401,Matchs!$A$4:$A$31,0)),0),0))</f>
        <v>0</v>
      </c>
      <c r="P401" s="17">
        <f t="shared" si="33"/>
        <v>0</v>
      </c>
      <c r="Q401" s="17">
        <f t="shared" si="34"/>
        <v>0</v>
      </c>
    </row>
    <row r="402" spans="1:17" ht="15" customHeight="1" x14ac:dyDescent="0.25">
      <c r="A402" s="11">
        <f t="shared" si="30"/>
        <v>17</v>
      </c>
      <c r="B402" s="11" t="str">
        <f>INDEX('Effectif Saison'!$E$4:$E$22,15)</f>
        <v>William SIMON</v>
      </c>
      <c r="C402" s="10"/>
      <c r="D402" s="10"/>
      <c r="E402" s="10"/>
      <c r="F402" s="19" t="str">
        <f>IF(B402="","",IF(AND(E402="Oui",COUNTIFS(Changements!$A:$A,A402,Changements!$D:$D,B402)&gt;0),"⚠ Titulaire+entrée ?",IF(ABS(L402-M402)&gt;1,"⚠ vérifier","")))</f>
        <v/>
      </c>
      <c r="G402" s="11" t="str">
        <f>IF(B402="","",IFERROR(INDEX('Effectif Saison'!$D$4:$D$51,MATCH(B402,'Effectif Saison'!$E$4:$E$51,0)),""))</f>
        <v>Équipe 1</v>
      </c>
      <c r="H402" s="19" t="str">
        <f>IF(L402=0,"",IF(E402="Oui",0,IFERROR(_xlfn.MINIFS(Changements!$B:$B,Changements!$A:$A,A402,Changements!$D:$D,B402),"")))</f>
        <v/>
      </c>
      <c r="I402" s="19" t="str">
        <f>IF(M402=0,"",IFERROR(_xlfn.MAXIFS(Changements!$B:$B,Changements!$A:$A,A402,Changements!$C:$C,B402),""))</f>
        <v/>
      </c>
      <c r="J402" s="11" t="str">
        <f t="shared" si="31"/>
        <v/>
      </c>
      <c r="K402" s="17">
        <f t="shared" si="32"/>
        <v>0</v>
      </c>
      <c r="L402" s="17">
        <f>IF(B402="",0,COUNTIFS(Changements!$A:$A,A402,Changements!$D:$D,B402)+IF(E402="Oui",1,0))</f>
        <v>0</v>
      </c>
      <c r="M402" s="17">
        <f>IF(B402="",0,COUNTIFS(Changements!$A:$A,A402,Changements!$C:$C,B402))</f>
        <v>0</v>
      </c>
      <c r="N402" s="17">
        <f>IF(B402="",0,SUMIFS(Changements!$B:$B,Changements!$A:$A,A402,Changements!$D:$D,B402))</f>
        <v>0</v>
      </c>
      <c r="O402" s="17">
        <f>IF(B402="",0,SUMIFS(Changements!$B:$B,Changements!$A:$A,A402,Changements!$C:$C,B402)+IF(L402&gt;M402,IFERROR(INDEX(Matchs!$F$4:$F$31,MATCH(A402,Matchs!$A$4:$A$31,0)),0),0))</f>
        <v>0</v>
      </c>
      <c r="P402" s="17">
        <f t="shared" si="33"/>
        <v>0</v>
      </c>
      <c r="Q402" s="17">
        <f t="shared" si="34"/>
        <v>0</v>
      </c>
    </row>
    <row r="403" spans="1:17" ht="15" customHeight="1" x14ac:dyDescent="0.25">
      <c r="A403" s="11">
        <f t="shared" si="30"/>
        <v>17</v>
      </c>
      <c r="B403" s="11" t="str">
        <f>INDEX('Effectif Saison'!$E$4:$E$22,16)</f>
        <v>Lenny LEPPER</v>
      </c>
      <c r="C403" s="10"/>
      <c r="D403" s="10"/>
      <c r="E403" s="10"/>
      <c r="F403" s="19" t="str">
        <f>IF(B403="","",IF(AND(E403="Oui",COUNTIFS(Changements!$A:$A,A403,Changements!$D:$D,B403)&gt;0),"⚠ Titulaire+entrée ?",IF(ABS(L403-M403)&gt;1,"⚠ vérifier","")))</f>
        <v/>
      </c>
      <c r="G403" s="11" t="str">
        <f>IF(B403="","",IFERROR(INDEX('Effectif Saison'!$D$4:$D$51,MATCH(B403,'Effectif Saison'!$E$4:$E$51,0)),""))</f>
        <v>Équipe 1</v>
      </c>
      <c r="H403" s="19" t="str">
        <f>IF(L403=0,"",IF(E403="Oui",0,IFERROR(_xlfn.MINIFS(Changements!$B:$B,Changements!$A:$A,A403,Changements!$D:$D,B403),"")))</f>
        <v/>
      </c>
      <c r="I403" s="19" t="str">
        <f>IF(M403=0,"",IFERROR(_xlfn.MAXIFS(Changements!$B:$B,Changements!$A:$A,A403,Changements!$C:$C,B403),""))</f>
        <v/>
      </c>
      <c r="J403" s="11" t="str">
        <f t="shared" si="31"/>
        <v/>
      </c>
      <c r="K403" s="17">
        <f t="shared" si="32"/>
        <v>0</v>
      </c>
      <c r="L403" s="17">
        <f>IF(B403="",0,COUNTIFS(Changements!$A:$A,A403,Changements!$D:$D,B403)+IF(E403="Oui",1,0))</f>
        <v>0</v>
      </c>
      <c r="M403" s="17">
        <f>IF(B403="",0,COUNTIFS(Changements!$A:$A,A403,Changements!$C:$C,B403))</f>
        <v>0</v>
      </c>
      <c r="N403" s="17">
        <f>IF(B403="",0,SUMIFS(Changements!$B:$B,Changements!$A:$A,A403,Changements!$D:$D,B403))</f>
        <v>0</v>
      </c>
      <c r="O403" s="17">
        <f>IF(B403="",0,SUMIFS(Changements!$B:$B,Changements!$A:$A,A403,Changements!$C:$C,B403)+IF(L403&gt;M403,IFERROR(INDEX(Matchs!$F$4:$F$31,MATCH(A403,Matchs!$A$4:$A$31,0)),0),0))</f>
        <v>0</v>
      </c>
      <c r="P403" s="17">
        <f t="shared" si="33"/>
        <v>0</v>
      </c>
      <c r="Q403" s="17">
        <f t="shared" si="34"/>
        <v>0</v>
      </c>
    </row>
    <row r="404" spans="1:17" ht="15" customHeight="1" x14ac:dyDescent="0.25">
      <c r="A404" s="11">
        <f t="shared" si="30"/>
        <v>17</v>
      </c>
      <c r="B404" s="11" t="str">
        <f>INDEX('Effectif Saison'!$E$4:$E$22,17)</f>
        <v>Malo KELLER</v>
      </c>
      <c r="C404" s="10"/>
      <c r="D404" s="10"/>
      <c r="E404" s="10"/>
      <c r="F404" s="19" t="str">
        <f>IF(B404="","",IF(AND(E404="Oui",COUNTIFS(Changements!$A:$A,A404,Changements!$D:$D,B404)&gt;0),"⚠ Titulaire+entrée ?",IF(ABS(L404-M404)&gt;1,"⚠ vérifier","")))</f>
        <v/>
      </c>
      <c r="G404" s="11" t="str">
        <f>IF(B404="","",IFERROR(INDEX('Effectif Saison'!$D$4:$D$51,MATCH(B404,'Effectif Saison'!$E$4:$E$51,0)),""))</f>
        <v>Équipe 1</v>
      </c>
      <c r="H404" s="19" t="str">
        <f>IF(L404=0,"",IF(E404="Oui",0,IFERROR(_xlfn.MINIFS(Changements!$B:$B,Changements!$A:$A,A404,Changements!$D:$D,B404),"")))</f>
        <v/>
      </c>
      <c r="I404" s="19" t="str">
        <f>IF(M404=0,"",IFERROR(_xlfn.MAXIFS(Changements!$B:$B,Changements!$A:$A,A404,Changements!$C:$C,B404),""))</f>
        <v/>
      </c>
      <c r="J404" s="11" t="str">
        <f t="shared" si="31"/>
        <v/>
      </c>
      <c r="K404" s="17">
        <f t="shared" si="32"/>
        <v>0</v>
      </c>
      <c r="L404" s="17">
        <f>IF(B404="",0,COUNTIFS(Changements!$A:$A,A404,Changements!$D:$D,B404)+IF(E404="Oui",1,0))</f>
        <v>0</v>
      </c>
      <c r="M404" s="17">
        <f>IF(B404="",0,COUNTIFS(Changements!$A:$A,A404,Changements!$C:$C,B404))</f>
        <v>0</v>
      </c>
      <c r="N404" s="17">
        <f>IF(B404="",0,SUMIFS(Changements!$B:$B,Changements!$A:$A,A404,Changements!$D:$D,B404))</f>
        <v>0</v>
      </c>
      <c r="O404" s="17">
        <f>IF(B404="",0,SUMIFS(Changements!$B:$B,Changements!$A:$A,A404,Changements!$C:$C,B404)+IF(L404&gt;M404,IFERROR(INDEX(Matchs!$F$4:$F$31,MATCH(A404,Matchs!$A$4:$A$31,0)),0),0))</f>
        <v>0</v>
      </c>
      <c r="P404" s="17">
        <f t="shared" si="33"/>
        <v>0</v>
      </c>
      <c r="Q404" s="17">
        <f t="shared" si="34"/>
        <v>0</v>
      </c>
    </row>
    <row r="405" spans="1:17" ht="15" customHeight="1" x14ac:dyDescent="0.25">
      <c r="A405" s="11">
        <f t="shared" si="30"/>
        <v>17</v>
      </c>
      <c r="B405" s="11" t="str">
        <f>INDEX('Effectif Saison'!$E$4:$E$22,18)</f>
        <v>Tom SCHILLER</v>
      </c>
      <c r="C405" s="10"/>
      <c r="D405" s="10"/>
      <c r="E405" s="10"/>
      <c r="F405" s="19" t="str">
        <f>IF(B405="","",IF(AND(E405="Oui",COUNTIFS(Changements!$A:$A,A405,Changements!$D:$D,B405)&gt;0),"⚠ Titulaire+entrée ?",IF(ABS(L405-M405)&gt;1,"⚠ vérifier","")))</f>
        <v/>
      </c>
      <c r="G405" s="11" t="str">
        <f>IF(B405="","",IFERROR(INDEX('Effectif Saison'!$D$4:$D$51,MATCH(B405,'Effectif Saison'!$E$4:$E$51,0)),""))</f>
        <v>Équipe 1</v>
      </c>
      <c r="H405" s="19" t="str">
        <f>IF(L405=0,"",IF(E405="Oui",0,IFERROR(_xlfn.MINIFS(Changements!$B:$B,Changements!$A:$A,A405,Changements!$D:$D,B405),"")))</f>
        <v/>
      </c>
      <c r="I405" s="19" t="str">
        <f>IF(M405=0,"",IFERROR(_xlfn.MAXIFS(Changements!$B:$B,Changements!$A:$A,A405,Changements!$C:$C,B405),""))</f>
        <v/>
      </c>
      <c r="J405" s="11" t="str">
        <f t="shared" si="31"/>
        <v/>
      </c>
      <c r="K405" s="17">
        <f t="shared" si="32"/>
        <v>0</v>
      </c>
      <c r="L405" s="17">
        <f>IF(B405="",0,COUNTIFS(Changements!$A:$A,A405,Changements!$D:$D,B405)+IF(E405="Oui",1,0))</f>
        <v>0</v>
      </c>
      <c r="M405" s="17">
        <f>IF(B405="",0,COUNTIFS(Changements!$A:$A,A405,Changements!$C:$C,B405))</f>
        <v>0</v>
      </c>
      <c r="N405" s="17">
        <f>IF(B405="",0,SUMIFS(Changements!$B:$B,Changements!$A:$A,A405,Changements!$D:$D,B405))</f>
        <v>0</v>
      </c>
      <c r="O405" s="17">
        <f>IF(B405="",0,SUMIFS(Changements!$B:$B,Changements!$A:$A,A405,Changements!$C:$C,B405)+IF(L405&gt;M405,IFERROR(INDEX(Matchs!$F$4:$F$31,MATCH(A405,Matchs!$A$4:$A$31,0)),0),0))</f>
        <v>0</v>
      </c>
      <c r="P405" s="17">
        <f t="shared" si="33"/>
        <v>0</v>
      </c>
      <c r="Q405" s="17">
        <f t="shared" si="34"/>
        <v>0</v>
      </c>
    </row>
    <row r="406" spans="1:17" ht="15" customHeight="1" x14ac:dyDescent="0.25">
      <c r="A406" s="11">
        <f t="shared" si="30"/>
        <v>17</v>
      </c>
      <c r="B406" s="11" t="str">
        <f>INDEX('Effectif Saison'!$E$4:$E$22,19)</f>
        <v>Eliot LEIBY</v>
      </c>
      <c r="C406" s="10"/>
      <c r="D406" s="10"/>
      <c r="E406" s="10"/>
      <c r="F406" s="19" t="str">
        <f>IF(B406="","",IF(AND(E406="Oui",COUNTIFS(Changements!$A:$A,A406,Changements!$D:$D,B406)&gt;0),"⚠ Titulaire+entrée ?",IF(ABS(L406-M406)&gt;1,"⚠ vérifier","")))</f>
        <v/>
      </c>
      <c r="G406" s="11" t="str">
        <f>IF(B406="","",IFERROR(INDEX('Effectif Saison'!$D$4:$D$51,MATCH(B406,'Effectif Saison'!$E$4:$E$51,0)),""))</f>
        <v>Équipe 1</v>
      </c>
      <c r="H406" s="19" t="str">
        <f>IF(L406=0,"",IF(E406="Oui",0,IFERROR(_xlfn.MINIFS(Changements!$B:$B,Changements!$A:$A,A406,Changements!$D:$D,B406),"")))</f>
        <v/>
      </c>
      <c r="I406" s="19" t="str">
        <f>IF(M406=0,"",IFERROR(_xlfn.MAXIFS(Changements!$B:$B,Changements!$A:$A,A406,Changements!$C:$C,B406),""))</f>
        <v/>
      </c>
      <c r="J406" s="11" t="str">
        <f t="shared" si="31"/>
        <v/>
      </c>
      <c r="K406" s="17">
        <f t="shared" si="32"/>
        <v>0</v>
      </c>
      <c r="L406" s="17">
        <f>IF(B406="",0,COUNTIFS(Changements!$A:$A,A406,Changements!$D:$D,B406)+IF(E406="Oui",1,0))</f>
        <v>0</v>
      </c>
      <c r="M406" s="17">
        <f>IF(B406="",0,COUNTIFS(Changements!$A:$A,A406,Changements!$C:$C,B406))</f>
        <v>0</v>
      </c>
      <c r="N406" s="17">
        <f>IF(B406="",0,SUMIFS(Changements!$B:$B,Changements!$A:$A,A406,Changements!$D:$D,B406))</f>
        <v>0</v>
      </c>
      <c r="O406" s="17">
        <f>IF(B406="",0,SUMIFS(Changements!$B:$B,Changements!$A:$A,A406,Changements!$C:$C,B406)+IF(L406&gt;M406,IFERROR(INDEX(Matchs!$F$4:$F$31,MATCH(A406,Matchs!$A$4:$A$31,0)),0),0))</f>
        <v>0</v>
      </c>
      <c r="P406" s="17">
        <f t="shared" si="33"/>
        <v>0</v>
      </c>
      <c r="Q406" s="17">
        <f t="shared" si="34"/>
        <v>0</v>
      </c>
    </row>
    <row r="407" spans="1:17" ht="15" customHeight="1" x14ac:dyDescent="0.25">
      <c r="A407" s="11">
        <f t="shared" si="30"/>
        <v>17</v>
      </c>
      <c r="B407" s="10"/>
      <c r="C407" s="10"/>
      <c r="D407" s="10"/>
      <c r="E407" s="10"/>
      <c r="F407" s="19" t="str">
        <f>IF(B407="","",IF(AND(E407="Oui",COUNTIFS(Changements!$A:$A,A407,Changements!$D:$D,B407)&gt;0),"⚠ Titulaire+entrée ?",IF(ABS(L407-M407)&gt;1,"⚠ vérifier","")))</f>
        <v/>
      </c>
      <c r="G407" s="11" t="str">
        <f>IF(B407="","",IFERROR(INDEX('Effectif Saison'!$D$4:$D$51,MATCH(B407,'Effectif Saison'!$E$4:$E$51,0)),""))</f>
        <v/>
      </c>
      <c r="H407" s="19" t="str">
        <f>IF(L407=0,"",IF(E407="Oui",0,IFERROR(_xlfn.MINIFS(Changements!$B:$B,Changements!$A:$A,A407,Changements!$D:$D,B407),"")))</f>
        <v/>
      </c>
      <c r="I407" s="19" t="str">
        <f>IF(M407=0,"",IFERROR(_xlfn.MAXIFS(Changements!$B:$B,Changements!$A:$A,A407,Changements!$C:$C,B407),""))</f>
        <v/>
      </c>
      <c r="J407" s="11" t="str">
        <f t="shared" si="31"/>
        <v/>
      </c>
      <c r="K407" s="17">
        <f t="shared" si="32"/>
        <v>0</v>
      </c>
      <c r="L407" s="17">
        <f>IF(B407="",0,COUNTIFS(Changements!$A:$A,A407,Changements!$D:$D,B407)+IF(E407="Oui",1,0))</f>
        <v>0</v>
      </c>
      <c r="M407" s="17">
        <f>IF(B407="",0,COUNTIFS(Changements!$A:$A,A407,Changements!$C:$C,B407))</f>
        <v>0</v>
      </c>
      <c r="N407" s="17">
        <f>IF(B407="",0,SUMIFS(Changements!$B:$B,Changements!$A:$A,A407,Changements!$D:$D,B407))</f>
        <v>0</v>
      </c>
      <c r="O407" s="17">
        <f>IF(B407="",0,SUMIFS(Changements!$B:$B,Changements!$A:$A,A407,Changements!$C:$C,B407)+IF(L407&gt;M407,IFERROR(INDEX(Matchs!$F$4:$F$31,MATCH(A407,Matchs!$A$4:$A$31,0)),0),0))</f>
        <v>0</v>
      </c>
      <c r="P407" s="17">
        <f t="shared" si="33"/>
        <v>0</v>
      </c>
      <c r="Q407" s="17">
        <f t="shared" si="34"/>
        <v>0</v>
      </c>
    </row>
    <row r="408" spans="1:17" ht="15" customHeight="1" x14ac:dyDescent="0.25">
      <c r="A408" s="11">
        <f t="shared" si="30"/>
        <v>17</v>
      </c>
      <c r="B408" s="10"/>
      <c r="C408" s="10"/>
      <c r="D408" s="10"/>
      <c r="E408" s="10"/>
      <c r="F408" s="19" t="str">
        <f>IF(B408="","",IF(AND(E408="Oui",COUNTIFS(Changements!$A:$A,A408,Changements!$D:$D,B408)&gt;0),"⚠ Titulaire+entrée ?",IF(ABS(L408-M408)&gt;1,"⚠ vérifier","")))</f>
        <v/>
      </c>
      <c r="G408" s="11" t="str">
        <f>IF(B408="","",IFERROR(INDEX('Effectif Saison'!$D$4:$D$51,MATCH(B408,'Effectif Saison'!$E$4:$E$51,0)),""))</f>
        <v/>
      </c>
      <c r="H408" s="19" t="str">
        <f>IF(L408=0,"",IF(E408="Oui",0,IFERROR(_xlfn.MINIFS(Changements!$B:$B,Changements!$A:$A,A408,Changements!$D:$D,B408),"")))</f>
        <v/>
      </c>
      <c r="I408" s="19" t="str">
        <f>IF(M408=0,"",IFERROR(_xlfn.MAXIFS(Changements!$B:$B,Changements!$A:$A,A408,Changements!$C:$C,B408),""))</f>
        <v/>
      </c>
      <c r="J408" s="11" t="str">
        <f t="shared" si="31"/>
        <v/>
      </c>
      <c r="K408" s="17">
        <f t="shared" si="32"/>
        <v>0</v>
      </c>
      <c r="L408" s="17">
        <f>IF(B408="",0,COUNTIFS(Changements!$A:$A,A408,Changements!$D:$D,B408)+IF(E408="Oui",1,0))</f>
        <v>0</v>
      </c>
      <c r="M408" s="17">
        <f>IF(B408="",0,COUNTIFS(Changements!$A:$A,A408,Changements!$C:$C,B408))</f>
        <v>0</v>
      </c>
      <c r="N408" s="17">
        <f>IF(B408="",0,SUMIFS(Changements!$B:$B,Changements!$A:$A,A408,Changements!$D:$D,B408))</f>
        <v>0</v>
      </c>
      <c r="O408" s="17">
        <f>IF(B408="",0,SUMIFS(Changements!$B:$B,Changements!$A:$A,A408,Changements!$C:$C,B408)+IF(L408&gt;M408,IFERROR(INDEX(Matchs!$F$4:$F$31,MATCH(A408,Matchs!$A$4:$A$31,0)),0),0))</f>
        <v>0</v>
      </c>
      <c r="P408" s="17">
        <f t="shared" si="33"/>
        <v>0</v>
      </c>
      <c r="Q408" s="17">
        <f t="shared" si="34"/>
        <v>0</v>
      </c>
    </row>
    <row r="409" spans="1:17" ht="15" customHeight="1" x14ac:dyDescent="0.25">
      <c r="A409" s="11">
        <f t="shared" si="30"/>
        <v>17</v>
      </c>
      <c r="B409" s="10"/>
      <c r="C409" s="10"/>
      <c r="D409" s="10"/>
      <c r="E409" s="10"/>
      <c r="F409" s="19" t="str">
        <f>IF(B409="","",IF(AND(E409="Oui",COUNTIFS(Changements!$A:$A,A409,Changements!$D:$D,B409)&gt;0),"⚠ Titulaire+entrée ?",IF(ABS(L409-M409)&gt;1,"⚠ vérifier","")))</f>
        <v/>
      </c>
      <c r="G409" s="11" t="str">
        <f>IF(B409="","",IFERROR(INDEX('Effectif Saison'!$D$4:$D$51,MATCH(B409,'Effectif Saison'!$E$4:$E$51,0)),""))</f>
        <v/>
      </c>
      <c r="H409" s="19" t="str">
        <f>IF(L409=0,"",IF(E409="Oui",0,IFERROR(_xlfn.MINIFS(Changements!$B:$B,Changements!$A:$A,A409,Changements!$D:$D,B409),"")))</f>
        <v/>
      </c>
      <c r="I409" s="19" t="str">
        <f>IF(M409=0,"",IFERROR(_xlfn.MAXIFS(Changements!$B:$B,Changements!$A:$A,A409,Changements!$C:$C,B409),""))</f>
        <v/>
      </c>
      <c r="J409" s="11" t="str">
        <f t="shared" si="31"/>
        <v/>
      </c>
      <c r="K409" s="17">
        <f t="shared" si="32"/>
        <v>0</v>
      </c>
      <c r="L409" s="17">
        <f>IF(B409="",0,COUNTIFS(Changements!$A:$A,A409,Changements!$D:$D,B409)+IF(E409="Oui",1,0))</f>
        <v>0</v>
      </c>
      <c r="M409" s="17">
        <f>IF(B409="",0,COUNTIFS(Changements!$A:$A,A409,Changements!$C:$C,B409))</f>
        <v>0</v>
      </c>
      <c r="N409" s="17">
        <f>IF(B409="",0,SUMIFS(Changements!$B:$B,Changements!$A:$A,A409,Changements!$D:$D,B409))</f>
        <v>0</v>
      </c>
      <c r="O409" s="17">
        <f>IF(B409="",0,SUMIFS(Changements!$B:$B,Changements!$A:$A,A409,Changements!$C:$C,B409)+IF(L409&gt;M409,IFERROR(INDEX(Matchs!$F$4:$F$31,MATCH(A409,Matchs!$A$4:$A$31,0)),0),0))</f>
        <v>0</v>
      </c>
      <c r="P409" s="17">
        <f t="shared" si="33"/>
        <v>0</v>
      </c>
      <c r="Q409" s="17">
        <f t="shared" si="34"/>
        <v>0</v>
      </c>
    </row>
    <row r="410" spans="1:17" ht="15" customHeight="1" x14ac:dyDescent="0.25">
      <c r="A410" s="11">
        <f t="shared" si="30"/>
        <v>17</v>
      </c>
      <c r="B410" s="10"/>
      <c r="C410" s="10"/>
      <c r="D410" s="10"/>
      <c r="E410" s="10"/>
      <c r="F410" s="19" t="str">
        <f>IF(B410="","",IF(AND(E410="Oui",COUNTIFS(Changements!$A:$A,A410,Changements!$D:$D,B410)&gt;0),"⚠ Titulaire+entrée ?",IF(ABS(L410-M410)&gt;1,"⚠ vérifier","")))</f>
        <v/>
      </c>
      <c r="G410" s="11" t="str">
        <f>IF(B410="","",IFERROR(INDEX('Effectif Saison'!$D$4:$D$51,MATCH(B410,'Effectif Saison'!$E$4:$E$51,0)),""))</f>
        <v/>
      </c>
      <c r="H410" s="19" t="str">
        <f>IF(L410=0,"",IF(E410="Oui",0,IFERROR(_xlfn.MINIFS(Changements!$B:$B,Changements!$A:$A,A410,Changements!$D:$D,B410),"")))</f>
        <v/>
      </c>
      <c r="I410" s="19" t="str">
        <f>IF(M410=0,"",IFERROR(_xlfn.MAXIFS(Changements!$B:$B,Changements!$A:$A,A410,Changements!$C:$C,B410),""))</f>
        <v/>
      </c>
      <c r="J410" s="11" t="str">
        <f t="shared" si="31"/>
        <v/>
      </c>
      <c r="K410" s="17">
        <f t="shared" si="32"/>
        <v>0</v>
      </c>
      <c r="L410" s="17">
        <f>IF(B410="",0,COUNTIFS(Changements!$A:$A,A410,Changements!$D:$D,B410)+IF(E410="Oui",1,0))</f>
        <v>0</v>
      </c>
      <c r="M410" s="17">
        <f>IF(B410="",0,COUNTIFS(Changements!$A:$A,A410,Changements!$C:$C,B410))</f>
        <v>0</v>
      </c>
      <c r="N410" s="17">
        <f>IF(B410="",0,SUMIFS(Changements!$B:$B,Changements!$A:$A,A410,Changements!$D:$D,B410))</f>
        <v>0</v>
      </c>
      <c r="O410" s="17">
        <f>IF(B410="",0,SUMIFS(Changements!$B:$B,Changements!$A:$A,A410,Changements!$C:$C,B410)+IF(L410&gt;M410,IFERROR(INDEX(Matchs!$F$4:$F$31,MATCH(A410,Matchs!$A$4:$A$31,0)),0),0))</f>
        <v>0</v>
      </c>
      <c r="P410" s="17">
        <f t="shared" si="33"/>
        <v>0</v>
      </c>
      <c r="Q410" s="17">
        <f t="shared" si="34"/>
        <v>0</v>
      </c>
    </row>
    <row r="411" spans="1:17" ht="15" customHeight="1" x14ac:dyDescent="0.25">
      <c r="A411" s="11">
        <f t="shared" si="30"/>
        <v>17</v>
      </c>
      <c r="B411" s="10"/>
      <c r="C411" s="10"/>
      <c r="D411" s="10"/>
      <c r="E411" s="10"/>
      <c r="F411" s="19" t="str">
        <f>IF(B411="","",IF(AND(E411="Oui",COUNTIFS(Changements!$A:$A,A411,Changements!$D:$D,B411)&gt;0),"⚠ Titulaire+entrée ?",IF(ABS(L411-M411)&gt;1,"⚠ vérifier","")))</f>
        <v/>
      </c>
      <c r="G411" s="11" t="str">
        <f>IF(B411="","",IFERROR(INDEX('Effectif Saison'!$D$4:$D$51,MATCH(B411,'Effectif Saison'!$E$4:$E$51,0)),""))</f>
        <v/>
      </c>
      <c r="H411" s="19" t="str">
        <f>IF(L411=0,"",IF(E411="Oui",0,IFERROR(_xlfn.MINIFS(Changements!$B:$B,Changements!$A:$A,A411,Changements!$D:$D,B411),"")))</f>
        <v/>
      </c>
      <c r="I411" s="19" t="str">
        <f>IF(M411=0,"",IFERROR(_xlfn.MAXIFS(Changements!$B:$B,Changements!$A:$A,A411,Changements!$C:$C,B411),""))</f>
        <v/>
      </c>
      <c r="J411" s="11" t="str">
        <f t="shared" si="31"/>
        <v/>
      </c>
      <c r="K411" s="17">
        <f t="shared" si="32"/>
        <v>0</v>
      </c>
      <c r="L411" s="17">
        <f>IF(B411="",0,COUNTIFS(Changements!$A:$A,A411,Changements!$D:$D,B411)+IF(E411="Oui",1,0))</f>
        <v>0</v>
      </c>
      <c r="M411" s="17">
        <f>IF(B411="",0,COUNTIFS(Changements!$A:$A,A411,Changements!$C:$C,B411))</f>
        <v>0</v>
      </c>
      <c r="N411" s="17">
        <f>IF(B411="",0,SUMIFS(Changements!$B:$B,Changements!$A:$A,A411,Changements!$D:$D,B411))</f>
        <v>0</v>
      </c>
      <c r="O411" s="17">
        <f>IF(B411="",0,SUMIFS(Changements!$B:$B,Changements!$A:$A,A411,Changements!$C:$C,B411)+IF(L411&gt;M411,IFERROR(INDEX(Matchs!$F$4:$F$31,MATCH(A411,Matchs!$A$4:$A$31,0)),0),0))</f>
        <v>0</v>
      </c>
      <c r="P411" s="17">
        <f t="shared" si="33"/>
        <v>0</v>
      </c>
      <c r="Q411" s="17">
        <f t="shared" si="34"/>
        <v>0</v>
      </c>
    </row>
    <row r="412" spans="1:17" ht="15" customHeight="1" x14ac:dyDescent="0.25">
      <c r="A412" s="11">
        <f t="shared" si="30"/>
        <v>18</v>
      </c>
      <c r="B412" s="11" t="str">
        <f>INDEX('Effectif Saison'!$E$4:$E$22,1)</f>
        <v>Alan MICHON</v>
      </c>
      <c r="C412" s="10"/>
      <c r="D412" s="10"/>
      <c r="E412" s="10"/>
      <c r="F412" s="19" t="str">
        <f>IF(B412="","",IF(AND(E412="Oui",COUNTIFS(Changements!$A:$A,A412,Changements!$D:$D,B412)&gt;0),"⚠ Titulaire+entrée ?",IF(ABS(L412-M412)&gt;1,"⚠ vérifier","")))</f>
        <v/>
      </c>
      <c r="G412" s="11" t="str">
        <f>IF(B412="","",IFERROR(INDEX('Effectif Saison'!$D$4:$D$51,MATCH(B412,'Effectif Saison'!$E$4:$E$51,0)),""))</f>
        <v>Équipe 1</v>
      </c>
      <c r="H412" s="19" t="str">
        <f>IF(L412=0,"",IF(E412="Oui",0,IFERROR(_xlfn.MINIFS(Changements!$B:$B,Changements!$A:$A,A412,Changements!$D:$D,B412),"")))</f>
        <v/>
      </c>
      <c r="I412" s="19" t="str">
        <f>IF(M412=0,"",IFERROR(_xlfn.MAXIFS(Changements!$B:$B,Changements!$A:$A,A412,Changements!$C:$C,B412),""))</f>
        <v/>
      </c>
      <c r="J412" s="11" t="str">
        <f t="shared" si="31"/>
        <v/>
      </c>
      <c r="K412" s="17">
        <f t="shared" si="32"/>
        <v>0</v>
      </c>
      <c r="L412" s="17">
        <f>IF(B412="",0,COUNTIFS(Changements!$A:$A,A412,Changements!$D:$D,B412)+IF(E412="Oui",1,0))</f>
        <v>0</v>
      </c>
      <c r="M412" s="17">
        <f>IF(B412="",0,COUNTIFS(Changements!$A:$A,A412,Changements!$C:$C,B412))</f>
        <v>0</v>
      </c>
      <c r="N412" s="17">
        <f>IF(B412="",0,SUMIFS(Changements!$B:$B,Changements!$A:$A,A412,Changements!$D:$D,B412))</f>
        <v>0</v>
      </c>
      <c r="O412" s="17">
        <f>IF(B412="",0,SUMIFS(Changements!$B:$B,Changements!$A:$A,A412,Changements!$C:$C,B412)+IF(L412&gt;M412,IFERROR(INDEX(Matchs!$F$4:$F$31,MATCH(A412,Matchs!$A$4:$A$31,0)),0),0))</f>
        <v>0</v>
      </c>
      <c r="P412" s="17">
        <f t="shared" si="33"/>
        <v>0</v>
      </c>
      <c r="Q412" s="17">
        <f t="shared" si="34"/>
        <v>0</v>
      </c>
    </row>
    <row r="413" spans="1:17" ht="15" customHeight="1" x14ac:dyDescent="0.25">
      <c r="A413" s="11">
        <f t="shared" si="30"/>
        <v>18</v>
      </c>
      <c r="B413" s="11" t="str">
        <f>INDEX('Effectif Saison'!$E$4:$E$22,2)</f>
        <v>Jean BRUNTZ</v>
      </c>
      <c r="C413" s="10"/>
      <c r="D413" s="10"/>
      <c r="E413" s="10"/>
      <c r="F413" s="19" t="str">
        <f>IF(B413="","",IF(AND(E413="Oui",COUNTIFS(Changements!$A:$A,A413,Changements!$D:$D,B413)&gt;0),"⚠ Titulaire+entrée ?",IF(ABS(L413-M413)&gt;1,"⚠ vérifier","")))</f>
        <v/>
      </c>
      <c r="G413" s="11" t="str">
        <f>IF(B413="","",IFERROR(INDEX('Effectif Saison'!$D$4:$D$51,MATCH(B413,'Effectif Saison'!$E$4:$E$51,0)),""))</f>
        <v>Équipe 1</v>
      </c>
      <c r="H413" s="19" t="str">
        <f>IF(L413=0,"",IF(E413="Oui",0,IFERROR(_xlfn.MINIFS(Changements!$B:$B,Changements!$A:$A,A413,Changements!$D:$D,B413),"")))</f>
        <v/>
      </c>
      <c r="I413" s="19" t="str">
        <f>IF(M413=0,"",IFERROR(_xlfn.MAXIFS(Changements!$B:$B,Changements!$A:$A,A413,Changements!$C:$C,B413),""))</f>
        <v/>
      </c>
      <c r="J413" s="11" t="str">
        <f t="shared" si="31"/>
        <v/>
      </c>
      <c r="K413" s="17">
        <f t="shared" si="32"/>
        <v>0</v>
      </c>
      <c r="L413" s="17">
        <f>IF(B413="",0,COUNTIFS(Changements!$A:$A,A413,Changements!$D:$D,B413)+IF(E413="Oui",1,0))</f>
        <v>0</v>
      </c>
      <c r="M413" s="17">
        <f>IF(B413="",0,COUNTIFS(Changements!$A:$A,A413,Changements!$C:$C,B413))</f>
        <v>0</v>
      </c>
      <c r="N413" s="17">
        <f>IF(B413="",0,SUMIFS(Changements!$B:$B,Changements!$A:$A,A413,Changements!$D:$D,B413))</f>
        <v>0</v>
      </c>
      <c r="O413" s="17">
        <f>IF(B413="",0,SUMIFS(Changements!$B:$B,Changements!$A:$A,A413,Changements!$C:$C,B413)+IF(L413&gt;M413,IFERROR(INDEX(Matchs!$F$4:$F$31,MATCH(A413,Matchs!$A$4:$A$31,0)),0),0))</f>
        <v>0</v>
      </c>
      <c r="P413" s="17">
        <f t="shared" si="33"/>
        <v>0</v>
      </c>
      <c r="Q413" s="17">
        <f t="shared" si="34"/>
        <v>0</v>
      </c>
    </row>
    <row r="414" spans="1:17" ht="15" customHeight="1" x14ac:dyDescent="0.25">
      <c r="A414" s="11">
        <f t="shared" si="30"/>
        <v>18</v>
      </c>
      <c r="B414" s="11" t="str">
        <f>INDEX('Effectif Saison'!$E$4:$E$22,3)</f>
        <v>Marouane SBK</v>
      </c>
      <c r="C414" s="10"/>
      <c r="D414" s="10"/>
      <c r="E414" s="10"/>
      <c r="F414" s="19" t="str">
        <f>IF(B414="","",IF(AND(E414="Oui",COUNTIFS(Changements!$A:$A,A414,Changements!$D:$D,B414)&gt;0),"⚠ Titulaire+entrée ?",IF(ABS(L414-M414)&gt;1,"⚠ vérifier","")))</f>
        <v/>
      </c>
      <c r="G414" s="11" t="str">
        <f>IF(B414="","",IFERROR(INDEX('Effectif Saison'!$D$4:$D$51,MATCH(B414,'Effectif Saison'!$E$4:$E$51,0)),""))</f>
        <v>Équipe 1</v>
      </c>
      <c r="H414" s="19" t="str">
        <f>IF(L414=0,"",IF(E414="Oui",0,IFERROR(_xlfn.MINIFS(Changements!$B:$B,Changements!$A:$A,A414,Changements!$D:$D,B414),"")))</f>
        <v/>
      </c>
      <c r="I414" s="19" t="str">
        <f>IF(M414=0,"",IFERROR(_xlfn.MAXIFS(Changements!$B:$B,Changements!$A:$A,A414,Changements!$C:$C,B414),""))</f>
        <v/>
      </c>
      <c r="J414" s="11" t="str">
        <f t="shared" si="31"/>
        <v/>
      </c>
      <c r="K414" s="17">
        <f t="shared" si="32"/>
        <v>0</v>
      </c>
      <c r="L414" s="17">
        <f>IF(B414="",0,COUNTIFS(Changements!$A:$A,A414,Changements!$D:$D,B414)+IF(E414="Oui",1,0))</f>
        <v>0</v>
      </c>
      <c r="M414" s="17">
        <f>IF(B414="",0,COUNTIFS(Changements!$A:$A,A414,Changements!$C:$C,B414))</f>
        <v>0</v>
      </c>
      <c r="N414" s="17">
        <f>IF(B414="",0,SUMIFS(Changements!$B:$B,Changements!$A:$A,A414,Changements!$D:$D,B414))</f>
        <v>0</v>
      </c>
      <c r="O414" s="17">
        <f>IF(B414="",0,SUMIFS(Changements!$B:$B,Changements!$A:$A,A414,Changements!$C:$C,B414)+IF(L414&gt;M414,IFERROR(INDEX(Matchs!$F$4:$F$31,MATCH(A414,Matchs!$A$4:$A$31,0)),0),0))</f>
        <v>0</v>
      </c>
      <c r="P414" s="17">
        <f t="shared" si="33"/>
        <v>0</v>
      </c>
      <c r="Q414" s="17">
        <f t="shared" si="34"/>
        <v>0</v>
      </c>
    </row>
    <row r="415" spans="1:17" ht="15" customHeight="1" x14ac:dyDescent="0.25">
      <c r="A415" s="11">
        <f t="shared" si="30"/>
        <v>18</v>
      </c>
      <c r="B415" s="11" t="str">
        <f>INDEX('Effectif Saison'!$E$4:$E$22,4)</f>
        <v>Noé BIHL</v>
      </c>
      <c r="C415" s="10"/>
      <c r="D415" s="10"/>
      <c r="E415" s="10"/>
      <c r="F415" s="19" t="str">
        <f>IF(B415="","",IF(AND(E415="Oui",COUNTIFS(Changements!$A:$A,A415,Changements!$D:$D,B415)&gt;0),"⚠ Titulaire+entrée ?",IF(ABS(L415-M415)&gt;1,"⚠ vérifier","")))</f>
        <v/>
      </c>
      <c r="G415" s="11" t="str">
        <f>IF(B415="","",IFERROR(INDEX('Effectif Saison'!$D$4:$D$51,MATCH(B415,'Effectif Saison'!$E$4:$E$51,0)),""))</f>
        <v>Équipe 1</v>
      </c>
      <c r="H415" s="19" t="str">
        <f>IF(L415=0,"",IF(E415="Oui",0,IFERROR(_xlfn.MINIFS(Changements!$B:$B,Changements!$A:$A,A415,Changements!$D:$D,B415),"")))</f>
        <v/>
      </c>
      <c r="I415" s="19" t="str">
        <f>IF(M415=0,"",IFERROR(_xlfn.MAXIFS(Changements!$B:$B,Changements!$A:$A,A415,Changements!$C:$C,B415),""))</f>
        <v/>
      </c>
      <c r="J415" s="11" t="str">
        <f t="shared" si="31"/>
        <v/>
      </c>
      <c r="K415" s="17">
        <f t="shared" si="32"/>
        <v>0</v>
      </c>
      <c r="L415" s="17">
        <f>IF(B415="",0,COUNTIFS(Changements!$A:$A,A415,Changements!$D:$D,B415)+IF(E415="Oui",1,0))</f>
        <v>0</v>
      </c>
      <c r="M415" s="17">
        <f>IF(B415="",0,COUNTIFS(Changements!$A:$A,A415,Changements!$C:$C,B415))</f>
        <v>0</v>
      </c>
      <c r="N415" s="17">
        <f>IF(B415="",0,SUMIFS(Changements!$B:$B,Changements!$A:$A,A415,Changements!$D:$D,B415))</f>
        <v>0</v>
      </c>
      <c r="O415" s="17">
        <f>IF(B415="",0,SUMIFS(Changements!$B:$B,Changements!$A:$A,A415,Changements!$C:$C,B415)+IF(L415&gt;M415,IFERROR(INDEX(Matchs!$F$4:$F$31,MATCH(A415,Matchs!$A$4:$A$31,0)),0),0))</f>
        <v>0</v>
      </c>
      <c r="P415" s="17">
        <f t="shared" si="33"/>
        <v>0</v>
      </c>
      <c r="Q415" s="17">
        <f t="shared" si="34"/>
        <v>0</v>
      </c>
    </row>
    <row r="416" spans="1:17" ht="15" customHeight="1" x14ac:dyDescent="0.25">
      <c r="A416" s="11">
        <f t="shared" si="30"/>
        <v>18</v>
      </c>
      <c r="B416" s="11" t="str">
        <f>INDEX('Effectif Saison'!$E$4:$E$22,5)</f>
        <v>Luca COLAIANNI</v>
      </c>
      <c r="C416" s="10"/>
      <c r="D416" s="10"/>
      <c r="E416" s="10"/>
      <c r="F416" s="19" t="str">
        <f>IF(B416="","",IF(AND(E416="Oui",COUNTIFS(Changements!$A:$A,A416,Changements!$D:$D,B416)&gt;0),"⚠ Titulaire+entrée ?",IF(ABS(L416-M416)&gt;1,"⚠ vérifier","")))</f>
        <v/>
      </c>
      <c r="G416" s="11" t="str">
        <f>IF(B416="","",IFERROR(INDEX('Effectif Saison'!$D$4:$D$51,MATCH(B416,'Effectif Saison'!$E$4:$E$51,0)),""))</f>
        <v>Équipe 1</v>
      </c>
      <c r="H416" s="19" t="str">
        <f>IF(L416=0,"",IF(E416="Oui",0,IFERROR(_xlfn.MINIFS(Changements!$B:$B,Changements!$A:$A,A416,Changements!$D:$D,B416),"")))</f>
        <v/>
      </c>
      <c r="I416" s="19" t="str">
        <f>IF(M416=0,"",IFERROR(_xlfn.MAXIFS(Changements!$B:$B,Changements!$A:$A,A416,Changements!$C:$C,B416),""))</f>
        <v/>
      </c>
      <c r="J416" s="11" t="str">
        <f t="shared" si="31"/>
        <v/>
      </c>
      <c r="K416" s="17">
        <f t="shared" si="32"/>
        <v>0</v>
      </c>
      <c r="L416" s="17">
        <f>IF(B416="",0,COUNTIFS(Changements!$A:$A,A416,Changements!$D:$D,B416)+IF(E416="Oui",1,0))</f>
        <v>0</v>
      </c>
      <c r="M416" s="17">
        <f>IF(B416="",0,COUNTIFS(Changements!$A:$A,A416,Changements!$C:$C,B416))</f>
        <v>0</v>
      </c>
      <c r="N416" s="17">
        <f>IF(B416="",0,SUMIFS(Changements!$B:$B,Changements!$A:$A,A416,Changements!$D:$D,B416))</f>
        <v>0</v>
      </c>
      <c r="O416" s="17">
        <f>IF(B416="",0,SUMIFS(Changements!$B:$B,Changements!$A:$A,A416,Changements!$C:$C,B416)+IF(L416&gt;M416,IFERROR(INDEX(Matchs!$F$4:$F$31,MATCH(A416,Matchs!$A$4:$A$31,0)),0),0))</f>
        <v>0</v>
      </c>
      <c r="P416" s="17">
        <f t="shared" si="33"/>
        <v>0</v>
      </c>
      <c r="Q416" s="17">
        <f t="shared" si="34"/>
        <v>0</v>
      </c>
    </row>
    <row r="417" spans="1:17" ht="15" customHeight="1" x14ac:dyDescent="0.25">
      <c r="A417" s="11">
        <f t="shared" si="30"/>
        <v>18</v>
      </c>
      <c r="B417" s="11" t="str">
        <f>INDEX('Effectif Saison'!$E$4:$E$22,6)</f>
        <v>Atilla ER</v>
      </c>
      <c r="C417" s="10"/>
      <c r="D417" s="10"/>
      <c r="E417" s="10"/>
      <c r="F417" s="19" t="str">
        <f>IF(B417="","",IF(AND(E417="Oui",COUNTIFS(Changements!$A:$A,A417,Changements!$D:$D,B417)&gt;0),"⚠ Titulaire+entrée ?",IF(ABS(L417-M417)&gt;1,"⚠ vérifier","")))</f>
        <v/>
      </c>
      <c r="G417" s="11" t="str">
        <f>IF(B417="","",IFERROR(INDEX('Effectif Saison'!$D$4:$D$51,MATCH(B417,'Effectif Saison'!$E$4:$E$51,0)),""))</f>
        <v>Équipe 1</v>
      </c>
      <c r="H417" s="19" t="str">
        <f>IF(L417=0,"",IF(E417="Oui",0,IFERROR(_xlfn.MINIFS(Changements!$B:$B,Changements!$A:$A,A417,Changements!$D:$D,B417),"")))</f>
        <v/>
      </c>
      <c r="I417" s="19" t="str">
        <f>IF(M417=0,"",IFERROR(_xlfn.MAXIFS(Changements!$B:$B,Changements!$A:$A,A417,Changements!$C:$C,B417),""))</f>
        <v/>
      </c>
      <c r="J417" s="11" t="str">
        <f t="shared" si="31"/>
        <v/>
      </c>
      <c r="K417" s="17">
        <f t="shared" si="32"/>
        <v>0</v>
      </c>
      <c r="L417" s="17">
        <f>IF(B417="",0,COUNTIFS(Changements!$A:$A,A417,Changements!$D:$D,B417)+IF(E417="Oui",1,0))</f>
        <v>0</v>
      </c>
      <c r="M417" s="17">
        <f>IF(B417="",0,COUNTIFS(Changements!$A:$A,A417,Changements!$C:$C,B417))</f>
        <v>0</v>
      </c>
      <c r="N417" s="17">
        <f>IF(B417="",0,SUMIFS(Changements!$B:$B,Changements!$A:$A,A417,Changements!$D:$D,B417))</f>
        <v>0</v>
      </c>
      <c r="O417" s="17">
        <f>IF(B417="",0,SUMIFS(Changements!$B:$B,Changements!$A:$A,A417,Changements!$C:$C,B417)+IF(L417&gt;M417,IFERROR(INDEX(Matchs!$F$4:$F$31,MATCH(A417,Matchs!$A$4:$A$31,0)),0),0))</f>
        <v>0</v>
      </c>
      <c r="P417" s="17">
        <f t="shared" si="33"/>
        <v>0</v>
      </c>
      <c r="Q417" s="17">
        <f t="shared" si="34"/>
        <v>0</v>
      </c>
    </row>
    <row r="418" spans="1:17" ht="15" customHeight="1" x14ac:dyDescent="0.25">
      <c r="A418" s="11">
        <f t="shared" si="30"/>
        <v>18</v>
      </c>
      <c r="B418" s="11" t="str">
        <f>INDEX('Effectif Saison'!$E$4:$E$22,7)</f>
        <v>Lucas BUHR</v>
      </c>
      <c r="C418" s="10"/>
      <c r="D418" s="10"/>
      <c r="E418" s="10"/>
      <c r="F418" s="19" t="str">
        <f>IF(B418="","",IF(AND(E418="Oui",COUNTIFS(Changements!$A:$A,A418,Changements!$D:$D,B418)&gt;0),"⚠ Titulaire+entrée ?",IF(ABS(L418-M418)&gt;1,"⚠ vérifier","")))</f>
        <v/>
      </c>
      <c r="G418" s="11" t="str">
        <f>IF(B418="","",IFERROR(INDEX('Effectif Saison'!$D$4:$D$51,MATCH(B418,'Effectif Saison'!$E$4:$E$51,0)),""))</f>
        <v>Équipe 1</v>
      </c>
      <c r="H418" s="19" t="str">
        <f>IF(L418=0,"",IF(E418="Oui",0,IFERROR(_xlfn.MINIFS(Changements!$B:$B,Changements!$A:$A,A418,Changements!$D:$D,B418),"")))</f>
        <v/>
      </c>
      <c r="I418" s="19" t="str">
        <f>IF(M418=0,"",IFERROR(_xlfn.MAXIFS(Changements!$B:$B,Changements!$A:$A,A418,Changements!$C:$C,B418),""))</f>
        <v/>
      </c>
      <c r="J418" s="11" t="str">
        <f t="shared" si="31"/>
        <v/>
      </c>
      <c r="K418" s="17">
        <f t="shared" si="32"/>
        <v>0</v>
      </c>
      <c r="L418" s="17">
        <f>IF(B418="",0,COUNTIFS(Changements!$A:$A,A418,Changements!$D:$D,B418)+IF(E418="Oui",1,0))</f>
        <v>0</v>
      </c>
      <c r="M418" s="17">
        <f>IF(B418="",0,COUNTIFS(Changements!$A:$A,A418,Changements!$C:$C,B418))</f>
        <v>0</v>
      </c>
      <c r="N418" s="17">
        <f>IF(B418="",0,SUMIFS(Changements!$B:$B,Changements!$A:$A,A418,Changements!$D:$D,B418))</f>
        <v>0</v>
      </c>
      <c r="O418" s="17">
        <f>IF(B418="",0,SUMIFS(Changements!$B:$B,Changements!$A:$A,A418,Changements!$C:$C,B418)+IF(L418&gt;M418,IFERROR(INDEX(Matchs!$F$4:$F$31,MATCH(A418,Matchs!$A$4:$A$31,0)),0),0))</f>
        <v>0</v>
      </c>
      <c r="P418" s="17">
        <f t="shared" si="33"/>
        <v>0</v>
      </c>
      <c r="Q418" s="17">
        <f t="shared" si="34"/>
        <v>0</v>
      </c>
    </row>
    <row r="419" spans="1:17" ht="15" customHeight="1" x14ac:dyDescent="0.25">
      <c r="A419" s="11">
        <f t="shared" si="30"/>
        <v>18</v>
      </c>
      <c r="B419" s="11" t="str">
        <f>INDEX('Effectif Saison'!$E$4:$E$22,8)</f>
        <v>Yanis HOUX</v>
      </c>
      <c r="C419" s="10"/>
      <c r="D419" s="10"/>
      <c r="E419" s="10"/>
      <c r="F419" s="19" t="str">
        <f>IF(B419="","",IF(AND(E419="Oui",COUNTIFS(Changements!$A:$A,A419,Changements!$D:$D,B419)&gt;0),"⚠ Titulaire+entrée ?",IF(ABS(L419-M419)&gt;1,"⚠ vérifier","")))</f>
        <v/>
      </c>
      <c r="G419" s="11" t="str">
        <f>IF(B419="","",IFERROR(INDEX('Effectif Saison'!$D$4:$D$51,MATCH(B419,'Effectif Saison'!$E$4:$E$51,0)),""))</f>
        <v>Équipe 1</v>
      </c>
      <c r="H419" s="19" t="str">
        <f>IF(L419=0,"",IF(E419="Oui",0,IFERROR(_xlfn.MINIFS(Changements!$B:$B,Changements!$A:$A,A419,Changements!$D:$D,B419),"")))</f>
        <v/>
      </c>
      <c r="I419" s="19" t="str">
        <f>IF(M419=0,"",IFERROR(_xlfn.MAXIFS(Changements!$B:$B,Changements!$A:$A,A419,Changements!$C:$C,B419),""))</f>
        <v/>
      </c>
      <c r="J419" s="11" t="str">
        <f t="shared" si="31"/>
        <v/>
      </c>
      <c r="K419" s="17">
        <f t="shared" si="32"/>
        <v>0</v>
      </c>
      <c r="L419" s="17">
        <f>IF(B419="",0,COUNTIFS(Changements!$A:$A,A419,Changements!$D:$D,B419)+IF(E419="Oui",1,0))</f>
        <v>0</v>
      </c>
      <c r="M419" s="17">
        <f>IF(B419="",0,COUNTIFS(Changements!$A:$A,A419,Changements!$C:$C,B419))</f>
        <v>0</v>
      </c>
      <c r="N419" s="17">
        <f>IF(B419="",0,SUMIFS(Changements!$B:$B,Changements!$A:$A,A419,Changements!$D:$D,B419))</f>
        <v>0</v>
      </c>
      <c r="O419" s="17">
        <f>IF(B419="",0,SUMIFS(Changements!$B:$B,Changements!$A:$A,A419,Changements!$C:$C,B419)+IF(L419&gt;M419,IFERROR(INDEX(Matchs!$F$4:$F$31,MATCH(A419,Matchs!$A$4:$A$31,0)),0),0))</f>
        <v>0</v>
      </c>
      <c r="P419" s="17">
        <f t="shared" si="33"/>
        <v>0</v>
      </c>
      <c r="Q419" s="17">
        <f t="shared" si="34"/>
        <v>0</v>
      </c>
    </row>
    <row r="420" spans="1:17" ht="15" customHeight="1" x14ac:dyDescent="0.25">
      <c r="A420" s="11">
        <f t="shared" si="30"/>
        <v>18</v>
      </c>
      <c r="B420" s="11" t="str">
        <f>INDEX('Effectif Saison'!$E$4:$E$22,9)</f>
        <v>Tino COLAIANNI</v>
      </c>
      <c r="C420" s="10"/>
      <c r="D420" s="10"/>
      <c r="E420" s="10"/>
      <c r="F420" s="19" t="str">
        <f>IF(B420="","",IF(AND(E420="Oui",COUNTIFS(Changements!$A:$A,A420,Changements!$D:$D,B420)&gt;0),"⚠ Titulaire+entrée ?",IF(ABS(L420-M420)&gt;1,"⚠ vérifier","")))</f>
        <v/>
      </c>
      <c r="G420" s="11" t="str">
        <f>IF(B420="","",IFERROR(INDEX('Effectif Saison'!$D$4:$D$51,MATCH(B420,'Effectif Saison'!$E$4:$E$51,0)),""))</f>
        <v>Équipe 1</v>
      </c>
      <c r="H420" s="19" t="str">
        <f>IF(L420=0,"",IF(E420="Oui",0,IFERROR(_xlfn.MINIFS(Changements!$B:$B,Changements!$A:$A,A420,Changements!$D:$D,B420),"")))</f>
        <v/>
      </c>
      <c r="I420" s="19" t="str">
        <f>IF(M420=0,"",IFERROR(_xlfn.MAXIFS(Changements!$B:$B,Changements!$A:$A,A420,Changements!$C:$C,B420),""))</f>
        <v/>
      </c>
      <c r="J420" s="11" t="str">
        <f t="shared" si="31"/>
        <v/>
      </c>
      <c r="K420" s="17">
        <f t="shared" si="32"/>
        <v>0</v>
      </c>
      <c r="L420" s="17">
        <f>IF(B420="",0,COUNTIFS(Changements!$A:$A,A420,Changements!$D:$D,B420)+IF(E420="Oui",1,0))</f>
        <v>0</v>
      </c>
      <c r="M420" s="17">
        <f>IF(B420="",0,COUNTIFS(Changements!$A:$A,A420,Changements!$C:$C,B420))</f>
        <v>0</v>
      </c>
      <c r="N420" s="17">
        <f>IF(B420="",0,SUMIFS(Changements!$B:$B,Changements!$A:$A,A420,Changements!$D:$D,B420))</f>
        <v>0</v>
      </c>
      <c r="O420" s="17">
        <f>IF(B420="",0,SUMIFS(Changements!$B:$B,Changements!$A:$A,A420,Changements!$C:$C,B420)+IF(L420&gt;M420,IFERROR(INDEX(Matchs!$F$4:$F$31,MATCH(A420,Matchs!$A$4:$A$31,0)),0),0))</f>
        <v>0</v>
      </c>
      <c r="P420" s="17">
        <f t="shared" si="33"/>
        <v>0</v>
      </c>
      <c r="Q420" s="17">
        <f t="shared" si="34"/>
        <v>0</v>
      </c>
    </row>
    <row r="421" spans="1:17" ht="15" customHeight="1" x14ac:dyDescent="0.25">
      <c r="A421" s="11">
        <f t="shared" si="30"/>
        <v>18</v>
      </c>
      <c r="B421" s="11" t="str">
        <f>INDEX('Effectif Saison'!$E$4:$E$22,10)</f>
        <v>Achille KELLERKNECHT</v>
      </c>
      <c r="C421" s="10"/>
      <c r="D421" s="10"/>
      <c r="E421" s="10"/>
      <c r="F421" s="19" t="str">
        <f>IF(B421="","",IF(AND(E421="Oui",COUNTIFS(Changements!$A:$A,A421,Changements!$D:$D,B421)&gt;0),"⚠ Titulaire+entrée ?",IF(ABS(L421-M421)&gt;1,"⚠ vérifier","")))</f>
        <v/>
      </c>
      <c r="G421" s="11" t="str">
        <f>IF(B421="","",IFERROR(INDEX('Effectif Saison'!$D$4:$D$51,MATCH(B421,'Effectif Saison'!$E$4:$E$51,0)),""))</f>
        <v>Équipe 1</v>
      </c>
      <c r="H421" s="19" t="str">
        <f>IF(L421=0,"",IF(E421="Oui",0,IFERROR(_xlfn.MINIFS(Changements!$B:$B,Changements!$A:$A,A421,Changements!$D:$D,B421),"")))</f>
        <v/>
      </c>
      <c r="I421" s="19" t="str">
        <f>IF(M421=0,"",IFERROR(_xlfn.MAXIFS(Changements!$B:$B,Changements!$A:$A,A421,Changements!$C:$C,B421),""))</f>
        <v/>
      </c>
      <c r="J421" s="11" t="str">
        <f t="shared" si="31"/>
        <v/>
      </c>
      <c r="K421" s="17">
        <f t="shared" si="32"/>
        <v>0</v>
      </c>
      <c r="L421" s="17">
        <f>IF(B421="",0,COUNTIFS(Changements!$A:$A,A421,Changements!$D:$D,B421)+IF(E421="Oui",1,0))</f>
        <v>0</v>
      </c>
      <c r="M421" s="17">
        <f>IF(B421="",0,COUNTIFS(Changements!$A:$A,A421,Changements!$C:$C,B421))</f>
        <v>0</v>
      </c>
      <c r="N421" s="17">
        <f>IF(B421="",0,SUMIFS(Changements!$B:$B,Changements!$A:$A,A421,Changements!$D:$D,B421))</f>
        <v>0</v>
      </c>
      <c r="O421" s="17">
        <f>IF(B421="",0,SUMIFS(Changements!$B:$B,Changements!$A:$A,A421,Changements!$C:$C,B421)+IF(L421&gt;M421,IFERROR(INDEX(Matchs!$F$4:$F$31,MATCH(A421,Matchs!$A$4:$A$31,0)),0),0))</f>
        <v>0</v>
      </c>
      <c r="P421" s="17">
        <f t="shared" si="33"/>
        <v>0</v>
      </c>
      <c r="Q421" s="17">
        <f t="shared" si="34"/>
        <v>0</v>
      </c>
    </row>
    <row r="422" spans="1:17" ht="15" customHeight="1" x14ac:dyDescent="0.25">
      <c r="A422" s="11">
        <f t="shared" si="30"/>
        <v>18</v>
      </c>
      <c r="B422" s="11" t="str">
        <f>INDEX('Effectif Saison'!$E$4:$E$22,11)</f>
        <v>Charly LEPERT</v>
      </c>
      <c r="C422" s="10"/>
      <c r="D422" s="10"/>
      <c r="E422" s="10"/>
      <c r="F422" s="19" t="str">
        <f>IF(B422="","",IF(AND(E422="Oui",COUNTIFS(Changements!$A:$A,A422,Changements!$D:$D,B422)&gt;0),"⚠ Titulaire+entrée ?",IF(ABS(L422-M422)&gt;1,"⚠ vérifier","")))</f>
        <v/>
      </c>
      <c r="G422" s="11" t="str">
        <f>IF(B422="","",IFERROR(INDEX('Effectif Saison'!$D$4:$D$51,MATCH(B422,'Effectif Saison'!$E$4:$E$51,0)),""))</f>
        <v>Équipe 1</v>
      </c>
      <c r="H422" s="19" t="str">
        <f>IF(L422=0,"",IF(E422="Oui",0,IFERROR(_xlfn.MINIFS(Changements!$B:$B,Changements!$A:$A,A422,Changements!$D:$D,B422),"")))</f>
        <v/>
      </c>
      <c r="I422" s="19" t="str">
        <f>IF(M422=0,"",IFERROR(_xlfn.MAXIFS(Changements!$B:$B,Changements!$A:$A,A422,Changements!$C:$C,B422),""))</f>
        <v/>
      </c>
      <c r="J422" s="11" t="str">
        <f t="shared" si="31"/>
        <v/>
      </c>
      <c r="K422" s="17">
        <f t="shared" si="32"/>
        <v>0</v>
      </c>
      <c r="L422" s="17">
        <f>IF(B422="",0,COUNTIFS(Changements!$A:$A,A422,Changements!$D:$D,B422)+IF(E422="Oui",1,0))</f>
        <v>0</v>
      </c>
      <c r="M422" s="17">
        <f>IF(B422="",0,COUNTIFS(Changements!$A:$A,A422,Changements!$C:$C,B422))</f>
        <v>0</v>
      </c>
      <c r="N422" s="17">
        <f>IF(B422="",0,SUMIFS(Changements!$B:$B,Changements!$A:$A,A422,Changements!$D:$D,B422))</f>
        <v>0</v>
      </c>
      <c r="O422" s="17">
        <f>IF(B422="",0,SUMIFS(Changements!$B:$B,Changements!$A:$A,A422,Changements!$C:$C,B422)+IF(L422&gt;M422,IFERROR(INDEX(Matchs!$F$4:$F$31,MATCH(A422,Matchs!$A$4:$A$31,0)),0),0))</f>
        <v>0</v>
      </c>
      <c r="P422" s="17">
        <f t="shared" si="33"/>
        <v>0</v>
      </c>
      <c r="Q422" s="17">
        <f t="shared" si="34"/>
        <v>0</v>
      </c>
    </row>
    <row r="423" spans="1:17" ht="15" customHeight="1" x14ac:dyDescent="0.25">
      <c r="A423" s="11">
        <f t="shared" si="30"/>
        <v>18</v>
      </c>
      <c r="B423" s="11" t="str">
        <f>INDEX('Effectif Saison'!$E$4:$E$22,12)</f>
        <v>Basile STANGRET</v>
      </c>
      <c r="C423" s="10"/>
      <c r="D423" s="10"/>
      <c r="E423" s="10"/>
      <c r="F423" s="19" t="str">
        <f>IF(B423="","",IF(AND(E423="Oui",COUNTIFS(Changements!$A:$A,A423,Changements!$D:$D,B423)&gt;0),"⚠ Titulaire+entrée ?",IF(ABS(L423-M423)&gt;1,"⚠ vérifier","")))</f>
        <v/>
      </c>
      <c r="G423" s="11" t="str">
        <f>IF(B423="","",IFERROR(INDEX('Effectif Saison'!$D$4:$D$51,MATCH(B423,'Effectif Saison'!$E$4:$E$51,0)),""))</f>
        <v>Équipe 1</v>
      </c>
      <c r="H423" s="19" t="str">
        <f>IF(L423=0,"",IF(E423="Oui",0,IFERROR(_xlfn.MINIFS(Changements!$B:$B,Changements!$A:$A,A423,Changements!$D:$D,B423),"")))</f>
        <v/>
      </c>
      <c r="I423" s="19" t="str">
        <f>IF(M423=0,"",IFERROR(_xlfn.MAXIFS(Changements!$B:$B,Changements!$A:$A,A423,Changements!$C:$C,B423),""))</f>
        <v/>
      </c>
      <c r="J423" s="11" t="str">
        <f t="shared" si="31"/>
        <v/>
      </c>
      <c r="K423" s="17">
        <f t="shared" si="32"/>
        <v>0</v>
      </c>
      <c r="L423" s="17">
        <f>IF(B423="",0,COUNTIFS(Changements!$A:$A,A423,Changements!$D:$D,B423)+IF(E423="Oui",1,0))</f>
        <v>0</v>
      </c>
      <c r="M423" s="17">
        <f>IF(B423="",0,COUNTIFS(Changements!$A:$A,A423,Changements!$C:$C,B423))</f>
        <v>0</v>
      </c>
      <c r="N423" s="17">
        <f>IF(B423="",0,SUMIFS(Changements!$B:$B,Changements!$A:$A,A423,Changements!$D:$D,B423))</f>
        <v>0</v>
      </c>
      <c r="O423" s="17">
        <f>IF(B423="",0,SUMIFS(Changements!$B:$B,Changements!$A:$A,A423,Changements!$C:$C,B423)+IF(L423&gt;M423,IFERROR(INDEX(Matchs!$F$4:$F$31,MATCH(A423,Matchs!$A$4:$A$31,0)),0),0))</f>
        <v>0</v>
      </c>
      <c r="P423" s="17">
        <f t="shared" si="33"/>
        <v>0</v>
      </c>
      <c r="Q423" s="17">
        <f t="shared" si="34"/>
        <v>0</v>
      </c>
    </row>
    <row r="424" spans="1:17" ht="15" customHeight="1" x14ac:dyDescent="0.25">
      <c r="A424" s="11">
        <f t="shared" si="30"/>
        <v>18</v>
      </c>
      <c r="B424" s="11" t="str">
        <f>INDEX('Effectif Saison'!$E$4:$E$22,13)</f>
        <v>Maxence KELLER</v>
      </c>
      <c r="C424" s="10"/>
      <c r="D424" s="10"/>
      <c r="E424" s="10"/>
      <c r="F424" s="19" t="str">
        <f>IF(B424="","",IF(AND(E424="Oui",COUNTIFS(Changements!$A:$A,A424,Changements!$D:$D,B424)&gt;0),"⚠ Titulaire+entrée ?",IF(ABS(L424-M424)&gt;1,"⚠ vérifier","")))</f>
        <v/>
      </c>
      <c r="G424" s="11" t="str">
        <f>IF(B424="","",IFERROR(INDEX('Effectif Saison'!$D$4:$D$51,MATCH(B424,'Effectif Saison'!$E$4:$E$51,0)),""))</f>
        <v>Équipe 1</v>
      </c>
      <c r="H424" s="19" t="str">
        <f>IF(L424=0,"",IF(E424="Oui",0,IFERROR(_xlfn.MINIFS(Changements!$B:$B,Changements!$A:$A,A424,Changements!$D:$D,B424),"")))</f>
        <v/>
      </c>
      <c r="I424" s="19" t="str">
        <f>IF(M424=0,"",IFERROR(_xlfn.MAXIFS(Changements!$B:$B,Changements!$A:$A,A424,Changements!$C:$C,B424),""))</f>
        <v/>
      </c>
      <c r="J424" s="11" t="str">
        <f t="shared" si="31"/>
        <v/>
      </c>
      <c r="K424" s="17">
        <f t="shared" si="32"/>
        <v>0</v>
      </c>
      <c r="L424" s="17">
        <f>IF(B424="",0,COUNTIFS(Changements!$A:$A,A424,Changements!$D:$D,B424)+IF(E424="Oui",1,0))</f>
        <v>0</v>
      </c>
      <c r="M424" s="17">
        <f>IF(B424="",0,COUNTIFS(Changements!$A:$A,A424,Changements!$C:$C,B424))</f>
        <v>0</v>
      </c>
      <c r="N424" s="17">
        <f>IF(B424="",0,SUMIFS(Changements!$B:$B,Changements!$A:$A,A424,Changements!$D:$D,B424))</f>
        <v>0</v>
      </c>
      <c r="O424" s="17">
        <f>IF(B424="",0,SUMIFS(Changements!$B:$B,Changements!$A:$A,A424,Changements!$C:$C,B424)+IF(L424&gt;M424,IFERROR(INDEX(Matchs!$F$4:$F$31,MATCH(A424,Matchs!$A$4:$A$31,0)),0),0))</f>
        <v>0</v>
      </c>
      <c r="P424" s="17">
        <f t="shared" si="33"/>
        <v>0</v>
      </c>
      <c r="Q424" s="17">
        <f t="shared" si="34"/>
        <v>0</v>
      </c>
    </row>
    <row r="425" spans="1:17" ht="15" customHeight="1" x14ac:dyDescent="0.25">
      <c r="A425" s="11">
        <f t="shared" si="30"/>
        <v>18</v>
      </c>
      <c r="B425" s="11" t="str">
        <f>INDEX('Effectif Saison'!$E$4:$E$22,14)</f>
        <v>Evan SCHMITT</v>
      </c>
      <c r="C425" s="10"/>
      <c r="D425" s="10"/>
      <c r="E425" s="10"/>
      <c r="F425" s="19" t="str">
        <f>IF(B425="","",IF(AND(E425="Oui",COUNTIFS(Changements!$A:$A,A425,Changements!$D:$D,B425)&gt;0),"⚠ Titulaire+entrée ?",IF(ABS(L425-M425)&gt;1,"⚠ vérifier","")))</f>
        <v/>
      </c>
      <c r="G425" s="11" t="str">
        <f>IF(B425="","",IFERROR(INDEX('Effectif Saison'!$D$4:$D$51,MATCH(B425,'Effectif Saison'!$E$4:$E$51,0)),""))</f>
        <v>Équipe 1</v>
      </c>
      <c r="H425" s="19" t="str">
        <f>IF(L425=0,"",IF(E425="Oui",0,IFERROR(_xlfn.MINIFS(Changements!$B:$B,Changements!$A:$A,A425,Changements!$D:$D,B425),"")))</f>
        <v/>
      </c>
      <c r="I425" s="19" t="str">
        <f>IF(M425=0,"",IFERROR(_xlfn.MAXIFS(Changements!$B:$B,Changements!$A:$A,A425,Changements!$C:$C,B425),""))</f>
        <v/>
      </c>
      <c r="J425" s="11" t="str">
        <f t="shared" si="31"/>
        <v/>
      </c>
      <c r="K425" s="17">
        <f t="shared" si="32"/>
        <v>0</v>
      </c>
      <c r="L425" s="17">
        <f>IF(B425="",0,COUNTIFS(Changements!$A:$A,A425,Changements!$D:$D,B425)+IF(E425="Oui",1,0))</f>
        <v>0</v>
      </c>
      <c r="M425" s="17">
        <f>IF(B425="",0,COUNTIFS(Changements!$A:$A,A425,Changements!$C:$C,B425))</f>
        <v>0</v>
      </c>
      <c r="N425" s="17">
        <f>IF(B425="",0,SUMIFS(Changements!$B:$B,Changements!$A:$A,A425,Changements!$D:$D,B425))</f>
        <v>0</v>
      </c>
      <c r="O425" s="17">
        <f>IF(B425="",0,SUMIFS(Changements!$B:$B,Changements!$A:$A,A425,Changements!$C:$C,B425)+IF(L425&gt;M425,IFERROR(INDEX(Matchs!$F$4:$F$31,MATCH(A425,Matchs!$A$4:$A$31,0)),0),0))</f>
        <v>0</v>
      </c>
      <c r="P425" s="17">
        <f t="shared" si="33"/>
        <v>0</v>
      </c>
      <c r="Q425" s="17">
        <f t="shared" si="34"/>
        <v>0</v>
      </c>
    </row>
    <row r="426" spans="1:17" ht="15" customHeight="1" x14ac:dyDescent="0.25">
      <c r="A426" s="11">
        <f t="shared" si="30"/>
        <v>18</v>
      </c>
      <c r="B426" s="11" t="str">
        <f>INDEX('Effectif Saison'!$E$4:$E$22,15)</f>
        <v>William SIMON</v>
      </c>
      <c r="C426" s="10"/>
      <c r="D426" s="10"/>
      <c r="E426" s="10"/>
      <c r="F426" s="19" t="str">
        <f>IF(B426="","",IF(AND(E426="Oui",COUNTIFS(Changements!$A:$A,A426,Changements!$D:$D,B426)&gt;0),"⚠ Titulaire+entrée ?",IF(ABS(L426-M426)&gt;1,"⚠ vérifier","")))</f>
        <v/>
      </c>
      <c r="G426" s="11" t="str">
        <f>IF(B426="","",IFERROR(INDEX('Effectif Saison'!$D$4:$D$51,MATCH(B426,'Effectif Saison'!$E$4:$E$51,0)),""))</f>
        <v>Équipe 1</v>
      </c>
      <c r="H426" s="19" t="str">
        <f>IF(L426=0,"",IF(E426="Oui",0,IFERROR(_xlfn.MINIFS(Changements!$B:$B,Changements!$A:$A,A426,Changements!$D:$D,B426),"")))</f>
        <v/>
      </c>
      <c r="I426" s="19" t="str">
        <f>IF(M426=0,"",IFERROR(_xlfn.MAXIFS(Changements!$B:$B,Changements!$A:$A,A426,Changements!$C:$C,B426),""))</f>
        <v/>
      </c>
      <c r="J426" s="11" t="str">
        <f t="shared" si="31"/>
        <v/>
      </c>
      <c r="K426" s="17">
        <f t="shared" si="32"/>
        <v>0</v>
      </c>
      <c r="L426" s="17">
        <f>IF(B426="",0,COUNTIFS(Changements!$A:$A,A426,Changements!$D:$D,B426)+IF(E426="Oui",1,0))</f>
        <v>0</v>
      </c>
      <c r="M426" s="17">
        <f>IF(B426="",0,COUNTIFS(Changements!$A:$A,A426,Changements!$C:$C,B426))</f>
        <v>0</v>
      </c>
      <c r="N426" s="17">
        <f>IF(B426="",0,SUMIFS(Changements!$B:$B,Changements!$A:$A,A426,Changements!$D:$D,B426))</f>
        <v>0</v>
      </c>
      <c r="O426" s="17">
        <f>IF(B426="",0,SUMIFS(Changements!$B:$B,Changements!$A:$A,A426,Changements!$C:$C,B426)+IF(L426&gt;M426,IFERROR(INDEX(Matchs!$F$4:$F$31,MATCH(A426,Matchs!$A$4:$A$31,0)),0),0))</f>
        <v>0</v>
      </c>
      <c r="P426" s="17">
        <f t="shared" si="33"/>
        <v>0</v>
      </c>
      <c r="Q426" s="17">
        <f t="shared" si="34"/>
        <v>0</v>
      </c>
    </row>
    <row r="427" spans="1:17" ht="15" customHeight="1" x14ac:dyDescent="0.25">
      <c r="A427" s="11">
        <f t="shared" si="30"/>
        <v>18</v>
      </c>
      <c r="B427" s="11" t="str">
        <f>INDEX('Effectif Saison'!$E$4:$E$22,16)</f>
        <v>Lenny LEPPER</v>
      </c>
      <c r="C427" s="10"/>
      <c r="D427" s="10"/>
      <c r="E427" s="10"/>
      <c r="F427" s="19" t="str">
        <f>IF(B427="","",IF(AND(E427="Oui",COUNTIFS(Changements!$A:$A,A427,Changements!$D:$D,B427)&gt;0),"⚠ Titulaire+entrée ?",IF(ABS(L427-M427)&gt;1,"⚠ vérifier","")))</f>
        <v/>
      </c>
      <c r="G427" s="11" t="str">
        <f>IF(B427="","",IFERROR(INDEX('Effectif Saison'!$D$4:$D$51,MATCH(B427,'Effectif Saison'!$E$4:$E$51,0)),""))</f>
        <v>Équipe 1</v>
      </c>
      <c r="H427" s="19" t="str">
        <f>IF(L427=0,"",IF(E427="Oui",0,IFERROR(_xlfn.MINIFS(Changements!$B:$B,Changements!$A:$A,A427,Changements!$D:$D,B427),"")))</f>
        <v/>
      </c>
      <c r="I427" s="19" t="str">
        <f>IF(M427=0,"",IFERROR(_xlfn.MAXIFS(Changements!$B:$B,Changements!$A:$A,A427,Changements!$C:$C,B427),""))</f>
        <v/>
      </c>
      <c r="J427" s="11" t="str">
        <f t="shared" si="31"/>
        <v/>
      </c>
      <c r="K427" s="17">
        <f t="shared" si="32"/>
        <v>0</v>
      </c>
      <c r="L427" s="17">
        <f>IF(B427="",0,COUNTIFS(Changements!$A:$A,A427,Changements!$D:$D,B427)+IF(E427="Oui",1,0))</f>
        <v>0</v>
      </c>
      <c r="M427" s="17">
        <f>IF(B427="",0,COUNTIFS(Changements!$A:$A,A427,Changements!$C:$C,B427))</f>
        <v>0</v>
      </c>
      <c r="N427" s="17">
        <f>IF(B427="",0,SUMIFS(Changements!$B:$B,Changements!$A:$A,A427,Changements!$D:$D,B427))</f>
        <v>0</v>
      </c>
      <c r="O427" s="17">
        <f>IF(B427="",0,SUMIFS(Changements!$B:$B,Changements!$A:$A,A427,Changements!$C:$C,B427)+IF(L427&gt;M427,IFERROR(INDEX(Matchs!$F$4:$F$31,MATCH(A427,Matchs!$A$4:$A$31,0)),0),0))</f>
        <v>0</v>
      </c>
      <c r="P427" s="17">
        <f t="shared" si="33"/>
        <v>0</v>
      </c>
      <c r="Q427" s="17">
        <f t="shared" si="34"/>
        <v>0</v>
      </c>
    </row>
    <row r="428" spans="1:17" ht="15" customHeight="1" x14ac:dyDescent="0.25">
      <c r="A428" s="11">
        <f t="shared" si="30"/>
        <v>18</v>
      </c>
      <c r="B428" s="11" t="str">
        <f>INDEX('Effectif Saison'!$E$4:$E$22,17)</f>
        <v>Malo KELLER</v>
      </c>
      <c r="C428" s="10"/>
      <c r="D428" s="10"/>
      <c r="E428" s="10"/>
      <c r="F428" s="19" t="str">
        <f>IF(B428="","",IF(AND(E428="Oui",COUNTIFS(Changements!$A:$A,A428,Changements!$D:$D,B428)&gt;0),"⚠ Titulaire+entrée ?",IF(ABS(L428-M428)&gt;1,"⚠ vérifier","")))</f>
        <v/>
      </c>
      <c r="G428" s="11" t="str">
        <f>IF(B428="","",IFERROR(INDEX('Effectif Saison'!$D$4:$D$51,MATCH(B428,'Effectif Saison'!$E$4:$E$51,0)),""))</f>
        <v>Équipe 1</v>
      </c>
      <c r="H428" s="19" t="str">
        <f>IF(L428=0,"",IF(E428="Oui",0,IFERROR(_xlfn.MINIFS(Changements!$B:$B,Changements!$A:$A,A428,Changements!$D:$D,B428),"")))</f>
        <v/>
      </c>
      <c r="I428" s="19" t="str">
        <f>IF(M428=0,"",IFERROR(_xlfn.MAXIFS(Changements!$B:$B,Changements!$A:$A,A428,Changements!$C:$C,B428),""))</f>
        <v/>
      </c>
      <c r="J428" s="11" t="str">
        <f t="shared" si="31"/>
        <v/>
      </c>
      <c r="K428" s="17">
        <f t="shared" si="32"/>
        <v>0</v>
      </c>
      <c r="L428" s="17">
        <f>IF(B428="",0,COUNTIFS(Changements!$A:$A,A428,Changements!$D:$D,B428)+IF(E428="Oui",1,0))</f>
        <v>0</v>
      </c>
      <c r="M428" s="17">
        <f>IF(B428="",0,COUNTIFS(Changements!$A:$A,A428,Changements!$C:$C,B428))</f>
        <v>0</v>
      </c>
      <c r="N428" s="17">
        <f>IF(B428="",0,SUMIFS(Changements!$B:$B,Changements!$A:$A,A428,Changements!$D:$D,B428))</f>
        <v>0</v>
      </c>
      <c r="O428" s="17">
        <f>IF(B428="",0,SUMIFS(Changements!$B:$B,Changements!$A:$A,A428,Changements!$C:$C,B428)+IF(L428&gt;M428,IFERROR(INDEX(Matchs!$F$4:$F$31,MATCH(A428,Matchs!$A$4:$A$31,0)),0),0))</f>
        <v>0</v>
      </c>
      <c r="P428" s="17">
        <f t="shared" si="33"/>
        <v>0</v>
      </c>
      <c r="Q428" s="17">
        <f t="shared" si="34"/>
        <v>0</v>
      </c>
    </row>
    <row r="429" spans="1:17" ht="15" customHeight="1" x14ac:dyDescent="0.25">
      <c r="A429" s="11">
        <f t="shared" si="30"/>
        <v>18</v>
      </c>
      <c r="B429" s="11" t="str">
        <f>INDEX('Effectif Saison'!$E$4:$E$22,18)</f>
        <v>Tom SCHILLER</v>
      </c>
      <c r="C429" s="10"/>
      <c r="D429" s="10"/>
      <c r="E429" s="10"/>
      <c r="F429" s="19" t="str">
        <f>IF(B429="","",IF(AND(E429="Oui",COUNTIFS(Changements!$A:$A,A429,Changements!$D:$D,B429)&gt;0),"⚠ Titulaire+entrée ?",IF(ABS(L429-M429)&gt;1,"⚠ vérifier","")))</f>
        <v/>
      </c>
      <c r="G429" s="11" t="str">
        <f>IF(B429="","",IFERROR(INDEX('Effectif Saison'!$D$4:$D$51,MATCH(B429,'Effectif Saison'!$E$4:$E$51,0)),""))</f>
        <v>Équipe 1</v>
      </c>
      <c r="H429" s="19" t="str">
        <f>IF(L429=0,"",IF(E429="Oui",0,IFERROR(_xlfn.MINIFS(Changements!$B:$B,Changements!$A:$A,A429,Changements!$D:$D,B429),"")))</f>
        <v/>
      </c>
      <c r="I429" s="19" t="str">
        <f>IF(M429=0,"",IFERROR(_xlfn.MAXIFS(Changements!$B:$B,Changements!$A:$A,A429,Changements!$C:$C,B429),""))</f>
        <v/>
      </c>
      <c r="J429" s="11" t="str">
        <f t="shared" si="31"/>
        <v/>
      </c>
      <c r="K429" s="17">
        <f t="shared" si="32"/>
        <v>0</v>
      </c>
      <c r="L429" s="17">
        <f>IF(B429="",0,COUNTIFS(Changements!$A:$A,A429,Changements!$D:$D,B429)+IF(E429="Oui",1,0))</f>
        <v>0</v>
      </c>
      <c r="M429" s="17">
        <f>IF(B429="",0,COUNTIFS(Changements!$A:$A,A429,Changements!$C:$C,B429))</f>
        <v>0</v>
      </c>
      <c r="N429" s="17">
        <f>IF(B429="",0,SUMIFS(Changements!$B:$B,Changements!$A:$A,A429,Changements!$D:$D,B429))</f>
        <v>0</v>
      </c>
      <c r="O429" s="17">
        <f>IF(B429="",0,SUMIFS(Changements!$B:$B,Changements!$A:$A,A429,Changements!$C:$C,B429)+IF(L429&gt;M429,IFERROR(INDEX(Matchs!$F$4:$F$31,MATCH(A429,Matchs!$A$4:$A$31,0)),0),0))</f>
        <v>0</v>
      </c>
      <c r="P429" s="17">
        <f t="shared" si="33"/>
        <v>0</v>
      </c>
      <c r="Q429" s="17">
        <f t="shared" si="34"/>
        <v>0</v>
      </c>
    </row>
    <row r="430" spans="1:17" ht="15" customHeight="1" x14ac:dyDescent="0.25">
      <c r="A430" s="11">
        <f t="shared" si="30"/>
        <v>18</v>
      </c>
      <c r="B430" s="11" t="str">
        <f>INDEX('Effectif Saison'!$E$4:$E$22,19)</f>
        <v>Eliot LEIBY</v>
      </c>
      <c r="C430" s="10"/>
      <c r="D430" s="10"/>
      <c r="E430" s="10"/>
      <c r="F430" s="19" t="str">
        <f>IF(B430="","",IF(AND(E430="Oui",COUNTIFS(Changements!$A:$A,A430,Changements!$D:$D,B430)&gt;0),"⚠ Titulaire+entrée ?",IF(ABS(L430-M430)&gt;1,"⚠ vérifier","")))</f>
        <v/>
      </c>
      <c r="G430" s="11" t="str">
        <f>IF(B430="","",IFERROR(INDEX('Effectif Saison'!$D$4:$D$51,MATCH(B430,'Effectif Saison'!$E$4:$E$51,0)),""))</f>
        <v>Équipe 1</v>
      </c>
      <c r="H430" s="19" t="str">
        <f>IF(L430=0,"",IF(E430="Oui",0,IFERROR(_xlfn.MINIFS(Changements!$B:$B,Changements!$A:$A,A430,Changements!$D:$D,B430),"")))</f>
        <v/>
      </c>
      <c r="I430" s="19" t="str">
        <f>IF(M430=0,"",IFERROR(_xlfn.MAXIFS(Changements!$B:$B,Changements!$A:$A,A430,Changements!$C:$C,B430),""))</f>
        <v/>
      </c>
      <c r="J430" s="11" t="str">
        <f t="shared" si="31"/>
        <v/>
      </c>
      <c r="K430" s="17">
        <f t="shared" si="32"/>
        <v>0</v>
      </c>
      <c r="L430" s="17">
        <f>IF(B430="",0,COUNTIFS(Changements!$A:$A,A430,Changements!$D:$D,B430)+IF(E430="Oui",1,0))</f>
        <v>0</v>
      </c>
      <c r="M430" s="17">
        <f>IF(B430="",0,COUNTIFS(Changements!$A:$A,A430,Changements!$C:$C,B430))</f>
        <v>0</v>
      </c>
      <c r="N430" s="17">
        <f>IF(B430="",0,SUMIFS(Changements!$B:$B,Changements!$A:$A,A430,Changements!$D:$D,B430))</f>
        <v>0</v>
      </c>
      <c r="O430" s="17">
        <f>IF(B430="",0,SUMIFS(Changements!$B:$B,Changements!$A:$A,A430,Changements!$C:$C,B430)+IF(L430&gt;M430,IFERROR(INDEX(Matchs!$F$4:$F$31,MATCH(A430,Matchs!$A$4:$A$31,0)),0),0))</f>
        <v>0</v>
      </c>
      <c r="P430" s="17">
        <f t="shared" si="33"/>
        <v>0</v>
      </c>
      <c r="Q430" s="17">
        <f t="shared" si="34"/>
        <v>0</v>
      </c>
    </row>
    <row r="431" spans="1:17" ht="15" customHeight="1" x14ac:dyDescent="0.25">
      <c r="A431" s="11">
        <f t="shared" si="30"/>
        <v>18</v>
      </c>
      <c r="B431" s="10"/>
      <c r="C431" s="10"/>
      <c r="D431" s="10"/>
      <c r="E431" s="10"/>
      <c r="F431" s="19" t="str">
        <f>IF(B431="","",IF(AND(E431="Oui",COUNTIFS(Changements!$A:$A,A431,Changements!$D:$D,B431)&gt;0),"⚠ Titulaire+entrée ?",IF(ABS(L431-M431)&gt;1,"⚠ vérifier","")))</f>
        <v/>
      </c>
      <c r="G431" s="11" t="str">
        <f>IF(B431="","",IFERROR(INDEX('Effectif Saison'!$D$4:$D$51,MATCH(B431,'Effectif Saison'!$E$4:$E$51,0)),""))</f>
        <v/>
      </c>
      <c r="H431" s="19" t="str">
        <f>IF(L431=0,"",IF(E431="Oui",0,IFERROR(_xlfn.MINIFS(Changements!$B:$B,Changements!$A:$A,A431,Changements!$D:$D,B431),"")))</f>
        <v/>
      </c>
      <c r="I431" s="19" t="str">
        <f>IF(M431=0,"",IFERROR(_xlfn.MAXIFS(Changements!$B:$B,Changements!$A:$A,A431,Changements!$C:$C,B431),""))</f>
        <v/>
      </c>
      <c r="J431" s="11" t="str">
        <f t="shared" si="31"/>
        <v/>
      </c>
      <c r="K431" s="17">
        <f t="shared" si="32"/>
        <v>0</v>
      </c>
      <c r="L431" s="17">
        <f>IF(B431="",0,COUNTIFS(Changements!$A:$A,A431,Changements!$D:$D,B431)+IF(E431="Oui",1,0))</f>
        <v>0</v>
      </c>
      <c r="M431" s="17">
        <f>IF(B431="",0,COUNTIFS(Changements!$A:$A,A431,Changements!$C:$C,B431))</f>
        <v>0</v>
      </c>
      <c r="N431" s="17">
        <f>IF(B431="",0,SUMIFS(Changements!$B:$B,Changements!$A:$A,A431,Changements!$D:$D,B431))</f>
        <v>0</v>
      </c>
      <c r="O431" s="17">
        <f>IF(B431="",0,SUMIFS(Changements!$B:$B,Changements!$A:$A,A431,Changements!$C:$C,B431)+IF(L431&gt;M431,IFERROR(INDEX(Matchs!$F$4:$F$31,MATCH(A431,Matchs!$A$4:$A$31,0)),0),0))</f>
        <v>0</v>
      </c>
      <c r="P431" s="17">
        <f t="shared" si="33"/>
        <v>0</v>
      </c>
      <c r="Q431" s="17">
        <f t="shared" si="34"/>
        <v>0</v>
      </c>
    </row>
    <row r="432" spans="1:17" ht="15" customHeight="1" x14ac:dyDescent="0.25">
      <c r="A432" s="11">
        <f t="shared" si="30"/>
        <v>18</v>
      </c>
      <c r="B432" s="10"/>
      <c r="C432" s="10"/>
      <c r="D432" s="10"/>
      <c r="E432" s="10"/>
      <c r="F432" s="19" t="str">
        <f>IF(B432="","",IF(AND(E432="Oui",COUNTIFS(Changements!$A:$A,A432,Changements!$D:$D,B432)&gt;0),"⚠ Titulaire+entrée ?",IF(ABS(L432-M432)&gt;1,"⚠ vérifier","")))</f>
        <v/>
      </c>
      <c r="G432" s="11" t="str">
        <f>IF(B432="","",IFERROR(INDEX('Effectif Saison'!$D$4:$D$51,MATCH(B432,'Effectif Saison'!$E$4:$E$51,0)),""))</f>
        <v/>
      </c>
      <c r="H432" s="19" t="str">
        <f>IF(L432=0,"",IF(E432="Oui",0,IFERROR(_xlfn.MINIFS(Changements!$B:$B,Changements!$A:$A,A432,Changements!$D:$D,B432),"")))</f>
        <v/>
      </c>
      <c r="I432" s="19" t="str">
        <f>IF(M432=0,"",IFERROR(_xlfn.MAXIFS(Changements!$B:$B,Changements!$A:$A,A432,Changements!$C:$C,B432),""))</f>
        <v/>
      </c>
      <c r="J432" s="11" t="str">
        <f t="shared" si="31"/>
        <v/>
      </c>
      <c r="K432" s="17">
        <f t="shared" si="32"/>
        <v>0</v>
      </c>
      <c r="L432" s="17">
        <f>IF(B432="",0,COUNTIFS(Changements!$A:$A,A432,Changements!$D:$D,B432)+IF(E432="Oui",1,0))</f>
        <v>0</v>
      </c>
      <c r="M432" s="17">
        <f>IF(B432="",0,COUNTIFS(Changements!$A:$A,A432,Changements!$C:$C,B432))</f>
        <v>0</v>
      </c>
      <c r="N432" s="17">
        <f>IF(B432="",0,SUMIFS(Changements!$B:$B,Changements!$A:$A,A432,Changements!$D:$D,B432))</f>
        <v>0</v>
      </c>
      <c r="O432" s="17">
        <f>IF(B432="",0,SUMIFS(Changements!$B:$B,Changements!$A:$A,A432,Changements!$C:$C,B432)+IF(L432&gt;M432,IFERROR(INDEX(Matchs!$F$4:$F$31,MATCH(A432,Matchs!$A$4:$A$31,0)),0),0))</f>
        <v>0</v>
      </c>
      <c r="P432" s="17">
        <f t="shared" si="33"/>
        <v>0</v>
      </c>
      <c r="Q432" s="17">
        <f t="shared" si="34"/>
        <v>0</v>
      </c>
    </row>
    <row r="433" spans="1:17" ht="15" customHeight="1" x14ac:dyDescent="0.25">
      <c r="A433" s="11">
        <f t="shared" si="30"/>
        <v>18</v>
      </c>
      <c r="B433" s="10"/>
      <c r="C433" s="10"/>
      <c r="D433" s="10"/>
      <c r="E433" s="10"/>
      <c r="F433" s="19" t="str">
        <f>IF(B433="","",IF(AND(E433="Oui",COUNTIFS(Changements!$A:$A,A433,Changements!$D:$D,B433)&gt;0),"⚠ Titulaire+entrée ?",IF(ABS(L433-M433)&gt;1,"⚠ vérifier","")))</f>
        <v/>
      </c>
      <c r="G433" s="11" t="str">
        <f>IF(B433="","",IFERROR(INDEX('Effectif Saison'!$D$4:$D$51,MATCH(B433,'Effectif Saison'!$E$4:$E$51,0)),""))</f>
        <v/>
      </c>
      <c r="H433" s="19" t="str">
        <f>IF(L433=0,"",IF(E433="Oui",0,IFERROR(_xlfn.MINIFS(Changements!$B:$B,Changements!$A:$A,A433,Changements!$D:$D,B433),"")))</f>
        <v/>
      </c>
      <c r="I433" s="19" t="str">
        <f>IF(M433=0,"",IFERROR(_xlfn.MAXIFS(Changements!$B:$B,Changements!$A:$A,A433,Changements!$C:$C,B433),""))</f>
        <v/>
      </c>
      <c r="J433" s="11" t="str">
        <f t="shared" si="31"/>
        <v/>
      </c>
      <c r="K433" s="17">
        <f t="shared" si="32"/>
        <v>0</v>
      </c>
      <c r="L433" s="17">
        <f>IF(B433="",0,COUNTIFS(Changements!$A:$A,A433,Changements!$D:$D,B433)+IF(E433="Oui",1,0))</f>
        <v>0</v>
      </c>
      <c r="M433" s="17">
        <f>IF(B433="",0,COUNTIFS(Changements!$A:$A,A433,Changements!$C:$C,B433))</f>
        <v>0</v>
      </c>
      <c r="N433" s="17">
        <f>IF(B433="",0,SUMIFS(Changements!$B:$B,Changements!$A:$A,A433,Changements!$D:$D,B433))</f>
        <v>0</v>
      </c>
      <c r="O433" s="17">
        <f>IF(B433="",0,SUMIFS(Changements!$B:$B,Changements!$A:$A,A433,Changements!$C:$C,B433)+IF(L433&gt;M433,IFERROR(INDEX(Matchs!$F$4:$F$31,MATCH(A433,Matchs!$A$4:$A$31,0)),0),0))</f>
        <v>0</v>
      </c>
      <c r="P433" s="17">
        <f t="shared" si="33"/>
        <v>0</v>
      </c>
      <c r="Q433" s="17">
        <f t="shared" si="34"/>
        <v>0</v>
      </c>
    </row>
    <row r="434" spans="1:17" ht="15" customHeight="1" x14ac:dyDescent="0.25">
      <c r="A434" s="11">
        <f t="shared" si="30"/>
        <v>18</v>
      </c>
      <c r="B434" s="10"/>
      <c r="C434" s="10"/>
      <c r="D434" s="10"/>
      <c r="E434" s="10"/>
      <c r="F434" s="19" t="str">
        <f>IF(B434="","",IF(AND(E434="Oui",COUNTIFS(Changements!$A:$A,A434,Changements!$D:$D,B434)&gt;0),"⚠ Titulaire+entrée ?",IF(ABS(L434-M434)&gt;1,"⚠ vérifier","")))</f>
        <v/>
      </c>
      <c r="G434" s="11" t="str">
        <f>IF(B434="","",IFERROR(INDEX('Effectif Saison'!$D$4:$D$51,MATCH(B434,'Effectif Saison'!$E$4:$E$51,0)),""))</f>
        <v/>
      </c>
      <c r="H434" s="19" t="str">
        <f>IF(L434=0,"",IF(E434="Oui",0,IFERROR(_xlfn.MINIFS(Changements!$B:$B,Changements!$A:$A,A434,Changements!$D:$D,B434),"")))</f>
        <v/>
      </c>
      <c r="I434" s="19" t="str">
        <f>IF(M434=0,"",IFERROR(_xlfn.MAXIFS(Changements!$B:$B,Changements!$A:$A,A434,Changements!$C:$C,B434),""))</f>
        <v/>
      </c>
      <c r="J434" s="11" t="str">
        <f t="shared" si="31"/>
        <v/>
      </c>
      <c r="K434" s="17">
        <f t="shared" si="32"/>
        <v>0</v>
      </c>
      <c r="L434" s="17">
        <f>IF(B434="",0,COUNTIFS(Changements!$A:$A,A434,Changements!$D:$D,B434)+IF(E434="Oui",1,0))</f>
        <v>0</v>
      </c>
      <c r="M434" s="17">
        <f>IF(B434="",0,COUNTIFS(Changements!$A:$A,A434,Changements!$C:$C,B434))</f>
        <v>0</v>
      </c>
      <c r="N434" s="17">
        <f>IF(B434="",0,SUMIFS(Changements!$B:$B,Changements!$A:$A,A434,Changements!$D:$D,B434))</f>
        <v>0</v>
      </c>
      <c r="O434" s="17">
        <f>IF(B434="",0,SUMIFS(Changements!$B:$B,Changements!$A:$A,A434,Changements!$C:$C,B434)+IF(L434&gt;M434,IFERROR(INDEX(Matchs!$F$4:$F$31,MATCH(A434,Matchs!$A$4:$A$31,0)),0),0))</f>
        <v>0</v>
      </c>
      <c r="P434" s="17">
        <f t="shared" si="33"/>
        <v>0</v>
      </c>
      <c r="Q434" s="17">
        <f t="shared" si="34"/>
        <v>0</v>
      </c>
    </row>
    <row r="435" spans="1:17" ht="15" customHeight="1" x14ac:dyDescent="0.25">
      <c r="A435" s="11">
        <f t="shared" si="30"/>
        <v>18</v>
      </c>
      <c r="B435" s="10"/>
      <c r="C435" s="10"/>
      <c r="D435" s="10"/>
      <c r="E435" s="10"/>
      <c r="F435" s="19" t="str">
        <f>IF(B435="","",IF(AND(E435="Oui",COUNTIFS(Changements!$A:$A,A435,Changements!$D:$D,B435)&gt;0),"⚠ Titulaire+entrée ?",IF(ABS(L435-M435)&gt;1,"⚠ vérifier","")))</f>
        <v/>
      </c>
      <c r="G435" s="11" t="str">
        <f>IF(B435="","",IFERROR(INDEX('Effectif Saison'!$D$4:$D$51,MATCH(B435,'Effectif Saison'!$E$4:$E$51,0)),""))</f>
        <v/>
      </c>
      <c r="H435" s="19" t="str">
        <f>IF(L435=0,"",IF(E435="Oui",0,IFERROR(_xlfn.MINIFS(Changements!$B:$B,Changements!$A:$A,A435,Changements!$D:$D,B435),"")))</f>
        <v/>
      </c>
      <c r="I435" s="19" t="str">
        <f>IF(M435=0,"",IFERROR(_xlfn.MAXIFS(Changements!$B:$B,Changements!$A:$A,A435,Changements!$C:$C,B435),""))</f>
        <v/>
      </c>
      <c r="J435" s="11" t="str">
        <f t="shared" si="31"/>
        <v/>
      </c>
      <c r="K435" s="17">
        <f t="shared" si="32"/>
        <v>0</v>
      </c>
      <c r="L435" s="17">
        <f>IF(B435="",0,COUNTIFS(Changements!$A:$A,A435,Changements!$D:$D,B435)+IF(E435="Oui",1,0))</f>
        <v>0</v>
      </c>
      <c r="M435" s="17">
        <f>IF(B435="",0,COUNTIFS(Changements!$A:$A,A435,Changements!$C:$C,B435))</f>
        <v>0</v>
      </c>
      <c r="N435" s="17">
        <f>IF(B435="",0,SUMIFS(Changements!$B:$B,Changements!$A:$A,A435,Changements!$D:$D,B435))</f>
        <v>0</v>
      </c>
      <c r="O435" s="17">
        <f>IF(B435="",0,SUMIFS(Changements!$B:$B,Changements!$A:$A,A435,Changements!$C:$C,B435)+IF(L435&gt;M435,IFERROR(INDEX(Matchs!$F$4:$F$31,MATCH(A435,Matchs!$A$4:$A$31,0)),0),0))</f>
        <v>0</v>
      </c>
      <c r="P435" s="17">
        <f t="shared" si="33"/>
        <v>0</v>
      </c>
      <c r="Q435" s="17">
        <f t="shared" si="34"/>
        <v>0</v>
      </c>
    </row>
    <row r="436" spans="1:17" ht="15" customHeight="1" x14ac:dyDescent="0.25">
      <c r="A436" s="11">
        <f t="shared" si="30"/>
        <v>19</v>
      </c>
      <c r="B436" s="11" t="str">
        <f>INDEX('Effectif Saison'!$E$4:$E$22,1)</f>
        <v>Alan MICHON</v>
      </c>
      <c r="C436" s="10"/>
      <c r="D436" s="10"/>
      <c r="E436" s="10"/>
      <c r="F436" s="19" t="str">
        <f>IF(B436="","",IF(AND(E436="Oui",COUNTIFS(Changements!$A:$A,A436,Changements!$D:$D,B436)&gt;0),"⚠ Titulaire+entrée ?",IF(ABS(L436-M436)&gt;1,"⚠ vérifier","")))</f>
        <v/>
      </c>
      <c r="G436" s="11" t="str">
        <f>IF(B436="","",IFERROR(INDEX('Effectif Saison'!$D$4:$D$51,MATCH(B436,'Effectif Saison'!$E$4:$E$51,0)),""))</f>
        <v>Équipe 1</v>
      </c>
      <c r="H436" s="19" t="str">
        <f>IF(L436=0,"",IF(E436="Oui",0,IFERROR(_xlfn.MINIFS(Changements!$B:$B,Changements!$A:$A,A436,Changements!$D:$D,B436),"")))</f>
        <v/>
      </c>
      <c r="I436" s="19" t="str">
        <f>IF(M436=0,"",IFERROR(_xlfn.MAXIFS(Changements!$B:$B,Changements!$A:$A,A436,Changements!$C:$C,B436),""))</f>
        <v/>
      </c>
      <c r="J436" s="11" t="str">
        <f t="shared" si="31"/>
        <v/>
      </c>
      <c r="K436" s="17">
        <f t="shared" si="32"/>
        <v>0</v>
      </c>
      <c r="L436" s="17">
        <f>IF(B436="",0,COUNTIFS(Changements!$A:$A,A436,Changements!$D:$D,B436)+IF(E436="Oui",1,0))</f>
        <v>0</v>
      </c>
      <c r="M436" s="17">
        <f>IF(B436="",0,COUNTIFS(Changements!$A:$A,A436,Changements!$C:$C,B436))</f>
        <v>0</v>
      </c>
      <c r="N436" s="17">
        <f>IF(B436="",0,SUMIFS(Changements!$B:$B,Changements!$A:$A,A436,Changements!$D:$D,B436))</f>
        <v>0</v>
      </c>
      <c r="O436" s="17">
        <f>IF(B436="",0,SUMIFS(Changements!$B:$B,Changements!$A:$A,A436,Changements!$C:$C,B436)+IF(L436&gt;M436,IFERROR(INDEX(Matchs!$F$4:$F$31,MATCH(A436,Matchs!$A$4:$A$31,0)),0),0))</f>
        <v>0</v>
      </c>
      <c r="P436" s="17">
        <f t="shared" si="33"/>
        <v>0</v>
      </c>
      <c r="Q436" s="17">
        <f t="shared" si="34"/>
        <v>0</v>
      </c>
    </row>
    <row r="437" spans="1:17" ht="15" customHeight="1" x14ac:dyDescent="0.25">
      <c r="A437" s="11">
        <f t="shared" si="30"/>
        <v>19</v>
      </c>
      <c r="B437" s="11" t="str">
        <f>INDEX('Effectif Saison'!$E$4:$E$22,2)</f>
        <v>Jean BRUNTZ</v>
      </c>
      <c r="C437" s="10"/>
      <c r="D437" s="10"/>
      <c r="E437" s="10"/>
      <c r="F437" s="19" t="str">
        <f>IF(B437="","",IF(AND(E437="Oui",COUNTIFS(Changements!$A:$A,A437,Changements!$D:$D,B437)&gt;0),"⚠ Titulaire+entrée ?",IF(ABS(L437-M437)&gt;1,"⚠ vérifier","")))</f>
        <v/>
      </c>
      <c r="G437" s="11" t="str">
        <f>IF(B437="","",IFERROR(INDEX('Effectif Saison'!$D$4:$D$51,MATCH(B437,'Effectif Saison'!$E$4:$E$51,0)),""))</f>
        <v>Équipe 1</v>
      </c>
      <c r="H437" s="19" t="str">
        <f>IF(L437=0,"",IF(E437="Oui",0,IFERROR(_xlfn.MINIFS(Changements!$B:$B,Changements!$A:$A,A437,Changements!$D:$D,B437),"")))</f>
        <v/>
      </c>
      <c r="I437" s="19" t="str">
        <f>IF(M437=0,"",IFERROR(_xlfn.MAXIFS(Changements!$B:$B,Changements!$A:$A,A437,Changements!$C:$C,B437),""))</f>
        <v/>
      </c>
      <c r="J437" s="11" t="str">
        <f t="shared" si="31"/>
        <v/>
      </c>
      <c r="K437" s="17">
        <f t="shared" si="32"/>
        <v>0</v>
      </c>
      <c r="L437" s="17">
        <f>IF(B437="",0,COUNTIFS(Changements!$A:$A,A437,Changements!$D:$D,B437)+IF(E437="Oui",1,0))</f>
        <v>0</v>
      </c>
      <c r="M437" s="17">
        <f>IF(B437="",0,COUNTIFS(Changements!$A:$A,A437,Changements!$C:$C,B437))</f>
        <v>0</v>
      </c>
      <c r="N437" s="17">
        <f>IF(B437="",0,SUMIFS(Changements!$B:$B,Changements!$A:$A,A437,Changements!$D:$D,B437))</f>
        <v>0</v>
      </c>
      <c r="O437" s="17">
        <f>IF(B437="",0,SUMIFS(Changements!$B:$B,Changements!$A:$A,A437,Changements!$C:$C,B437)+IF(L437&gt;M437,IFERROR(INDEX(Matchs!$F$4:$F$31,MATCH(A437,Matchs!$A$4:$A$31,0)),0),0))</f>
        <v>0</v>
      </c>
      <c r="P437" s="17">
        <f t="shared" si="33"/>
        <v>0</v>
      </c>
      <c r="Q437" s="17">
        <f t="shared" si="34"/>
        <v>0</v>
      </c>
    </row>
    <row r="438" spans="1:17" ht="15" customHeight="1" x14ac:dyDescent="0.25">
      <c r="A438" s="11">
        <f t="shared" si="30"/>
        <v>19</v>
      </c>
      <c r="B438" s="11" t="str">
        <f>INDEX('Effectif Saison'!$E$4:$E$22,3)</f>
        <v>Marouane SBK</v>
      </c>
      <c r="C438" s="10"/>
      <c r="D438" s="10"/>
      <c r="E438" s="10"/>
      <c r="F438" s="19" t="str">
        <f>IF(B438="","",IF(AND(E438="Oui",COUNTIFS(Changements!$A:$A,A438,Changements!$D:$D,B438)&gt;0),"⚠ Titulaire+entrée ?",IF(ABS(L438-M438)&gt;1,"⚠ vérifier","")))</f>
        <v/>
      </c>
      <c r="G438" s="11" t="str">
        <f>IF(B438="","",IFERROR(INDEX('Effectif Saison'!$D$4:$D$51,MATCH(B438,'Effectif Saison'!$E$4:$E$51,0)),""))</f>
        <v>Équipe 1</v>
      </c>
      <c r="H438" s="19" t="str">
        <f>IF(L438=0,"",IF(E438="Oui",0,IFERROR(_xlfn.MINIFS(Changements!$B:$B,Changements!$A:$A,A438,Changements!$D:$D,B438),"")))</f>
        <v/>
      </c>
      <c r="I438" s="19" t="str">
        <f>IF(M438=0,"",IFERROR(_xlfn.MAXIFS(Changements!$B:$B,Changements!$A:$A,A438,Changements!$C:$C,B438),""))</f>
        <v/>
      </c>
      <c r="J438" s="11" t="str">
        <f t="shared" si="31"/>
        <v/>
      </c>
      <c r="K438" s="17">
        <f t="shared" si="32"/>
        <v>0</v>
      </c>
      <c r="L438" s="17">
        <f>IF(B438="",0,COUNTIFS(Changements!$A:$A,A438,Changements!$D:$D,B438)+IF(E438="Oui",1,0))</f>
        <v>0</v>
      </c>
      <c r="M438" s="17">
        <f>IF(B438="",0,COUNTIFS(Changements!$A:$A,A438,Changements!$C:$C,B438))</f>
        <v>0</v>
      </c>
      <c r="N438" s="17">
        <f>IF(B438="",0,SUMIFS(Changements!$B:$B,Changements!$A:$A,A438,Changements!$D:$D,B438))</f>
        <v>0</v>
      </c>
      <c r="O438" s="17">
        <f>IF(B438="",0,SUMIFS(Changements!$B:$B,Changements!$A:$A,A438,Changements!$C:$C,B438)+IF(L438&gt;M438,IFERROR(INDEX(Matchs!$F$4:$F$31,MATCH(A438,Matchs!$A$4:$A$31,0)),0),0))</f>
        <v>0</v>
      </c>
      <c r="P438" s="17">
        <f t="shared" si="33"/>
        <v>0</v>
      </c>
      <c r="Q438" s="17">
        <f t="shared" si="34"/>
        <v>0</v>
      </c>
    </row>
    <row r="439" spans="1:17" ht="15" customHeight="1" x14ac:dyDescent="0.25">
      <c r="A439" s="11">
        <f t="shared" si="30"/>
        <v>19</v>
      </c>
      <c r="B439" s="11" t="str">
        <f>INDEX('Effectif Saison'!$E$4:$E$22,4)</f>
        <v>Noé BIHL</v>
      </c>
      <c r="C439" s="10"/>
      <c r="D439" s="10"/>
      <c r="E439" s="10"/>
      <c r="F439" s="19" t="str">
        <f>IF(B439="","",IF(AND(E439="Oui",COUNTIFS(Changements!$A:$A,A439,Changements!$D:$D,B439)&gt;0),"⚠ Titulaire+entrée ?",IF(ABS(L439-M439)&gt;1,"⚠ vérifier","")))</f>
        <v/>
      </c>
      <c r="G439" s="11" t="str">
        <f>IF(B439="","",IFERROR(INDEX('Effectif Saison'!$D$4:$D$51,MATCH(B439,'Effectif Saison'!$E$4:$E$51,0)),""))</f>
        <v>Équipe 1</v>
      </c>
      <c r="H439" s="19" t="str">
        <f>IF(L439=0,"",IF(E439="Oui",0,IFERROR(_xlfn.MINIFS(Changements!$B:$B,Changements!$A:$A,A439,Changements!$D:$D,B439),"")))</f>
        <v/>
      </c>
      <c r="I439" s="19" t="str">
        <f>IF(M439=0,"",IFERROR(_xlfn.MAXIFS(Changements!$B:$B,Changements!$A:$A,A439,Changements!$C:$C,B439),""))</f>
        <v/>
      </c>
      <c r="J439" s="11" t="str">
        <f t="shared" si="31"/>
        <v/>
      </c>
      <c r="K439" s="17">
        <f t="shared" si="32"/>
        <v>0</v>
      </c>
      <c r="L439" s="17">
        <f>IF(B439="",0,COUNTIFS(Changements!$A:$A,A439,Changements!$D:$D,B439)+IF(E439="Oui",1,0))</f>
        <v>0</v>
      </c>
      <c r="M439" s="17">
        <f>IF(B439="",0,COUNTIFS(Changements!$A:$A,A439,Changements!$C:$C,B439))</f>
        <v>0</v>
      </c>
      <c r="N439" s="17">
        <f>IF(B439="",0,SUMIFS(Changements!$B:$B,Changements!$A:$A,A439,Changements!$D:$D,B439))</f>
        <v>0</v>
      </c>
      <c r="O439" s="17">
        <f>IF(B439="",0,SUMIFS(Changements!$B:$B,Changements!$A:$A,A439,Changements!$C:$C,B439)+IF(L439&gt;M439,IFERROR(INDEX(Matchs!$F$4:$F$31,MATCH(A439,Matchs!$A$4:$A$31,0)),0),0))</f>
        <v>0</v>
      </c>
      <c r="P439" s="17">
        <f t="shared" si="33"/>
        <v>0</v>
      </c>
      <c r="Q439" s="17">
        <f t="shared" si="34"/>
        <v>0</v>
      </c>
    </row>
    <row r="440" spans="1:17" ht="15" customHeight="1" x14ac:dyDescent="0.25">
      <c r="A440" s="11">
        <f t="shared" si="30"/>
        <v>19</v>
      </c>
      <c r="B440" s="11" t="str">
        <f>INDEX('Effectif Saison'!$E$4:$E$22,5)</f>
        <v>Luca COLAIANNI</v>
      </c>
      <c r="C440" s="10"/>
      <c r="D440" s="10"/>
      <c r="E440" s="10"/>
      <c r="F440" s="19" t="str">
        <f>IF(B440="","",IF(AND(E440="Oui",COUNTIFS(Changements!$A:$A,A440,Changements!$D:$D,B440)&gt;0),"⚠ Titulaire+entrée ?",IF(ABS(L440-M440)&gt;1,"⚠ vérifier","")))</f>
        <v/>
      </c>
      <c r="G440" s="11" t="str">
        <f>IF(B440="","",IFERROR(INDEX('Effectif Saison'!$D$4:$D$51,MATCH(B440,'Effectif Saison'!$E$4:$E$51,0)),""))</f>
        <v>Équipe 1</v>
      </c>
      <c r="H440" s="19" t="str">
        <f>IF(L440=0,"",IF(E440="Oui",0,IFERROR(_xlfn.MINIFS(Changements!$B:$B,Changements!$A:$A,A440,Changements!$D:$D,B440),"")))</f>
        <v/>
      </c>
      <c r="I440" s="19" t="str">
        <f>IF(M440=0,"",IFERROR(_xlfn.MAXIFS(Changements!$B:$B,Changements!$A:$A,A440,Changements!$C:$C,B440),""))</f>
        <v/>
      </c>
      <c r="J440" s="11" t="str">
        <f t="shared" si="31"/>
        <v/>
      </c>
      <c r="K440" s="17">
        <f t="shared" si="32"/>
        <v>0</v>
      </c>
      <c r="L440" s="17">
        <f>IF(B440="",0,COUNTIFS(Changements!$A:$A,A440,Changements!$D:$D,B440)+IF(E440="Oui",1,0))</f>
        <v>0</v>
      </c>
      <c r="M440" s="17">
        <f>IF(B440="",0,COUNTIFS(Changements!$A:$A,A440,Changements!$C:$C,B440))</f>
        <v>0</v>
      </c>
      <c r="N440" s="17">
        <f>IF(B440="",0,SUMIFS(Changements!$B:$B,Changements!$A:$A,A440,Changements!$D:$D,B440))</f>
        <v>0</v>
      </c>
      <c r="O440" s="17">
        <f>IF(B440="",0,SUMIFS(Changements!$B:$B,Changements!$A:$A,A440,Changements!$C:$C,B440)+IF(L440&gt;M440,IFERROR(INDEX(Matchs!$F$4:$F$31,MATCH(A440,Matchs!$A$4:$A$31,0)),0),0))</f>
        <v>0</v>
      </c>
      <c r="P440" s="17">
        <f t="shared" si="33"/>
        <v>0</v>
      </c>
      <c r="Q440" s="17">
        <f t="shared" si="34"/>
        <v>0</v>
      </c>
    </row>
    <row r="441" spans="1:17" ht="15" customHeight="1" x14ac:dyDescent="0.25">
      <c r="A441" s="11">
        <f t="shared" si="30"/>
        <v>19</v>
      </c>
      <c r="B441" s="11" t="str">
        <f>INDEX('Effectif Saison'!$E$4:$E$22,6)</f>
        <v>Atilla ER</v>
      </c>
      <c r="C441" s="10"/>
      <c r="D441" s="10"/>
      <c r="E441" s="10"/>
      <c r="F441" s="19" t="str">
        <f>IF(B441="","",IF(AND(E441="Oui",COUNTIFS(Changements!$A:$A,A441,Changements!$D:$D,B441)&gt;0),"⚠ Titulaire+entrée ?",IF(ABS(L441-M441)&gt;1,"⚠ vérifier","")))</f>
        <v/>
      </c>
      <c r="G441" s="11" t="str">
        <f>IF(B441="","",IFERROR(INDEX('Effectif Saison'!$D$4:$D$51,MATCH(B441,'Effectif Saison'!$E$4:$E$51,0)),""))</f>
        <v>Équipe 1</v>
      </c>
      <c r="H441" s="19" t="str">
        <f>IF(L441=0,"",IF(E441="Oui",0,IFERROR(_xlfn.MINIFS(Changements!$B:$B,Changements!$A:$A,A441,Changements!$D:$D,B441),"")))</f>
        <v/>
      </c>
      <c r="I441" s="19" t="str">
        <f>IF(M441=0,"",IFERROR(_xlfn.MAXIFS(Changements!$B:$B,Changements!$A:$A,A441,Changements!$C:$C,B441),""))</f>
        <v/>
      </c>
      <c r="J441" s="11" t="str">
        <f t="shared" si="31"/>
        <v/>
      </c>
      <c r="K441" s="17">
        <f t="shared" si="32"/>
        <v>0</v>
      </c>
      <c r="L441" s="17">
        <f>IF(B441="",0,COUNTIFS(Changements!$A:$A,A441,Changements!$D:$D,B441)+IF(E441="Oui",1,0))</f>
        <v>0</v>
      </c>
      <c r="M441" s="17">
        <f>IF(B441="",0,COUNTIFS(Changements!$A:$A,A441,Changements!$C:$C,B441))</f>
        <v>0</v>
      </c>
      <c r="N441" s="17">
        <f>IF(B441="",0,SUMIFS(Changements!$B:$B,Changements!$A:$A,A441,Changements!$D:$D,B441))</f>
        <v>0</v>
      </c>
      <c r="O441" s="17">
        <f>IF(B441="",0,SUMIFS(Changements!$B:$B,Changements!$A:$A,A441,Changements!$C:$C,B441)+IF(L441&gt;M441,IFERROR(INDEX(Matchs!$F$4:$F$31,MATCH(A441,Matchs!$A$4:$A$31,0)),0),0))</f>
        <v>0</v>
      </c>
      <c r="P441" s="17">
        <f t="shared" si="33"/>
        <v>0</v>
      </c>
      <c r="Q441" s="17">
        <f t="shared" si="34"/>
        <v>0</v>
      </c>
    </row>
    <row r="442" spans="1:17" ht="15" customHeight="1" x14ac:dyDescent="0.25">
      <c r="A442" s="11">
        <f t="shared" si="30"/>
        <v>19</v>
      </c>
      <c r="B442" s="11" t="str">
        <f>INDEX('Effectif Saison'!$E$4:$E$22,7)</f>
        <v>Lucas BUHR</v>
      </c>
      <c r="C442" s="10"/>
      <c r="D442" s="10"/>
      <c r="E442" s="10"/>
      <c r="F442" s="19" t="str">
        <f>IF(B442="","",IF(AND(E442="Oui",COUNTIFS(Changements!$A:$A,A442,Changements!$D:$D,B442)&gt;0),"⚠ Titulaire+entrée ?",IF(ABS(L442-M442)&gt;1,"⚠ vérifier","")))</f>
        <v/>
      </c>
      <c r="G442" s="11" t="str">
        <f>IF(B442="","",IFERROR(INDEX('Effectif Saison'!$D$4:$D$51,MATCH(B442,'Effectif Saison'!$E$4:$E$51,0)),""))</f>
        <v>Équipe 1</v>
      </c>
      <c r="H442" s="19" t="str">
        <f>IF(L442=0,"",IF(E442="Oui",0,IFERROR(_xlfn.MINIFS(Changements!$B:$B,Changements!$A:$A,A442,Changements!$D:$D,B442),"")))</f>
        <v/>
      </c>
      <c r="I442" s="19" t="str">
        <f>IF(M442=0,"",IFERROR(_xlfn.MAXIFS(Changements!$B:$B,Changements!$A:$A,A442,Changements!$C:$C,B442),""))</f>
        <v/>
      </c>
      <c r="J442" s="11" t="str">
        <f t="shared" si="31"/>
        <v/>
      </c>
      <c r="K442" s="17">
        <f t="shared" si="32"/>
        <v>0</v>
      </c>
      <c r="L442" s="17">
        <f>IF(B442="",0,COUNTIFS(Changements!$A:$A,A442,Changements!$D:$D,B442)+IF(E442="Oui",1,0))</f>
        <v>0</v>
      </c>
      <c r="M442" s="17">
        <f>IF(B442="",0,COUNTIFS(Changements!$A:$A,A442,Changements!$C:$C,B442))</f>
        <v>0</v>
      </c>
      <c r="N442" s="17">
        <f>IF(B442="",0,SUMIFS(Changements!$B:$B,Changements!$A:$A,A442,Changements!$D:$D,B442))</f>
        <v>0</v>
      </c>
      <c r="O442" s="17">
        <f>IF(B442="",0,SUMIFS(Changements!$B:$B,Changements!$A:$A,A442,Changements!$C:$C,B442)+IF(L442&gt;M442,IFERROR(INDEX(Matchs!$F$4:$F$31,MATCH(A442,Matchs!$A$4:$A$31,0)),0),0))</f>
        <v>0</v>
      </c>
      <c r="P442" s="17">
        <f t="shared" si="33"/>
        <v>0</v>
      </c>
      <c r="Q442" s="17">
        <f t="shared" si="34"/>
        <v>0</v>
      </c>
    </row>
    <row r="443" spans="1:17" ht="15" customHeight="1" x14ac:dyDescent="0.25">
      <c r="A443" s="11">
        <f t="shared" si="30"/>
        <v>19</v>
      </c>
      <c r="B443" s="11" t="str">
        <f>INDEX('Effectif Saison'!$E$4:$E$22,8)</f>
        <v>Yanis HOUX</v>
      </c>
      <c r="C443" s="10"/>
      <c r="D443" s="10"/>
      <c r="E443" s="10"/>
      <c r="F443" s="19" t="str">
        <f>IF(B443="","",IF(AND(E443="Oui",COUNTIFS(Changements!$A:$A,A443,Changements!$D:$D,B443)&gt;0),"⚠ Titulaire+entrée ?",IF(ABS(L443-M443)&gt;1,"⚠ vérifier","")))</f>
        <v/>
      </c>
      <c r="G443" s="11" t="str">
        <f>IF(B443="","",IFERROR(INDEX('Effectif Saison'!$D$4:$D$51,MATCH(B443,'Effectif Saison'!$E$4:$E$51,0)),""))</f>
        <v>Équipe 1</v>
      </c>
      <c r="H443" s="19" t="str">
        <f>IF(L443=0,"",IF(E443="Oui",0,IFERROR(_xlfn.MINIFS(Changements!$B:$B,Changements!$A:$A,A443,Changements!$D:$D,B443),"")))</f>
        <v/>
      </c>
      <c r="I443" s="19" t="str">
        <f>IF(M443=0,"",IFERROR(_xlfn.MAXIFS(Changements!$B:$B,Changements!$A:$A,A443,Changements!$C:$C,B443),""))</f>
        <v/>
      </c>
      <c r="J443" s="11" t="str">
        <f t="shared" si="31"/>
        <v/>
      </c>
      <c r="K443" s="17">
        <f t="shared" si="32"/>
        <v>0</v>
      </c>
      <c r="L443" s="17">
        <f>IF(B443="",0,COUNTIFS(Changements!$A:$A,A443,Changements!$D:$D,B443)+IF(E443="Oui",1,0))</f>
        <v>0</v>
      </c>
      <c r="M443" s="17">
        <f>IF(B443="",0,COUNTIFS(Changements!$A:$A,A443,Changements!$C:$C,B443))</f>
        <v>0</v>
      </c>
      <c r="N443" s="17">
        <f>IF(B443="",0,SUMIFS(Changements!$B:$B,Changements!$A:$A,A443,Changements!$D:$D,B443))</f>
        <v>0</v>
      </c>
      <c r="O443" s="17">
        <f>IF(B443="",0,SUMIFS(Changements!$B:$B,Changements!$A:$A,A443,Changements!$C:$C,B443)+IF(L443&gt;M443,IFERROR(INDEX(Matchs!$F$4:$F$31,MATCH(A443,Matchs!$A$4:$A$31,0)),0),0))</f>
        <v>0</v>
      </c>
      <c r="P443" s="17">
        <f t="shared" si="33"/>
        <v>0</v>
      </c>
      <c r="Q443" s="17">
        <f t="shared" si="34"/>
        <v>0</v>
      </c>
    </row>
    <row r="444" spans="1:17" ht="15" customHeight="1" x14ac:dyDescent="0.25">
      <c r="A444" s="11">
        <f t="shared" si="30"/>
        <v>19</v>
      </c>
      <c r="B444" s="11" t="str">
        <f>INDEX('Effectif Saison'!$E$4:$E$22,9)</f>
        <v>Tino COLAIANNI</v>
      </c>
      <c r="C444" s="10"/>
      <c r="D444" s="10"/>
      <c r="E444" s="10"/>
      <c r="F444" s="19" t="str">
        <f>IF(B444="","",IF(AND(E444="Oui",COUNTIFS(Changements!$A:$A,A444,Changements!$D:$D,B444)&gt;0),"⚠ Titulaire+entrée ?",IF(ABS(L444-M444)&gt;1,"⚠ vérifier","")))</f>
        <v/>
      </c>
      <c r="G444" s="11" t="str">
        <f>IF(B444="","",IFERROR(INDEX('Effectif Saison'!$D$4:$D$51,MATCH(B444,'Effectif Saison'!$E$4:$E$51,0)),""))</f>
        <v>Équipe 1</v>
      </c>
      <c r="H444" s="19" t="str">
        <f>IF(L444=0,"",IF(E444="Oui",0,IFERROR(_xlfn.MINIFS(Changements!$B:$B,Changements!$A:$A,A444,Changements!$D:$D,B444),"")))</f>
        <v/>
      </c>
      <c r="I444" s="19" t="str">
        <f>IF(M444=0,"",IFERROR(_xlfn.MAXIFS(Changements!$B:$B,Changements!$A:$A,A444,Changements!$C:$C,B444),""))</f>
        <v/>
      </c>
      <c r="J444" s="11" t="str">
        <f t="shared" si="31"/>
        <v/>
      </c>
      <c r="K444" s="17">
        <f t="shared" si="32"/>
        <v>0</v>
      </c>
      <c r="L444" s="17">
        <f>IF(B444="",0,COUNTIFS(Changements!$A:$A,A444,Changements!$D:$D,B444)+IF(E444="Oui",1,0))</f>
        <v>0</v>
      </c>
      <c r="M444" s="17">
        <f>IF(B444="",0,COUNTIFS(Changements!$A:$A,A444,Changements!$C:$C,B444))</f>
        <v>0</v>
      </c>
      <c r="N444" s="17">
        <f>IF(B444="",0,SUMIFS(Changements!$B:$B,Changements!$A:$A,A444,Changements!$D:$D,B444))</f>
        <v>0</v>
      </c>
      <c r="O444" s="17">
        <f>IF(B444="",0,SUMIFS(Changements!$B:$B,Changements!$A:$A,A444,Changements!$C:$C,B444)+IF(L444&gt;M444,IFERROR(INDEX(Matchs!$F$4:$F$31,MATCH(A444,Matchs!$A$4:$A$31,0)),0),0))</f>
        <v>0</v>
      </c>
      <c r="P444" s="17">
        <f t="shared" si="33"/>
        <v>0</v>
      </c>
      <c r="Q444" s="17">
        <f t="shared" si="34"/>
        <v>0</v>
      </c>
    </row>
    <row r="445" spans="1:17" ht="15" customHeight="1" x14ac:dyDescent="0.25">
      <c r="A445" s="11">
        <f t="shared" si="30"/>
        <v>19</v>
      </c>
      <c r="B445" s="11" t="str">
        <f>INDEX('Effectif Saison'!$E$4:$E$22,10)</f>
        <v>Achille KELLERKNECHT</v>
      </c>
      <c r="C445" s="10"/>
      <c r="D445" s="10"/>
      <c r="E445" s="10"/>
      <c r="F445" s="19" t="str">
        <f>IF(B445="","",IF(AND(E445="Oui",COUNTIFS(Changements!$A:$A,A445,Changements!$D:$D,B445)&gt;0),"⚠ Titulaire+entrée ?",IF(ABS(L445-M445)&gt;1,"⚠ vérifier","")))</f>
        <v/>
      </c>
      <c r="G445" s="11" t="str">
        <f>IF(B445="","",IFERROR(INDEX('Effectif Saison'!$D$4:$D$51,MATCH(B445,'Effectif Saison'!$E$4:$E$51,0)),""))</f>
        <v>Équipe 1</v>
      </c>
      <c r="H445" s="19" t="str">
        <f>IF(L445=0,"",IF(E445="Oui",0,IFERROR(_xlfn.MINIFS(Changements!$B:$B,Changements!$A:$A,A445,Changements!$D:$D,B445),"")))</f>
        <v/>
      </c>
      <c r="I445" s="19" t="str">
        <f>IF(M445=0,"",IFERROR(_xlfn.MAXIFS(Changements!$B:$B,Changements!$A:$A,A445,Changements!$C:$C,B445),""))</f>
        <v/>
      </c>
      <c r="J445" s="11" t="str">
        <f t="shared" si="31"/>
        <v/>
      </c>
      <c r="K445" s="17">
        <f t="shared" si="32"/>
        <v>0</v>
      </c>
      <c r="L445" s="17">
        <f>IF(B445="",0,COUNTIFS(Changements!$A:$A,A445,Changements!$D:$D,B445)+IF(E445="Oui",1,0))</f>
        <v>0</v>
      </c>
      <c r="M445" s="17">
        <f>IF(B445="",0,COUNTIFS(Changements!$A:$A,A445,Changements!$C:$C,B445))</f>
        <v>0</v>
      </c>
      <c r="N445" s="17">
        <f>IF(B445="",0,SUMIFS(Changements!$B:$B,Changements!$A:$A,A445,Changements!$D:$D,B445))</f>
        <v>0</v>
      </c>
      <c r="O445" s="17">
        <f>IF(B445="",0,SUMIFS(Changements!$B:$B,Changements!$A:$A,A445,Changements!$C:$C,B445)+IF(L445&gt;M445,IFERROR(INDEX(Matchs!$F$4:$F$31,MATCH(A445,Matchs!$A$4:$A$31,0)),0),0))</f>
        <v>0</v>
      </c>
      <c r="P445" s="17">
        <f t="shared" si="33"/>
        <v>0</v>
      </c>
      <c r="Q445" s="17">
        <f t="shared" si="34"/>
        <v>0</v>
      </c>
    </row>
    <row r="446" spans="1:17" ht="15" customHeight="1" x14ac:dyDescent="0.25">
      <c r="A446" s="11">
        <f t="shared" si="30"/>
        <v>19</v>
      </c>
      <c r="B446" s="11" t="str">
        <f>INDEX('Effectif Saison'!$E$4:$E$22,11)</f>
        <v>Charly LEPERT</v>
      </c>
      <c r="C446" s="10"/>
      <c r="D446" s="10"/>
      <c r="E446" s="10"/>
      <c r="F446" s="19" t="str">
        <f>IF(B446="","",IF(AND(E446="Oui",COUNTIFS(Changements!$A:$A,A446,Changements!$D:$D,B446)&gt;0),"⚠ Titulaire+entrée ?",IF(ABS(L446-M446)&gt;1,"⚠ vérifier","")))</f>
        <v/>
      </c>
      <c r="G446" s="11" t="str">
        <f>IF(B446="","",IFERROR(INDEX('Effectif Saison'!$D$4:$D$51,MATCH(B446,'Effectif Saison'!$E$4:$E$51,0)),""))</f>
        <v>Équipe 1</v>
      </c>
      <c r="H446" s="19" t="str">
        <f>IF(L446=0,"",IF(E446="Oui",0,IFERROR(_xlfn.MINIFS(Changements!$B:$B,Changements!$A:$A,A446,Changements!$D:$D,B446),"")))</f>
        <v/>
      </c>
      <c r="I446" s="19" t="str">
        <f>IF(M446=0,"",IFERROR(_xlfn.MAXIFS(Changements!$B:$B,Changements!$A:$A,A446,Changements!$C:$C,B446),""))</f>
        <v/>
      </c>
      <c r="J446" s="11" t="str">
        <f t="shared" si="31"/>
        <v/>
      </c>
      <c r="K446" s="17">
        <f t="shared" si="32"/>
        <v>0</v>
      </c>
      <c r="L446" s="17">
        <f>IF(B446="",0,COUNTIFS(Changements!$A:$A,A446,Changements!$D:$D,B446)+IF(E446="Oui",1,0))</f>
        <v>0</v>
      </c>
      <c r="M446" s="17">
        <f>IF(B446="",0,COUNTIFS(Changements!$A:$A,A446,Changements!$C:$C,B446))</f>
        <v>0</v>
      </c>
      <c r="N446" s="17">
        <f>IF(B446="",0,SUMIFS(Changements!$B:$B,Changements!$A:$A,A446,Changements!$D:$D,B446))</f>
        <v>0</v>
      </c>
      <c r="O446" s="17">
        <f>IF(B446="",0,SUMIFS(Changements!$B:$B,Changements!$A:$A,A446,Changements!$C:$C,B446)+IF(L446&gt;M446,IFERROR(INDEX(Matchs!$F$4:$F$31,MATCH(A446,Matchs!$A$4:$A$31,0)),0),0))</f>
        <v>0</v>
      </c>
      <c r="P446" s="17">
        <f t="shared" si="33"/>
        <v>0</v>
      </c>
      <c r="Q446" s="17">
        <f t="shared" si="34"/>
        <v>0</v>
      </c>
    </row>
    <row r="447" spans="1:17" ht="15" customHeight="1" x14ac:dyDescent="0.25">
      <c r="A447" s="11">
        <f t="shared" si="30"/>
        <v>19</v>
      </c>
      <c r="B447" s="11" t="str">
        <f>INDEX('Effectif Saison'!$E$4:$E$22,12)</f>
        <v>Basile STANGRET</v>
      </c>
      <c r="C447" s="10"/>
      <c r="D447" s="10"/>
      <c r="E447" s="10"/>
      <c r="F447" s="19" t="str">
        <f>IF(B447="","",IF(AND(E447="Oui",COUNTIFS(Changements!$A:$A,A447,Changements!$D:$D,B447)&gt;0),"⚠ Titulaire+entrée ?",IF(ABS(L447-M447)&gt;1,"⚠ vérifier","")))</f>
        <v/>
      </c>
      <c r="G447" s="11" t="str">
        <f>IF(B447="","",IFERROR(INDEX('Effectif Saison'!$D$4:$D$51,MATCH(B447,'Effectif Saison'!$E$4:$E$51,0)),""))</f>
        <v>Équipe 1</v>
      </c>
      <c r="H447" s="19" t="str">
        <f>IF(L447=0,"",IF(E447="Oui",0,IFERROR(_xlfn.MINIFS(Changements!$B:$B,Changements!$A:$A,A447,Changements!$D:$D,B447),"")))</f>
        <v/>
      </c>
      <c r="I447" s="19" t="str">
        <f>IF(M447=0,"",IFERROR(_xlfn.MAXIFS(Changements!$B:$B,Changements!$A:$A,A447,Changements!$C:$C,B447),""))</f>
        <v/>
      </c>
      <c r="J447" s="11" t="str">
        <f t="shared" si="31"/>
        <v/>
      </c>
      <c r="K447" s="17">
        <f t="shared" si="32"/>
        <v>0</v>
      </c>
      <c r="L447" s="17">
        <f>IF(B447="",0,COUNTIFS(Changements!$A:$A,A447,Changements!$D:$D,B447)+IF(E447="Oui",1,0))</f>
        <v>0</v>
      </c>
      <c r="M447" s="17">
        <f>IF(B447="",0,COUNTIFS(Changements!$A:$A,A447,Changements!$C:$C,B447))</f>
        <v>0</v>
      </c>
      <c r="N447" s="17">
        <f>IF(B447="",0,SUMIFS(Changements!$B:$B,Changements!$A:$A,A447,Changements!$D:$D,B447))</f>
        <v>0</v>
      </c>
      <c r="O447" s="17">
        <f>IF(B447="",0,SUMIFS(Changements!$B:$B,Changements!$A:$A,A447,Changements!$C:$C,B447)+IF(L447&gt;M447,IFERROR(INDEX(Matchs!$F$4:$F$31,MATCH(A447,Matchs!$A$4:$A$31,0)),0),0))</f>
        <v>0</v>
      </c>
      <c r="P447" s="17">
        <f t="shared" si="33"/>
        <v>0</v>
      </c>
      <c r="Q447" s="17">
        <f t="shared" si="34"/>
        <v>0</v>
      </c>
    </row>
    <row r="448" spans="1:17" ht="15" customHeight="1" x14ac:dyDescent="0.25">
      <c r="A448" s="11">
        <f t="shared" si="30"/>
        <v>19</v>
      </c>
      <c r="B448" s="11" t="str">
        <f>INDEX('Effectif Saison'!$E$4:$E$22,13)</f>
        <v>Maxence KELLER</v>
      </c>
      <c r="C448" s="10"/>
      <c r="D448" s="10"/>
      <c r="E448" s="10"/>
      <c r="F448" s="19" t="str">
        <f>IF(B448="","",IF(AND(E448="Oui",COUNTIFS(Changements!$A:$A,A448,Changements!$D:$D,B448)&gt;0),"⚠ Titulaire+entrée ?",IF(ABS(L448-M448)&gt;1,"⚠ vérifier","")))</f>
        <v/>
      </c>
      <c r="G448" s="11" t="str">
        <f>IF(B448="","",IFERROR(INDEX('Effectif Saison'!$D$4:$D$51,MATCH(B448,'Effectif Saison'!$E$4:$E$51,0)),""))</f>
        <v>Équipe 1</v>
      </c>
      <c r="H448" s="19" t="str">
        <f>IF(L448=0,"",IF(E448="Oui",0,IFERROR(_xlfn.MINIFS(Changements!$B:$B,Changements!$A:$A,A448,Changements!$D:$D,B448),"")))</f>
        <v/>
      </c>
      <c r="I448" s="19" t="str">
        <f>IF(M448=0,"",IFERROR(_xlfn.MAXIFS(Changements!$B:$B,Changements!$A:$A,A448,Changements!$C:$C,B448),""))</f>
        <v/>
      </c>
      <c r="J448" s="11" t="str">
        <f t="shared" si="31"/>
        <v/>
      </c>
      <c r="K448" s="17">
        <f t="shared" si="32"/>
        <v>0</v>
      </c>
      <c r="L448" s="17">
        <f>IF(B448="",0,COUNTIFS(Changements!$A:$A,A448,Changements!$D:$D,B448)+IF(E448="Oui",1,0))</f>
        <v>0</v>
      </c>
      <c r="M448" s="17">
        <f>IF(B448="",0,COUNTIFS(Changements!$A:$A,A448,Changements!$C:$C,B448))</f>
        <v>0</v>
      </c>
      <c r="N448" s="17">
        <f>IF(B448="",0,SUMIFS(Changements!$B:$B,Changements!$A:$A,A448,Changements!$D:$D,B448))</f>
        <v>0</v>
      </c>
      <c r="O448" s="17">
        <f>IF(B448="",0,SUMIFS(Changements!$B:$B,Changements!$A:$A,A448,Changements!$C:$C,B448)+IF(L448&gt;M448,IFERROR(INDEX(Matchs!$F$4:$F$31,MATCH(A448,Matchs!$A$4:$A$31,0)),0),0))</f>
        <v>0</v>
      </c>
      <c r="P448" s="17">
        <f t="shared" si="33"/>
        <v>0</v>
      </c>
      <c r="Q448" s="17">
        <f t="shared" si="34"/>
        <v>0</v>
      </c>
    </row>
    <row r="449" spans="1:17" ht="15" customHeight="1" x14ac:dyDescent="0.25">
      <c r="A449" s="11">
        <f t="shared" si="30"/>
        <v>19</v>
      </c>
      <c r="B449" s="11" t="str">
        <f>INDEX('Effectif Saison'!$E$4:$E$22,14)</f>
        <v>Evan SCHMITT</v>
      </c>
      <c r="C449" s="10"/>
      <c r="D449" s="10"/>
      <c r="E449" s="10"/>
      <c r="F449" s="19" t="str">
        <f>IF(B449="","",IF(AND(E449="Oui",COUNTIFS(Changements!$A:$A,A449,Changements!$D:$D,B449)&gt;0),"⚠ Titulaire+entrée ?",IF(ABS(L449-M449)&gt;1,"⚠ vérifier","")))</f>
        <v/>
      </c>
      <c r="G449" s="11" t="str">
        <f>IF(B449="","",IFERROR(INDEX('Effectif Saison'!$D$4:$D$51,MATCH(B449,'Effectif Saison'!$E$4:$E$51,0)),""))</f>
        <v>Équipe 1</v>
      </c>
      <c r="H449" s="19" t="str">
        <f>IF(L449=0,"",IF(E449="Oui",0,IFERROR(_xlfn.MINIFS(Changements!$B:$B,Changements!$A:$A,A449,Changements!$D:$D,B449),"")))</f>
        <v/>
      </c>
      <c r="I449" s="19" t="str">
        <f>IF(M449=0,"",IFERROR(_xlfn.MAXIFS(Changements!$B:$B,Changements!$A:$A,A449,Changements!$C:$C,B449),""))</f>
        <v/>
      </c>
      <c r="J449" s="11" t="str">
        <f t="shared" si="31"/>
        <v/>
      </c>
      <c r="K449" s="17">
        <f t="shared" si="32"/>
        <v>0</v>
      </c>
      <c r="L449" s="17">
        <f>IF(B449="",0,COUNTIFS(Changements!$A:$A,A449,Changements!$D:$D,B449)+IF(E449="Oui",1,0))</f>
        <v>0</v>
      </c>
      <c r="M449" s="17">
        <f>IF(B449="",0,COUNTIFS(Changements!$A:$A,A449,Changements!$C:$C,B449))</f>
        <v>0</v>
      </c>
      <c r="N449" s="17">
        <f>IF(B449="",0,SUMIFS(Changements!$B:$B,Changements!$A:$A,A449,Changements!$D:$D,B449))</f>
        <v>0</v>
      </c>
      <c r="O449" s="17">
        <f>IF(B449="",0,SUMIFS(Changements!$B:$B,Changements!$A:$A,A449,Changements!$C:$C,B449)+IF(L449&gt;M449,IFERROR(INDEX(Matchs!$F$4:$F$31,MATCH(A449,Matchs!$A$4:$A$31,0)),0),0))</f>
        <v>0</v>
      </c>
      <c r="P449" s="17">
        <f t="shared" si="33"/>
        <v>0</v>
      </c>
      <c r="Q449" s="17">
        <f t="shared" si="34"/>
        <v>0</v>
      </c>
    </row>
    <row r="450" spans="1:17" ht="15" customHeight="1" x14ac:dyDescent="0.25">
      <c r="A450" s="11">
        <f t="shared" si="30"/>
        <v>19</v>
      </c>
      <c r="B450" s="11" t="str">
        <f>INDEX('Effectif Saison'!$E$4:$E$22,15)</f>
        <v>William SIMON</v>
      </c>
      <c r="C450" s="10"/>
      <c r="D450" s="10"/>
      <c r="E450" s="10"/>
      <c r="F450" s="19" t="str">
        <f>IF(B450="","",IF(AND(E450="Oui",COUNTIFS(Changements!$A:$A,A450,Changements!$D:$D,B450)&gt;0),"⚠ Titulaire+entrée ?",IF(ABS(L450-M450)&gt;1,"⚠ vérifier","")))</f>
        <v/>
      </c>
      <c r="G450" s="11" t="str">
        <f>IF(B450="","",IFERROR(INDEX('Effectif Saison'!$D$4:$D$51,MATCH(B450,'Effectif Saison'!$E$4:$E$51,0)),""))</f>
        <v>Équipe 1</v>
      </c>
      <c r="H450" s="19" t="str">
        <f>IF(L450=0,"",IF(E450="Oui",0,IFERROR(_xlfn.MINIFS(Changements!$B:$B,Changements!$A:$A,A450,Changements!$D:$D,B450),"")))</f>
        <v/>
      </c>
      <c r="I450" s="19" t="str">
        <f>IF(M450=0,"",IFERROR(_xlfn.MAXIFS(Changements!$B:$B,Changements!$A:$A,A450,Changements!$C:$C,B450),""))</f>
        <v/>
      </c>
      <c r="J450" s="11" t="str">
        <f t="shared" si="31"/>
        <v/>
      </c>
      <c r="K450" s="17">
        <f t="shared" si="32"/>
        <v>0</v>
      </c>
      <c r="L450" s="17">
        <f>IF(B450="",0,COUNTIFS(Changements!$A:$A,A450,Changements!$D:$D,B450)+IF(E450="Oui",1,0))</f>
        <v>0</v>
      </c>
      <c r="M450" s="17">
        <f>IF(B450="",0,COUNTIFS(Changements!$A:$A,A450,Changements!$C:$C,B450))</f>
        <v>0</v>
      </c>
      <c r="N450" s="17">
        <f>IF(B450="",0,SUMIFS(Changements!$B:$B,Changements!$A:$A,A450,Changements!$D:$D,B450))</f>
        <v>0</v>
      </c>
      <c r="O450" s="17">
        <f>IF(B450="",0,SUMIFS(Changements!$B:$B,Changements!$A:$A,A450,Changements!$C:$C,B450)+IF(L450&gt;M450,IFERROR(INDEX(Matchs!$F$4:$F$31,MATCH(A450,Matchs!$A$4:$A$31,0)),0),0))</f>
        <v>0</v>
      </c>
      <c r="P450" s="17">
        <f t="shared" si="33"/>
        <v>0</v>
      </c>
      <c r="Q450" s="17">
        <f t="shared" si="34"/>
        <v>0</v>
      </c>
    </row>
    <row r="451" spans="1:17" ht="15" customHeight="1" x14ac:dyDescent="0.25">
      <c r="A451" s="11">
        <f t="shared" si="30"/>
        <v>19</v>
      </c>
      <c r="B451" s="11" t="str">
        <f>INDEX('Effectif Saison'!$E$4:$E$22,16)</f>
        <v>Lenny LEPPER</v>
      </c>
      <c r="C451" s="10"/>
      <c r="D451" s="10"/>
      <c r="E451" s="10"/>
      <c r="F451" s="19" t="str">
        <f>IF(B451="","",IF(AND(E451="Oui",COUNTIFS(Changements!$A:$A,A451,Changements!$D:$D,B451)&gt;0),"⚠ Titulaire+entrée ?",IF(ABS(L451-M451)&gt;1,"⚠ vérifier","")))</f>
        <v/>
      </c>
      <c r="G451" s="11" t="str">
        <f>IF(B451="","",IFERROR(INDEX('Effectif Saison'!$D$4:$D$51,MATCH(B451,'Effectif Saison'!$E$4:$E$51,0)),""))</f>
        <v>Équipe 1</v>
      </c>
      <c r="H451" s="19" t="str">
        <f>IF(L451=0,"",IF(E451="Oui",0,IFERROR(_xlfn.MINIFS(Changements!$B:$B,Changements!$A:$A,A451,Changements!$D:$D,B451),"")))</f>
        <v/>
      </c>
      <c r="I451" s="19" t="str">
        <f>IF(M451=0,"",IFERROR(_xlfn.MAXIFS(Changements!$B:$B,Changements!$A:$A,A451,Changements!$C:$C,B451),""))</f>
        <v/>
      </c>
      <c r="J451" s="11" t="str">
        <f t="shared" si="31"/>
        <v/>
      </c>
      <c r="K451" s="17">
        <f t="shared" si="32"/>
        <v>0</v>
      </c>
      <c r="L451" s="17">
        <f>IF(B451="",0,COUNTIFS(Changements!$A:$A,A451,Changements!$D:$D,B451)+IF(E451="Oui",1,0))</f>
        <v>0</v>
      </c>
      <c r="M451" s="17">
        <f>IF(B451="",0,COUNTIFS(Changements!$A:$A,A451,Changements!$C:$C,B451))</f>
        <v>0</v>
      </c>
      <c r="N451" s="17">
        <f>IF(B451="",0,SUMIFS(Changements!$B:$B,Changements!$A:$A,A451,Changements!$D:$D,B451))</f>
        <v>0</v>
      </c>
      <c r="O451" s="17">
        <f>IF(B451="",0,SUMIFS(Changements!$B:$B,Changements!$A:$A,A451,Changements!$C:$C,B451)+IF(L451&gt;M451,IFERROR(INDEX(Matchs!$F$4:$F$31,MATCH(A451,Matchs!$A$4:$A$31,0)),0),0))</f>
        <v>0</v>
      </c>
      <c r="P451" s="17">
        <f t="shared" si="33"/>
        <v>0</v>
      </c>
      <c r="Q451" s="17">
        <f t="shared" si="34"/>
        <v>0</v>
      </c>
    </row>
    <row r="452" spans="1:17" ht="15" customHeight="1" x14ac:dyDescent="0.25">
      <c r="A452" s="11">
        <f t="shared" ref="A452:A515" si="35">INT((ROW()-4)/24)+1</f>
        <v>19</v>
      </c>
      <c r="B452" s="11" t="str">
        <f>INDEX('Effectif Saison'!$E$4:$E$22,17)</f>
        <v>Malo KELLER</v>
      </c>
      <c r="C452" s="10"/>
      <c r="D452" s="10"/>
      <c r="E452" s="10"/>
      <c r="F452" s="19" t="str">
        <f>IF(B452="","",IF(AND(E452="Oui",COUNTIFS(Changements!$A:$A,A452,Changements!$D:$D,B452)&gt;0),"⚠ Titulaire+entrée ?",IF(ABS(L452-M452)&gt;1,"⚠ vérifier","")))</f>
        <v/>
      </c>
      <c r="G452" s="11" t="str">
        <f>IF(B452="","",IFERROR(INDEX('Effectif Saison'!$D$4:$D$51,MATCH(B452,'Effectif Saison'!$E$4:$E$51,0)),""))</f>
        <v>Équipe 1</v>
      </c>
      <c r="H452" s="19" t="str">
        <f>IF(L452=0,"",IF(E452="Oui",0,IFERROR(_xlfn.MINIFS(Changements!$B:$B,Changements!$A:$A,A452,Changements!$D:$D,B452),"")))</f>
        <v/>
      </c>
      <c r="I452" s="19" t="str">
        <f>IF(M452=0,"",IFERROR(_xlfn.MAXIFS(Changements!$B:$B,Changements!$A:$A,A452,Changements!$C:$C,B452),""))</f>
        <v/>
      </c>
      <c r="J452" s="11" t="str">
        <f t="shared" ref="J452:J515" si="36">IF(OR(B452="",C452&lt;&gt;"Oui"),"",O452-N452)</f>
        <v/>
      </c>
      <c r="K452" s="17">
        <f t="shared" ref="K452:K515" si="37">IF(AND(B452&lt;&gt;"",ISNUMBER(J452)),1,0)</f>
        <v>0</v>
      </c>
      <c r="L452" s="17">
        <f>IF(B452="",0,COUNTIFS(Changements!$A:$A,A452,Changements!$D:$D,B452)+IF(E452="Oui",1,0))</f>
        <v>0</v>
      </c>
      <c r="M452" s="17">
        <f>IF(B452="",0,COUNTIFS(Changements!$A:$A,A452,Changements!$C:$C,B452))</f>
        <v>0</v>
      </c>
      <c r="N452" s="17">
        <f>IF(B452="",0,SUMIFS(Changements!$B:$B,Changements!$A:$A,A452,Changements!$D:$D,B452))</f>
        <v>0</v>
      </c>
      <c r="O452" s="17">
        <f>IF(B452="",0,SUMIFS(Changements!$B:$B,Changements!$A:$A,A452,Changements!$C:$C,B452)+IF(L452&gt;M452,IFERROR(INDEX(Matchs!$F$4:$F$31,MATCH(A452,Matchs!$A$4:$A$31,0)),0),0))</f>
        <v>0</v>
      </c>
      <c r="P452" s="17">
        <f t="shared" ref="P452:P515" si="38">IF(AND(B452&lt;&gt;"",C452="Oui"),1,0)</f>
        <v>0</v>
      </c>
      <c r="Q452" s="17">
        <f t="shared" ref="Q452:Q515" si="39">IF(AND(B452&lt;&gt;"",E452="Oui"),1,0)</f>
        <v>0</v>
      </c>
    </row>
    <row r="453" spans="1:17" ht="15" customHeight="1" x14ac:dyDescent="0.25">
      <c r="A453" s="11">
        <f t="shared" si="35"/>
        <v>19</v>
      </c>
      <c r="B453" s="11" t="str">
        <f>INDEX('Effectif Saison'!$E$4:$E$22,18)</f>
        <v>Tom SCHILLER</v>
      </c>
      <c r="C453" s="10"/>
      <c r="D453" s="10"/>
      <c r="E453" s="10"/>
      <c r="F453" s="19" t="str">
        <f>IF(B453="","",IF(AND(E453="Oui",COUNTIFS(Changements!$A:$A,A453,Changements!$D:$D,B453)&gt;0),"⚠ Titulaire+entrée ?",IF(ABS(L453-M453)&gt;1,"⚠ vérifier","")))</f>
        <v/>
      </c>
      <c r="G453" s="11" t="str">
        <f>IF(B453="","",IFERROR(INDEX('Effectif Saison'!$D$4:$D$51,MATCH(B453,'Effectif Saison'!$E$4:$E$51,0)),""))</f>
        <v>Équipe 1</v>
      </c>
      <c r="H453" s="19" t="str">
        <f>IF(L453=0,"",IF(E453="Oui",0,IFERROR(_xlfn.MINIFS(Changements!$B:$B,Changements!$A:$A,A453,Changements!$D:$D,B453),"")))</f>
        <v/>
      </c>
      <c r="I453" s="19" t="str">
        <f>IF(M453=0,"",IFERROR(_xlfn.MAXIFS(Changements!$B:$B,Changements!$A:$A,A453,Changements!$C:$C,B453),""))</f>
        <v/>
      </c>
      <c r="J453" s="11" t="str">
        <f t="shared" si="36"/>
        <v/>
      </c>
      <c r="K453" s="17">
        <f t="shared" si="37"/>
        <v>0</v>
      </c>
      <c r="L453" s="17">
        <f>IF(B453="",0,COUNTIFS(Changements!$A:$A,A453,Changements!$D:$D,B453)+IF(E453="Oui",1,0))</f>
        <v>0</v>
      </c>
      <c r="M453" s="17">
        <f>IF(B453="",0,COUNTIFS(Changements!$A:$A,A453,Changements!$C:$C,B453))</f>
        <v>0</v>
      </c>
      <c r="N453" s="17">
        <f>IF(B453="",0,SUMIFS(Changements!$B:$B,Changements!$A:$A,A453,Changements!$D:$D,B453))</f>
        <v>0</v>
      </c>
      <c r="O453" s="17">
        <f>IF(B453="",0,SUMIFS(Changements!$B:$B,Changements!$A:$A,A453,Changements!$C:$C,B453)+IF(L453&gt;M453,IFERROR(INDEX(Matchs!$F$4:$F$31,MATCH(A453,Matchs!$A$4:$A$31,0)),0),0))</f>
        <v>0</v>
      </c>
      <c r="P453" s="17">
        <f t="shared" si="38"/>
        <v>0</v>
      </c>
      <c r="Q453" s="17">
        <f t="shared" si="39"/>
        <v>0</v>
      </c>
    </row>
    <row r="454" spans="1:17" ht="15" customHeight="1" x14ac:dyDescent="0.25">
      <c r="A454" s="11">
        <f t="shared" si="35"/>
        <v>19</v>
      </c>
      <c r="B454" s="11" t="str">
        <f>INDEX('Effectif Saison'!$E$4:$E$22,19)</f>
        <v>Eliot LEIBY</v>
      </c>
      <c r="C454" s="10"/>
      <c r="D454" s="10"/>
      <c r="E454" s="10"/>
      <c r="F454" s="19" t="str">
        <f>IF(B454="","",IF(AND(E454="Oui",COUNTIFS(Changements!$A:$A,A454,Changements!$D:$D,B454)&gt;0),"⚠ Titulaire+entrée ?",IF(ABS(L454-M454)&gt;1,"⚠ vérifier","")))</f>
        <v/>
      </c>
      <c r="G454" s="11" t="str">
        <f>IF(B454="","",IFERROR(INDEX('Effectif Saison'!$D$4:$D$51,MATCH(B454,'Effectif Saison'!$E$4:$E$51,0)),""))</f>
        <v>Équipe 1</v>
      </c>
      <c r="H454" s="19" t="str">
        <f>IF(L454=0,"",IF(E454="Oui",0,IFERROR(_xlfn.MINIFS(Changements!$B:$B,Changements!$A:$A,A454,Changements!$D:$D,B454),"")))</f>
        <v/>
      </c>
      <c r="I454" s="19" t="str">
        <f>IF(M454=0,"",IFERROR(_xlfn.MAXIFS(Changements!$B:$B,Changements!$A:$A,A454,Changements!$C:$C,B454),""))</f>
        <v/>
      </c>
      <c r="J454" s="11" t="str">
        <f t="shared" si="36"/>
        <v/>
      </c>
      <c r="K454" s="17">
        <f t="shared" si="37"/>
        <v>0</v>
      </c>
      <c r="L454" s="17">
        <f>IF(B454="",0,COUNTIFS(Changements!$A:$A,A454,Changements!$D:$D,B454)+IF(E454="Oui",1,0))</f>
        <v>0</v>
      </c>
      <c r="M454" s="17">
        <f>IF(B454="",0,COUNTIFS(Changements!$A:$A,A454,Changements!$C:$C,B454))</f>
        <v>0</v>
      </c>
      <c r="N454" s="17">
        <f>IF(B454="",0,SUMIFS(Changements!$B:$B,Changements!$A:$A,A454,Changements!$D:$D,B454))</f>
        <v>0</v>
      </c>
      <c r="O454" s="17">
        <f>IF(B454="",0,SUMIFS(Changements!$B:$B,Changements!$A:$A,A454,Changements!$C:$C,B454)+IF(L454&gt;M454,IFERROR(INDEX(Matchs!$F$4:$F$31,MATCH(A454,Matchs!$A$4:$A$31,0)),0),0))</f>
        <v>0</v>
      </c>
      <c r="P454" s="17">
        <f t="shared" si="38"/>
        <v>0</v>
      </c>
      <c r="Q454" s="17">
        <f t="shared" si="39"/>
        <v>0</v>
      </c>
    </row>
    <row r="455" spans="1:17" ht="15" customHeight="1" x14ac:dyDescent="0.25">
      <c r="A455" s="11">
        <f t="shared" si="35"/>
        <v>19</v>
      </c>
      <c r="B455" s="10"/>
      <c r="C455" s="10"/>
      <c r="D455" s="10"/>
      <c r="E455" s="10"/>
      <c r="F455" s="19" t="str">
        <f>IF(B455="","",IF(AND(E455="Oui",COUNTIFS(Changements!$A:$A,A455,Changements!$D:$D,B455)&gt;0),"⚠ Titulaire+entrée ?",IF(ABS(L455-M455)&gt;1,"⚠ vérifier","")))</f>
        <v/>
      </c>
      <c r="G455" s="11" t="str">
        <f>IF(B455="","",IFERROR(INDEX('Effectif Saison'!$D$4:$D$51,MATCH(B455,'Effectif Saison'!$E$4:$E$51,0)),""))</f>
        <v/>
      </c>
      <c r="H455" s="19" t="str">
        <f>IF(L455=0,"",IF(E455="Oui",0,IFERROR(_xlfn.MINIFS(Changements!$B:$B,Changements!$A:$A,A455,Changements!$D:$D,B455),"")))</f>
        <v/>
      </c>
      <c r="I455" s="19" t="str">
        <f>IF(M455=0,"",IFERROR(_xlfn.MAXIFS(Changements!$B:$B,Changements!$A:$A,A455,Changements!$C:$C,B455),""))</f>
        <v/>
      </c>
      <c r="J455" s="11" t="str">
        <f t="shared" si="36"/>
        <v/>
      </c>
      <c r="K455" s="17">
        <f t="shared" si="37"/>
        <v>0</v>
      </c>
      <c r="L455" s="17">
        <f>IF(B455="",0,COUNTIFS(Changements!$A:$A,A455,Changements!$D:$D,B455)+IF(E455="Oui",1,0))</f>
        <v>0</v>
      </c>
      <c r="M455" s="17">
        <f>IF(B455="",0,COUNTIFS(Changements!$A:$A,A455,Changements!$C:$C,B455))</f>
        <v>0</v>
      </c>
      <c r="N455" s="17">
        <f>IF(B455="",0,SUMIFS(Changements!$B:$B,Changements!$A:$A,A455,Changements!$D:$D,B455))</f>
        <v>0</v>
      </c>
      <c r="O455" s="17">
        <f>IF(B455="",0,SUMIFS(Changements!$B:$B,Changements!$A:$A,A455,Changements!$C:$C,B455)+IF(L455&gt;M455,IFERROR(INDEX(Matchs!$F$4:$F$31,MATCH(A455,Matchs!$A$4:$A$31,0)),0),0))</f>
        <v>0</v>
      </c>
      <c r="P455" s="17">
        <f t="shared" si="38"/>
        <v>0</v>
      </c>
      <c r="Q455" s="17">
        <f t="shared" si="39"/>
        <v>0</v>
      </c>
    </row>
    <row r="456" spans="1:17" ht="15" customHeight="1" x14ac:dyDescent="0.25">
      <c r="A456" s="11">
        <f t="shared" si="35"/>
        <v>19</v>
      </c>
      <c r="B456" s="10"/>
      <c r="C456" s="10"/>
      <c r="D456" s="10"/>
      <c r="E456" s="10"/>
      <c r="F456" s="19" t="str">
        <f>IF(B456="","",IF(AND(E456="Oui",COUNTIFS(Changements!$A:$A,A456,Changements!$D:$D,B456)&gt;0),"⚠ Titulaire+entrée ?",IF(ABS(L456-M456)&gt;1,"⚠ vérifier","")))</f>
        <v/>
      </c>
      <c r="G456" s="11" t="str">
        <f>IF(B456="","",IFERROR(INDEX('Effectif Saison'!$D$4:$D$51,MATCH(B456,'Effectif Saison'!$E$4:$E$51,0)),""))</f>
        <v/>
      </c>
      <c r="H456" s="19" t="str">
        <f>IF(L456=0,"",IF(E456="Oui",0,IFERROR(_xlfn.MINIFS(Changements!$B:$B,Changements!$A:$A,A456,Changements!$D:$D,B456),"")))</f>
        <v/>
      </c>
      <c r="I456" s="19" t="str">
        <f>IF(M456=0,"",IFERROR(_xlfn.MAXIFS(Changements!$B:$B,Changements!$A:$A,A456,Changements!$C:$C,B456),""))</f>
        <v/>
      </c>
      <c r="J456" s="11" t="str">
        <f t="shared" si="36"/>
        <v/>
      </c>
      <c r="K456" s="17">
        <f t="shared" si="37"/>
        <v>0</v>
      </c>
      <c r="L456" s="17">
        <f>IF(B456="",0,COUNTIFS(Changements!$A:$A,A456,Changements!$D:$D,B456)+IF(E456="Oui",1,0))</f>
        <v>0</v>
      </c>
      <c r="M456" s="17">
        <f>IF(B456="",0,COUNTIFS(Changements!$A:$A,A456,Changements!$C:$C,B456))</f>
        <v>0</v>
      </c>
      <c r="N456" s="17">
        <f>IF(B456="",0,SUMIFS(Changements!$B:$B,Changements!$A:$A,A456,Changements!$D:$D,B456))</f>
        <v>0</v>
      </c>
      <c r="O456" s="17">
        <f>IF(B456="",0,SUMIFS(Changements!$B:$B,Changements!$A:$A,A456,Changements!$C:$C,B456)+IF(L456&gt;M456,IFERROR(INDEX(Matchs!$F$4:$F$31,MATCH(A456,Matchs!$A$4:$A$31,0)),0),0))</f>
        <v>0</v>
      </c>
      <c r="P456" s="17">
        <f t="shared" si="38"/>
        <v>0</v>
      </c>
      <c r="Q456" s="17">
        <f t="shared" si="39"/>
        <v>0</v>
      </c>
    </row>
    <row r="457" spans="1:17" ht="15" customHeight="1" x14ac:dyDescent="0.25">
      <c r="A457" s="11">
        <f t="shared" si="35"/>
        <v>19</v>
      </c>
      <c r="B457" s="10"/>
      <c r="C457" s="10"/>
      <c r="D457" s="10"/>
      <c r="E457" s="10"/>
      <c r="F457" s="19" t="str">
        <f>IF(B457="","",IF(AND(E457="Oui",COUNTIFS(Changements!$A:$A,A457,Changements!$D:$D,B457)&gt;0),"⚠ Titulaire+entrée ?",IF(ABS(L457-M457)&gt;1,"⚠ vérifier","")))</f>
        <v/>
      </c>
      <c r="G457" s="11" t="str">
        <f>IF(B457="","",IFERROR(INDEX('Effectif Saison'!$D$4:$D$51,MATCH(B457,'Effectif Saison'!$E$4:$E$51,0)),""))</f>
        <v/>
      </c>
      <c r="H457" s="19" t="str">
        <f>IF(L457=0,"",IF(E457="Oui",0,IFERROR(_xlfn.MINIFS(Changements!$B:$B,Changements!$A:$A,A457,Changements!$D:$D,B457),"")))</f>
        <v/>
      </c>
      <c r="I457" s="19" t="str">
        <f>IF(M457=0,"",IFERROR(_xlfn.MAXIFS(Changements!$B:$B,Changements!$A:$A,A457,Changements!$C:$C,B457),""))</f>
        <v/>
      </c>
      <c r="J457" s="11" t="str">
        <f t="shared" si="36"/>
        <v/>
      </c>
      <c r="K457" s="17">
        <f t="shared" si="37"/>
        <v>0</v>
      </c>
      <c r="L457" s="17">
        <f>IF(B457="",0,COUNTIFS(Changements!$A:$A,A457,Changements!$D:$D,B457)+IF(E457="Oui",1,0))</f>
        <v>0</v>
      </c>
      <c r="M457" s="17">
        <f>IF(B457="",0,COUNTIFS(Changements!$A:$A,A457,Changements!$C:$C,B457))</f>
        <v>0</v>
      </c>
      <c r="N457" s="17">
        <f>IF(B457="",0,SUMIFS(Changements!$B:$B,Changements!$A:$A,A457,Changements!$D:$D,B457))</f>
        <v>0</v>
      </c>
      <c r="O457" s="17">
        <f>IF(B457="",0,SUMIFS(Changements!$B:$B,Changements!$A:$A,A457,Changements!$C:$C,B457)+IF(L457&gt;M457,IFERROR(INDEX(Matchs!$F$4:$F$31,MATCH(A457,Matchs!$A$4:$A$31,0)),0),0))</f>
        <v>0</v>
      </c>
      <c r="P457" s="17">
        <f t="shared" si="38"/>
        <v>0</v>
      </c>
      <c r="Q457" s="17">
        <f t="shared" si="39"/>
        <v>0</v>
      </c>
    </row>
    <row r="458" spans="1:17" ht="15" customHeight="1" x14ac:dyDescent="0.25">
      <c r="A458" s="11">
        <f t="shared" si="35"/>
        <v>19</v>
      </c>
      <c r="B458" s="10"/>
      <c r="C458" s="10"/>
      <c r="D458" s="10"/>
      <c r="E458" s="10"/>
      <c r="F458" s="19" t="str">
        <f>IF(B458="","",IF(AND(E458="Oui",COUNTIFS(Changements!$A:$A,A458,Changements!$D:$D,B458)&gt;0),"⚠ Titulaire+entrée ?",IF(ABS(L458-M458)&gt;1,"⚠ vérifier","")))</f>
        <v/>
      </c>
      <c r="G458" s="11" t="str">
        <f>IF(B458="","",IFERROR(INDEX('Effectif Saison'!$D$4:$D$51,MATCH(B458,'Effectif Saison'!$E$4:$E$51,0)),""))</f>
        <v/>
      </c>
      <c r="H458" s="19" t="str">
        <f>IF(L458=0,"",IF(E458="Oui",0,IFERROR(_xlfn.MINIFS(Changements!$B:$B,Changements!$A:$A,A458,Changements!$D:$D,B458),"")))</f>
        <v/>
      </c>
      <c r="I458" s="19" t="str">
        <f>IF(M458=0,"",IFERROR(_xlfn.MAXIFS(Changements!$B:$B,Changements!$A:$A,A458,Changements!$C:$C,B458),""))</f>
        <v/>
      </c>
      <c r="J458" s="11" t="str">
        <f t="shared" si="36"/>
        <v/>
      </c>
      <c r="K458" s="17">
        <f t="shared" si="37"/>
        <v>0</v>
      </c>
      <c r="L458" s="17">
        <f>IF(B458="",0,COUNTIFS(Changements!$A:$A,A458,Changements!$D:$D,B458)+IF(E458="Oui",1,0))</f>
        <v>0</v>
      </c>
      <c r="M458" s="17">
        <f>IF(B458="",0,COUNTIFS(Changements!$A:$A,A458,Changements!$C:$C,B458))</f>
        <v>0</v>
      </c>
      <c r="N458" s="17">
        <f>IF(B458="",0,SUMIFS(Changements!$B:$B,Changements!$A:$A,A458,Changements!$D:$D,B458))</f>
        <v>0</v>
      </c>
      <c r="O458" s="17">
        <f>IF(B458="",0,SUMIFS(Changements!$B:$B,Changements!$A:$A,A458,Changements!$C:$C,B458)+IF(L458&gt;M458,IFERROR(INDEX(Matchs!$F$4:$F$31,MATCH(A458,Matchs!$A$4:$A$31,0)),0),0))</f>
        <v>0</v>
      </c>
      <c r="P458" s="17">
        <f t="shared" si="38"/>
        <v>0</v>
      </c>
      <c r="Q458" s="17">
        <f t="shared" si="39"/>
        <v>0</v>
      </c>
    </row>
    <row r="459" spans="1:17" ht="15" customHeight="1" x14ac:dyDescent="0.25">
      <c r="A459" s="11">
        <f t="shared" si="35"/>
        <v>19</v>
      </c>
      <c r="B459" s="10"/>
      <c r="C459" s="10"/>
      <c r="D459" s="10"/>
      <c r="E459" s="10"/>
      <c r="F459" s="19" t="str">
        <f>IF(B459="","",IF(AND(E459="Oui",COUNTIFS(Changements!$A:$A,A459,Changements!$D:$D,B459)&gt;0),"⚠ Titulaire+entrée ?",IF(ABS(L459-M459)&gt;1,"⚠ vérifier","")))</f>
        <v/>
      </c>
      <c r="G459" s="11" t="str">
        <f>IF(B459="","",IFERROR(INDEX('Effectif Saison'!$D$4:$D$51,MATCH(B459,'Effectif Saison'!$E$4:$E$51,0)),""))</f>
        <v/>
      </c>
      <c r="H459" s="19" t="str">
        <f>IF(L459=0,"",IF(E459="Oui",0,IFERROR(_xlfn.MINIFS(Changements!$B:$B,Changements!$A:$A,A459,Changements!$D:$D,B459),"")))</f>
        <v/>
      </c>
      <c r="I459" s="19" t="str">
        <f>IF(M459=0,"",IFERROR(_xlfn.MAXIFS(Changements!$B:$B,Changements!$A:$A,A459,Changements!$C:$C,B459),""))</f>
        <v/>
      </c>
      <c r="J459" s="11" t="str">
        <f t="shared" si="36"/>
        <v/>
      </c>
      <c r="K459" s="17">
        <f t="shared" si="37"/>
        <v>0</v>
      </c>
      <c r="L459" s="17">
        <f>IF(B459="",0,COUNTIFS(Changements!$A:$A,A459,Changements!$D:$D,B459)+IF(E459="Oui",1,0))</f>
        <v>0</v>
      </c>
      <c r="M459" s="17">
        <f>IF(B459="",0,COUNTIFS(Changements!$A:$A,A459,Changements!$C:$C,B459))</f>
        <v>0</v>
      </c>
      <c r="N459" s="17">
        <f>IF(B459="",0,SUMIFS(Changements!$B:$B,Changements!$A:$A,A459,Changements!$D:$D,B459))</f>
        <v>0</v>
      </c>
      <c r="O459" s="17">
        <f>IF(B459="",0,SUMIFS(Changements!$B:$B,Changements!$A:$A,A459,Changements!$C:$C,B459)+IF(L459&gt;M459,IFERROR(INDEX(Matchs!$F$4:$F$31,MATCH(A459,Matchs!$A$4:$A$31,0)),0),0))</f>
        <v>0</v>
      </c>
      <c r="P459" s="17">
        <f t="shared" si="38"/>
        <v>0</v>
      </c>
      <c r="Q459" s="17">
        <f t="shared" si="39"/>
        <v>0</v>
      </c>
    </row>
    <row r="460" spans="1:17" ht="15" customHeight="1" x14ac:dyDescent="0.25">
      <c r="A460" s="11">
        <f t="shared" si="35"/>
        <v>20</v>
      </c>
      <c r="B460" s="11" t="str">
        <f>INDEX('Effectif Saison'!$E$4:$E$22,1)</f>
        <v>Alan MICHON</v>
      </c>
      <c r="C460" s="10"/>
      <c r="D460" s="10"/>
      <c r="E460" s="10"/>
      <c r="F460" s="19" t="str">
        <f>IF(B460="","",IF(AND(E460="Oui",COUNTIFS(Changements!$A:$A,A460,Changements!$D:$D,B460)&gt;0),"⚠ Titulaire+entrée ?",IF(ABS(L460-M460)&gt;1,"⚠ vérifier","")))</f>
        <v/>
      </c>
      <c r="G460" s="11" t="str">
        <f>IF(B460="","",IFERROR(INDEX('Effectif Saison'!$D$4:$D$51,MATCH(B460,'Effectif Saison'!$E$4:$E$51,0)),""))</f>
        <v>Équipe 1</v>
      </c>
      <c r="H460" s="19" t="str">
        <f>IF(L460=0,"",IF(E460="Oui",0,IFERROR(_xlfn.MINIFS(Changements!$B:$B,Changements!$A:$A,A460,Changements!$D:$D,B460),"")))</f>
        <v/>
      </c>
      <c r="I460" s="19" t="str">
        <f>IF(M460=0,"",IFERROR(_xlfn.MAXIFS(Changements!$B:$B,Changements!$A:$A,A460,Changements!$C:$C,B460),""))</f>
        <v/>
      </c>
      <c r="J460" s="11" t="str">
        <f t="shared" si="36"/>
        <v/>
      </c>
      <c r="K460" s="17">
        <f t="shared" si="37"/>
        <v>0</v>
      </c>
      <c r="L460" s="17">
        <f>IF(B460="",0,COUNTIFS(Changements!$A:$A,A460,Changements!$D:$D,B460)+IF(E460="Oui",1,0))</f>
        <v>0</v>
      </c>
      <c r="M460" s="17">
        <f>IF(B460="",0,COUNTIFS(Changements!$A:$A,A460,Changements!$C:$C,B460))</f>
        <v>0</v>
      </c>
      <c r="N460" s="17">
        <f>IF(B460="",0,SUMIFS(Changements!$B:$B,Changements!$A:$A,A460,Changements!$D:$D,B460))</f>
        <v>0</v>
      </c>
      <c r="O460" s="17">
        <f>IF(B460="",0,SUMIFS(Changements!$B:$B,Changements!$A:$A,A460,Changements!$C:$C,B460)+IF(L460&gt;M460,IFERROR(INDEX(Matchs!$F$4:$F$31,MATCH(A460,Matchs!$A$4:$A$31,0)),0),0))</f>
        <v>0</v>
      </c>
      <c r="P460" s="17">
        <f t="shared" si="38"/>
        <v>0</v>
      </c>
      <c r="Q460" s="17">
        <f t="shared" si="39"/>
        <v>0</v>
      </c>
    </row>
    <row r="461" spans="1:17" ht="15" customHeight="1" x14ac:dyDescent="0.25">
      <c r="A461" s="11">
        <f t="shared" si="35"/>
        <v>20</v>
      </c>
      <c r="B461" s="11" t="str">
        <f>INDEX('Effectif Saison'!$E$4:$E$22,2)</f>
        <v>Jean BRUNTZ</v>
      </c>
      <c r="C461" s="10"/>
      <c r="D461" s="10"/>
      <c r="E461" s="10"/>
      <c r="F461" s="19" t="str">
        <f>IF(B461="","",IF(AND(E461="Oui",COUNTIFS(Changements!$A:$A,A461,Changements!$D:$D,B461)&gt;0),"⚠ Titulaire+entrée ?",IF(ABS(L461-M461)&gt;1,"⚠ vérifier","")))</f>
        <v/>
      </c>
      <c r="G461" s="11" t="str">
        <f>IF(B461="","",IFERROR(INDEX('Effectif Saison'!$D$4:$D$51,MATCH(B461,'Effectif Saison'!$E$4:$E$51,0)),""))</f>
        <v>Équipe 1</v>
      </c>
      <c r="H461" s="19" t="str">
        <f>IF(L461=0,"",IF(E461="Oui",0,IFERROR(_xlfn.MINIFS(Changements!$B:$B,Changements!$A:$A,A461,Changements!$D:$D,B461),"")))</f>
        <v/>
      </c>
      <c r="I461" s="19" t="str">
        <f>IF(M461=0,"",IFERROR(_xlfn.MAXIFS(Changements!$B:$B,Changements!$A:$A,A461,Changements!$C:$C,B461),""))</f>
        <v/>
      </c>
      <c r="J461" s="11" t="str">
        <f t="shared" si="36"/>
        <v/>
      </c>
      <c r="K461" s="17">
        <f t="shared" si="37"/>
        <v>0</v>
      </c>
      <c r="L461" s="17">
        <f>IF(B461="",0,COUNTIFS(Changements!$A:$A,A461,Changements!$D:$D,B461)+IF(E461="Oui",1,0))</f>
        <v>0</v>
      </c>
      <c r="M461" s="17">
        <f>IF(B461="",0,COUNTIFS(Changements!$A:$A,A461,Changements!$C:$C,B461))</f>
        <v>0</v>
      </c>
      <c r="N461" s="17">
        <f>IF(B461="",0,SUMIFS(Changements!$B:$B,Changements!$A:$A,A461,Changements!$D:$D,B461))</f>
        <v>0</v>
      </c>
      <c r="O461" s="17">
        <f>IF(B461="",0,SUMIFS(Changements!$B:$B,Changements!$A:$A,A461,Changements!$C:$C,B461)+IF(L461&gt;M461,IFERROR(INDEX(Matchs!$F$4:$F$31,MATCH(A461,Matchs!$A$4:$A$31,0)),0),0))</f>
        <v>0</v>
      </c>
      <c r="P461" s="17">
        <f t="shared" si="38"/>
        <v>0</v>
      </c>
      <c r="Q461" s="17">
        <f t="shared" si="39"/>
        <v>0</v>
      </c>
    </row>
    <row r="462" spans="1:17" ht="15" customHeight="1" x14ac:dyDescent="0.25">
      <c r="A462" s="11">
        <f t="shared" si="35"/>
        <v>20</v>
      </c>
      <c r="B462" s="11" t="str">
        <f>INDEX('Effectif Saison'!$E$4:$E$22,3)</f>
        <v>Marouane SBK</v>
      </c>
      <c r="C462" s="10"/>
      <c r="D462" s="10"/>
      <c r="E462" s="10"/>
      <c r="F462" s="19" t="str">
        <f>IF(B462="","",IF(AND(E462="Oui",COUNTIFS(Changements!$A:$A,A462,Changements!$D:$D,B462)&gt;0),"⚠ Titulaire+entrée ?",IF(ABS(L462-M462)&gt;1,"⚠ vérifier","")))</f>
        <v/>
      </c>
      <c r="G462" s="11" t="str">
        <f>IF(B462="","",IFERROR(INDEX('Effectif Saison'!$D$4:$D$51,MATCH(B462,'Effectif Saison'!$E$4:$E$51,0)),""))</f>
        <v>Équipe 1</v>
      </c>
      <c r="H462" s="19" t="str">
        <f>IF(L462=0,"",IF(E462="Oui",0,IFERROR(_xlfn.MINIFS(Changements!$B:$B,Changements!$A:$A,A462,Changements!$D:$D,B462),"")))</f>
        <v/>
      </c>
      <c r="I462" s="19" t="str">
        <f>IF(M462=0,"",IFERROR(_xlfn.MAXIFS(Changements!$B:$B,Changements!$A:$A,A462,Changements!$C:$C,B462),""))</f>
        <v/>
      </c>
      <c r="J462" s="11" t="str">
        <f t="shared" si="36"/>
        <v/>
      </c>
      <c r="K462" s="17">
        <f t="shared" si="37"/>
        <v>0</v>
      </c>
      <c r="L462" s="17">
        <f>IF(B462="",0,COUNTIFS(Changements!$A:$A,A462,Changements!$D:$D,B462)+IF(E462="Oui",1,0))</f>
        <v>0</v>
      </c>
      <c r="M462" s="17">
        <f>IF(B462="",0,COUNTIFS(Changements!$A:$A,A462,Changements!$C:$C,B462))</f>
        <v>0</v>
      </c>
      <c r="N462" s="17">
        <f>IF(B462="",0,SUMIFS(Changements!$B:$B,Changements!$A:$A,A462,Changements!$D:$D,B462))</f>
        <v>0</v>
      </c>
      <c r="O462" s="17">
        <f>IF(B462="",0,SUMIFS(Changements!$B:$B,Changements!$A:$A,A462,Changements!$C:$C,B462)+IF(L462&gt;M462,IFERROR(INDEX(Matchs!$F$4:$F$31,MATCH(A462,Matchs!$A$4:$A$31,0)),0),0))</f>
        <v>0</v>
      </c>
      <c r="P462" s="17">
        <f t="shared" si="38"/>
        <v>0</v>
      </c>
      <c r="Q462" s="17">
        <f t="shared" si="39"/>
        <v>0</v>
      </c>
    </row>
    <row r="463" spans="1:17" ht="15" customHeight="1" x14ac:dyDescent="0.25">
      <c r="A463" s="11">
        <f t="shared" si="35"/>
        <v>20</v>
      </c>
      <c r="B463" s="11" t="str">
        <f>INDEX('Effectif Saison'!$E$4:$E$22,4)</f>
        <v>Noé BIHL</v>
      </c>
      <c r="C463" s="10"/>
      <c r="D463" s="10"/>
      <c r="E463" s="10"/>
      <c r="F463" s="19" t="str">
        <f>IF(B463="","",IF(AND(E463="Oui",COUNTIFS(Changements!$A:$A,A463,Changements!$D:$D,B463)&gt;0),"⚠ Titulaire+entrée ?",IF(ABS(L463-M463)&gt;1,"⚠ vérifier","")))</f>
        <v/>
      </c>
      <c r="G463" s="11" t="str">
        <f>IF(B463="","",IFERROR(INDEX('Effectif Saison'!$D$4:$D$51,MATCH(B463,'Effectif Saison'!$E$4:$E$51,0)),""))</f>
        <v>Équipe 1</v>
      </c>
      <c r="H463" s="19" t="str">
        <f>IF(L463=0,"",IF(E463="Oui",0,IFERROR(_xlfn.MINIFS(Changements!$B:$B,Changements!$A:$A,A463,Changements!$D:$D,B463),"")))</f>
        <v/>
      </c>
      <c r="I463" s="19" t="str">
        <f>IF(M463=0,"",IFERROR(_xlfn.MAXIFS(Changements!$B:$B,Changements!$A:$A,A463,Changements!$C:$C,B463),""))</f>
        <v/>
      </c>
      <c r="J463" s="11" t="str">
        <f t="shared" si="36"/>
        <v/>
      </c>
      <c r="K463" s="17">
        <f t="shared" si="37"/>
        <v>0</v>
      </c>
      <c r="L463" s="17">
        <f>IF(B463="",0,COUNTIFS(Changements!$A:$A,A463,Changements!$D:$D,B463)+IF(E463="Oui",1,0))</f>
        <v>0</v>
      </c>
      <c r="M463" s="17">
        <f>IF(B463="",0,COUNTIFS(Changements!$A:$A,A463,Changements!$C:$C,B463))</f>
        <v>0</v>
      </c>
      <c r="N463" s="17">
        <f>IF(B463="",0,SUMIFS(Changements!$B:$B,Changements!$A:$A,A463,Changements!$D:$D,B463))</f>
        <v>0</v>
      </c>
      <c r="O463" s="17">
        <f>IF(B463="",0,SUMIFS(Changements!$B:$B,Changements!$A:$A,A463,Changements!$C:$C,B463)+IF(L463&gt;M463,IFERROR(INDEX(Matchs!$F$4:$F$31,MATCH(A463,Matchs!$A$4:$A$31,0)),0),0))</f>
        <v>0</v>
      </c>
      <c r="P463" s="17">
        <f t="shared" si="38"/>
        <v>0</v>
      </c>
      <c r="Q463" s="17">
        <f t="shared" si="39"/>
        <v>0</v>
      </c>
    </row>
    <row r="464" spans="1:17" ht="15" customHeight="1" x14ac:dyDescent="0.25">
      <c r="A464" s="11">
        <f t="shared" si="35"/>
        <v>20</v>
      </c>
      <c r="B464" s="11" t="str">
        <f>INDEX('Effectif Saison'!$E$4:$E$22,5)</f>
        <v>Luca COLAIANNI</v>
      </c>
      <c r="C464" s="10"/>
      <c r="D464" s="10"/>
      <c r="E464" s="10"/>
      <c r="F464" s="19" t="str">
        <f>IF(B464="","",IF(AND(E464="Oui",COUNTIFS(Changements!$A:$A,A464,Changements!$D:$D,B464)&gt;0),"⚠ Titulaire+entrée ?",IF(ABS(L464-M464)&gt;1,"⚠ vérifier","")))</f>
        <v/>
      </c>
      <c r="G464" s="11" t="str">
        <f>IF(B464="","",IFERROR(INDEX('Effectif Saison'!$D$4:$D$51,MATCH(B464,'Effectif Saison'!$E$4:$E$51,0)),""))</f>
        <v>Équipe 1</v>
      </c>
      <c r="H464" s="19" t="str">
        <f>IF(L464=0,"",IF(E464="Oui",0,IFERROR(_xlfn.MINIFS(Changements!$B:$B,Changements!$A:$A,A464,Changements!$D:$D,B464),"")))</f>
        <v/>
      </c>
      <c r="I464" s="19" t="str">
        <f>IF(M464=0,"",IFERROR(_xlfn.MAXIFS(Changements!$B:$B,Changements!$A:$A,A464,Changements!$C:$C,B464),""))</f>
        <v/>
      </c>
      <c r="J464" s="11" t="str">
        <f t="shared" si="36"/>
        <v/>
      </c>
      <c r="K464" s="17">
        <f t="shared" si="37"/>
        <v>0</v>
      </c>
      <c r="L464" s="17">
        <f>IF(B464="",0,COUNTIFS(Changements!$A:$A,A464,Changements!$D:$D,B464)+IF(E464="Oui",1,0))</f>
        <v>0</v>
      </c>
      <c r="M464" s="17">
        <f>IF(B464="",0,COUNTIFS(Changements!$A:$A,A464,Changements!$C:$C,B464))</f>
        <v>0</v>
      </c>
      <c r="N464" s="17">
        <f>IF(B464="",0,SUMIFS(Changements!$B:$B,Changements!$A:$A,A464,Changements!$D:$D,B464))</f>
        <v>0</v>
      </c>
      <c r="O464" s="17">
        <f>IF(B464="",0,SUMIFS(Changements!$B:$B,Changements!$A:$A,A464,Changements!$C:$C,B464)+IF(L464&gt;M464,IFERROR(INDEX(Matchs!$F$4:$F$31,MATCH(A464,Matchs!$A$4:$A$31,0)),0),0))</f>
        <v>0</v>
      </c>
      <c r="P464" s="17">
        <f t="shared" si="38"/>
        <v>0</v>
      </c>
      <c r="Q464" s="17">
        <f t="shared" si="39"/>
        <v>0</v>
      </c>
    </row>
    <row r="465" spans="1:17" ht="15" customHeight="1" x14ac:dyDescent="0.25">
      <c r="A465" s="11">
        <f t="shared" si="35"/>
        <v>20</v>
      </c>
      <c r="B465" s="11" t="str">
        <f>INDEX('Effectif Saison'!$E$4:$E$22,6)</f>
        <v>Atilla ER</v>
      </c>
      <c r="C465" s="10"/>
      <c r="D465" s="10"/>
      <c r="E465" s="10"/>
      <c r="F465" s="19" t="str">
        <f>IF(B465="","",IF(AND(E465="Oui",COUNTIFS(Changements!$A:$A,A465,Changements!$D:$D,B465)&gt;0),"⚠ Titulaire+entrée ?",IF(ABS(L465-M465)&gt;1,"⚠ vérifier","")))</f>
        <v/>
      </c>
      <c r="G465" s="11" t="str">
        <f>IF(B465="","",IFERROR(INDEX('Effectif Saison'!$D$4:$D$51,MATCH(B465,'Effectif Saison'!$E$4:$E$51,0)),""))</f>
        <v>Équipe 1</v>
      </c>
      <c r="H465" s="19" t="str">
        <f>IF(L465=0,"",IF(E465="Oui",0,IFERROR(_xlfn.MINIFS(Changements!$B:$B,Changements!$A:$A,A465,Changements!$D:$D,B465),"")))</f>
        <v/>
      </c>
      <c r="I465" s="19" t="str">
        <f>IF(M465=0,"",IFERROR(_xlfn.MAXIFS(Changements!$B:$B,Changements!$A:$A,A465,Changements!$C:$C,B465),""))</f>
        <v/>
      </c>
      <c r="J465" s="11" t="str">
        <f t="shared" si="36"/>
        <v/>
      </c>
      <c r="K465" s="17">
        <f t="shared" si="37"/>
        <v>0</v>
      </c>
      <c r="L465" s="17">
        <f>IF(B465="",0,COUNTIFS(Changements!$A:$A,A465,Changements!$D:$D,B465)+IF(E465="Oui",1,0))</f>
        <v>0</v>
      </c>
      <c r="M465" s="17">
        <f>IF(B465="",0,COUNTIFS(Changements!$A:$A,A465,Changements!$C:$C,B465))</f>
        <v>0</v>
      </c>
      <c r="N465" s="17">
        <f>IF(B465="",0,SUMIFS(Changements!$B:$B,Changements!$A:$A,A465,Changements!$D:$D,B465))</f>
        <v>0</v>
      </c>
      <c r="O465" s="17">
        <f>IF(B465="",0,SUMIFS(Changements!$B:$B,Changements!$A:$A,A465,Changements!$C:$C,B465)+IF(L465&gt;M465,IFERROR(INDEX(Matchs!$F$4:$F$31,MATCH(A465,Matchs!$A$4:$A$31,0)),0),0))</f>
        <v>0</v>
      </c>
      <c r="P465" s="17">
        <f t="shared" si="38"/>
        <v>0</v>
      </c>
      <c r="Q465" s="17">
        <f t="shared" si="39"/>
        <v>0</v>
      </c>
    </row>
    <row r="466" spans="1:17" ht="15" customHeight="1" x14ac:dyDescent="0.25">
      <c r="A466" s="11">
        <f t="shared" si="35"/>
        <v>20</v>
      </c>
      <c r="B466" s="11" t="str">
        <f>INDEX('Effectif Saison'!$E$4:$E$22,7)</f>
        <v>Lucas BUHR</v>
      </c>
      <c r="C466" s="10"/>
      <c r="D466" s="10"/>
      <c r="E466" s="10"/>
      <c r="F466" s="19" t="str">
        <f>IF(B466="","",IF(AND(E466="Oui",COUNTIFS(Changements!$A:$A,A466,Changements!$D:$D,B466)&gt;0),"⚠ Titulaire+entrée ?",IF(ABS(L466-M466)&gt;1,"⚠ vérifier","")))</f>
        <v/>
      </c>
      <c r="G466" s="11" t="str">
        <f>IF(B466="","",IFERROR(INDEX('Effectif Saison'!$D$4:$D$51,MATCH(B466,'Effectif Saison'!$E$4:$E$51,0)),""))</f>
        <v>Équipe 1</v>
      </c>
      <c r="H466" s="19" t="str">
        <f>IF(L466=0,"",IF(E466="Oui",0,IFERROR(_xlfn.MINIFS(Changements!$B:$B,Changements!$A:$A,A466,Changements!$D:$D,B466),"")))</f>
        <v/>
      </c>
      <c r="I466" s="19" t="str">
        <f>IF(M466=0,"",IFERROR(_xlfn.MAXIFS(Changements!$B:$B,Changements!$A:$A,A466,Changements!$C:$C,B466),""))</f>
        <v/>
      </c>
      <c r="J466" s="11" t="str">
        <f t="shared" si="36"/>
        <v/>
      </c>
      <c r="K466" s="17">
        <f t="shared" si="37"/>
        <v>0</v>
      </c>
      <c r="L466" s="17">
        <f>IF(B466="",0,COUNTIFS(Changements!$A:$A,A466,Changements!$D:$D,B466)+IF(E466="Oui",1,0))</f>
        <v>0</v>
      </c>
      <c r="M466" s="17">
        <f>IF(B466="",0,COUNTIFS(Changements!$A:$A,A466,Changements!$C:$C,B466))</f>
        <v>0</v>
      </c>
      <c r="N466" s="17">
        <f>IF(B466="",0,SUMIFS(Changements!$B:$B,Changements!$A:$A,A466,Changements!$D:$D,B466))</f>
        <v>0</v>
      </c>
      <c r="O466" s="17">
        <f>IF(B466="",0,SUMIFS(Changements!$B:$B,Changements!$A:$A,A466,Changements!$C:$C,B466)+IF(L466&gt;M466,IFERROR(INDEX(Matchs!$F$4:$F$31,MATCH(A466,Matchs!$A$4:$A$31,0)),0),0))</f>
        <v>0</v>
      </c>
      <c r="P466" s="17">
        <f t="shared" si="38"/>
        <v>0</v>
      </c>
      <c r="Q466" s="17">
        <f t="shared" si="39"/>
        <v>0</v>
      </c>
    </row>
    <row r="467" spans="1:17" ht="15" customHeight="1" x14ac:dyDescent="0.25">
      <c r="A467" s="11">
        <f t="shared" si="35"/>
        <v>20</v>
      </c>
      <c r="B467" s="11" t="str">
        <f>INDEX('Effectif Saison'!$E$4:$E$22,8)</f>
        <v>Yanis HOUX</v>
      </c>
      <c r="C467" s="10"/>
      <c r="D467" s="10"/>
      <c r="E467" s="10"/>
      <c r="F467" s="19" t="str">
        <f>IF(B467="","",IF(AND(E467="Oui",COUNTIFS(Changements!$A:$A,A467,Changements!$D:$D,B467)&gt;0),"⚠ Titulaire+entrée ?",IF(ABS(L467-M467)&gt;1,"⚠ vérifier","")))</f>
        <v/>
      </c>
      <c r="G467" s="11" t="str">
        <f>IF(B467="","",IFERROR(INDEX('Effectif Saison'!$D$4:$D$51,MATCH(B467,'Effectif Saison'!$E$4:$E$51,0)),""))</f>
        <v>Équipe 1</v>
      </c>
      <c r="H467" s="19" t="str">
        <f>IF(L467=0,"",IF(E467="Oui",0,IFERROR(_xlfn.MINIFS(Changements!$B:$B,Changements!$A:$A,A467,Changements!$D:$D,B467),"")))</f>
        <v/>
      </c>
      <c r="I467" s="19" t="str">
        <f>IF(M467=0,"",IFERROR(_xlfn.MAXIFS(Changements!$B:$B,Changements!$A:$A,A467,Changements!$C:$C,B467),""))</f>
        <v/>
      </c>
      <c r="J467" s="11" t="str">
        <f t="shared" si="36"/>
        <v/>
      </c>
      <c r="K467" s="17">
        <f t="shared" si="37"/>
        <v>0</v>
      </c>
      <c r="L467" s="17">
        <f>IF(B467="",0,COUNTIFS(Changements!$A:$A,A467,Changements!$D:$D,B467)+IF(E467="Oui",1,0))</f>
        <v>0</v>
      </c>
      <c r="M467" s="17">
        <f>IF(B467="",0,COUNTIFS(Changements!$A:$A,A467,Changements!$C:$C,B467))</f>
        <v>0</v>
      </c>
      <c r="N467" s="17">
        <f>IF(B467="",0,SUMIFS(Changements!$B:$B,Changements!$A:$A,A467,Changements!$D:$D,B467))</f>
        <v>0</v>
      </c>
      <c r="O467" s="17">
        <f>IF(B467="",0,SUMIFS(Changements!$B:$B,Changements!$A:$A,A467,Changements!$C:$C,B467)+IF(L467&gt;M467,IFERROR(INDEX(Matchs!$F$4:$F$31,MATCH(A467,Matchs!$A$4:$A$31,0)),0),0))</f>
        <v>0</v>
      </c>
      <c r="P467" s="17">
        <f t="shared" si="38"/>
        <v>0</v>
      </c>
      <c r="Q467" s="17">
        <f t="shared" si="39"/>
        <v>0</v>
      </c>
    </row>
    <row r="468" spans="1:17" ht="15" customHeight="1" x14ac:dyDescent="0.25">
      <c r="A468" s="11">
        <f t="shared" si="35"/>
        <v>20</v>
      </c>
      <c r="B468" s="11" t="str">
        <f>INDEX('Effectif Saison'!$E$4:$E$22,9)</f>
        <v>Tino COLAIANNI</v>
      </c>
      <c r="C468" s="10"/>
      <c r="D468" s="10"/>
      <c r="E468" s="10"/>
      <c r="F468" s="19" t="str">
        <f>IF(B468="","",IF(AND(E468="Oui",COUNTIFS(Changements!$A:$A,A468,Changements!$D:$D,B468)&gt;0),"⚠ Titulaire+entrée ?",IF(ABS(L468-M468)&gt;1,"⚠ vérifier","")))</f>
        <v/>
      </c>
      <c r="G468" s="11" t="str">
        <f>IF(B468="","",IFERROR(INDEX('Effectif Saison'!$D$4:$D$51,MATCH(B468,'Effectif Saison'!$E$4:$E$51,0)),""))</f>
        <v>Équipe 1</v>
      </c>
      <c r="H468" s="19" t="str">
        <f>IF(L468=0,"",IF(E468="Oui",0,IFERROR(_xlfn.MINIFS(Changements!$B:$B,Changements!$A:$A,A468,Changements!$D:$D,B468),"")))</f>
        <v/>
      </c>
      <c r="I468" s="19" t="str">
        <f>IF(M468=0,"",IFERROR(_xlfn.MAXIFS(Changements!$B:$B,Changements!$A:$A,A468,Changements!$C:$C,B468),""))</f>
        <v/>
      </c>
      <c r="J468" s="11" t="str">
        <f t="shared" si="36"/>
        <v/>
      </c>
      <c r="K468" s="17">
        <f t="shared" si="37"/>
        <v>0</v>
      </c>
      <c r="L468" s="17">
        <f>IF(B468="",0,COUNTIFS(Changements!$A:$A,A468,Changements!$D:$D,B468)+IF(E468="Oui",1,0))</f>
        <v>0</v>
      </c>
      <c r="M468" s="17">
        <f>IF(B468="",0,COUNTIFS(Changements!$A:$A,A468,Changements!$C:$C,B468))</f>
        <v>0</v>
      </c>
      <c r="N468" s="17">
        <f>IF(B468="",0,SUMIFS(Changements!$B:$B,Changements!$A:$A,A468,Changements!$D:$D,B468))</f>
        <v>0</v>
      </c>
      <c r="O468" s="17">
        <f>IF(B468="",0,SUMIFS(Changements!$B:$B,Changements!$A:$A,A468,Changements!$C:$C,B468)+IF(L468&gt;M468,IFERROR(INDEX(Matchs!$F$4:$F$31,MATCH(A468,Matchs!$A$4:$A$31,0)),0),0))</f>
        <v>0</v>
      </c>
      <c r="P468" s="17">
        <f t="shared" si="38"/>
        <v>0</v>
      </c>
      <c r="Q468" s="17">
        <f t="shared" si="39"/>
        <v>0</v>
      </c>
    </row>
    <row r="469" spans="1:17" ht="15" customHeight="1" x14ac:dyDescent="0.25">
      <c r="A469" s="11">
        <f t="shared" si="35"/>
        <v>20</v>
      </c>
      <c r="B469" s="11" t="str">
        <f>INDEX('Effectif Saison'!$E$4:$E$22,10)</f>
        <v>Achille KELLERKNECHT</v>
      </c>
      <c r="C469" s="10"/>
      <c r="D469" s="10"/>
      <c r="E469" s="10"/>
      <c r="F469" s="19" t="str">
        <f>IF(B469="","",IF(AND(E469="Oui",COUNTIFS(Changements!$A:$A,A469,Changements!$D:$D,B469)&gt;0),"⚠ Titulaire+entrée ?",IF(ABS(L469-M469)&gt;1,"⚠ vérifier","")))</f>
        <v/>
      </c>
      <c r="G469" s="11" t="str">
        <f>IF(B469="","",IFERROR(INDEX('Effectif Saison'!$D$4:$D$51,MATCH(B469,'Effectif Saison'!$E$4:$E$51,0)),""))</f>
        <v>Équipe 1</v>
      </c>
      <c r="H469" s="19" t="str">
        <f>IF(L469=0,"",IF(E469="Oui",0,IFERROR(_xlfn.MINIFS(Changements!$B:$B,Changements!$A:$A,A469,Changements!$D:$D,B469),"")))</f>
        <v/>
      </c>
      <c r="I469" s="19" t="str">
        <f>IF(M469=0,"",IFERROR(_xlfn.MAXIFS(Changements!$B:$B,Changements!$A:$A,A469,Changements!$C:$C,B469),""))</f>
        <v/>
      </c>
      <c r="J469" s="11" t="str">
        <f t="shared" si="36"/>
        <v/>
      </c>
      <c r="K469" s="17">
        <f t="shared" si="37"/>
        <v>0</v>
      </c>
      <c r="L469" s="17">
        <f>IF(B469="",0,COUNTIFS(Changements!$A:$A,A469,Changements!$D:$D,B469)+IF(E469="Oui",1,0))</f>
        <v>0</v>
      </c>
      <c r="M469" s="17">
        <f>IF(B469="",0,COUNTIFS(Changements!$A:$A,A469,Changements!$C:$C,B469))</f>
        <v>0</v>
      </c>
      <c r="N469" s="17">
        <f>IF(B469="",0,SUMIFS(Changements!$B:$B,Changements!$A:$A,A469,Changements!$D:$D,B469))</f>
        <v>0</v>
      </c>
      <c r="O469" s="17">
        <f>IF(B469="",0,SUMIFS(Changements!$B:$B,Changements!$A:$A,A469,Changements!$C:$C,B469)+IF(L469&gt;M469,IFERROR(INDEX(Matchs!$F$4:$F$31,MATCH(A469,Matchs!$A$4:$A$31,0)),0),0))</f>
        <v>0</v>
      </c>
      <c r="P469" s="17">
        <f t="shared" si="38"/>
        <v>0</v>
      </c>
      <c r="Q469" s="17">
        <f t="shared" si="39"/>
        <v>0</v>
      </c>
    </row>
    <row r="470" spans="1:17" ht="15" customHeight="1" x14ac:dyDescent="0.25">
      <c r="A470" s="11">
        <f t="shared" si="35"/>
        <v>20</v>
      </c>
      <c r="B470" s="11" t="str">
        <f>INDEX('Effectif Saison'!$E$4:$E$22,11)</f>
        <v>Charly LEPERT</v>
      </c>
      <c r="C470" s="10"/>
      <c r="D470" s="10"/>
      <c r="E470" s="10"/>
      <c r="F470" s="19" t="str">
        <f>IF(B470="","",IF(AND(E470="Oui",COUNTIFS(Changements!$A:$A,A470,Changements!$D:$D,B470)&gt;0),"⚠ Titulaire+entrée ?",IF(ABS(L470-M470)&gt;1,"⚠ vérifier","")))</f>
        <v/>
      </c>
      <c r="G470" s="11" t="str">
        <f>IF(B470="","",IFERROR(INDEX('Effectif Saison'!$D$4:$D$51,MATCH(B470,'Effectif Saison'!$E$4:$E$51,0)),""))</f>
        <v>Équipe 1</v>
      </c>
      <c r="H470" s="19" t="str">
        <f>IF(L470=0,"",IF(E470="Oui",0,IFERROR(_xlfn.MINIFS(Changements!$B:$B,Changements!$A:$A,A470,Changements!$D:$D,B470),"")))</f>
        <v/>
      </c>
      <c r="I470" s="19" t="str">
        <f>IF(M470=0,"",IFERROR(_xlfn.MAXIFS(Changements!$B:$B,Changements!$A:$A,A470,Changements!$C:$C,B470),""))</f>
        <v/>
      </c>
      <c r="J470" s="11" t="str">
        <f t="shared" si="36"/>
        <v/>
      </c>
      <c r="K470" s="17">
        <f t="shared" si="37"/>
        <v>0</v>
      </c>
      <c r="L470" s="17">
        <f>IF(B470="",0,COUNTIFS(Changements!$A:$A,A470,Changements!$D:$D,B470)+IF(E470="Oui",1,0))</f>
        <v>0</v>
      </c>
      <c r="M470" s="17">
        <f>IF(B470="",0,COUNTIFS(Changements!$A:$A,A470,Changements!$C:$C,B470))</f>
        <v>0</v>
      </c>
      <c r="N470" s="17">
        <f>IF(B470="",0,SUMIFS(Changements!$B:$B,Changements!$A:$A,A470,Changements!$D:$D,B470))</f>
        <v>0</v>
      </c>
      <c r="O470" s="17">
        <f>IF(B470="",0,SUMIFS(Changements!$B:$B,Changements!$A:$A,A470,Changements!$C:$C,B470)+IF(L470&gt;M470,IFERROR(INDEX(Matchs!$F$4:$F$31,MATCH(A470,Matchs!$A$4:$A$31,0)),0),0))</f>
        <v>0</v>
      </c>
      <c r="P470" s="17">
        <f t="shared" si="38"/>
        <v>0</v>
      </c>
      <c r="Q470" s="17">
        <f t="shared" si="39"/>
        <v>0</v>
      </c>
    </row>
    <row r="471" spans="1:17" ht="15" customHeight="1" x14ac:dyDescent="0.25">
      <c r="A471" s="11">
        <f t="shared" si="35"/>
        <v>20</v>
      </c>
      <c r="B471" s="11" t="str">
        <f>INDEX('Effectif Saison'!$E$4:$E$22,12)</f>
        <v>Basile STANGRET</v>
      </c>
      <c r="C471" s="10"/>
      <c r="D471" s="10"/>
      <c r="E471" s="10"/>
      <c r="F471" s="19" t="str">
        <f>IF(B471="","",IF(AND(E471="Oui",COUNTIFS(Changements!$A:$A,A471,Changements!$D:$D,B471)&gt;0),"⚠ Titulaire+entrée ?",IF(ABS(L471-M471)&gt;1,"⚠ vérifier","")))</f>
        <v/>
      </c>
      <c r="G471" s="11" t="str">
        <f>IF(B471="","",IFERROR(INDEX('Effectif Saison'!$D$4:$D$51,MATCH(B471,'Effectif Saison'!$E$4:$E$51,0)),""))</f>
        <v>Équipe 1</v>
      </c>
      <c r="H471" s="19" t="str">
        <f>IF(L471=0,"",IF(E471="Oui",0,IFERROR(_xlfn.MINIFS(Changements!$B:$B,Changements!$A:$A,A471,Changements!$D:$D,B471),"")))</f>
        <v/>
      </c>
      <c r="I471" s="19" t="str">
        <f>IF(M471=0,"",IFERROR(_xlfn.MAXIFS(Changements!$B:$B,Changements!$A:$A,A471,Changements!$C:$C,B471),""))</f>
        <v/>
      </c>
      <c r="J471" s="11" t="str">
        <f t="shared" si="36"/>
        <v/>
      </c>
      <c r="K471" s="17">
        <f t="shared" si="37"/>
        <v>0</v>
      </c>
      <c r="L471" s="17">
        <f>IF(B471="",0,COUNTIFS(Changements!$A:$A,A471,Changements!$D:$D,B471)+IF(E471="Oui",1,0))</f>
        <v>0</v>
      </c>
      <c r="M471" s="17">
        <f>IF(B471="",0,COUNTIFS(Changements!$A:$A,A471,Changements!$C:$C,B471))</f>
        <v>0</v>
      </c>
      <c r="N471" s="17">
        <f>IF(B471="",0,SUMIFS(Changements!$B:$B,Changements!$A:$A,A471,Changements!$D:$D,B471))</f>
        <v>0</v>
      </c>
      <c r="O471" s="17">
        <f>IF(B471="",0,SUMIFS(Changements!$B:$B,Changements!$A:$A,A471,Changements!$C:$C,B471)+IF(L471&gt;M471,IFERROR(INDEX(Matchs!$F$4:$F$31,MATCH(A471,Matchs!$A$4:$A$31,0)),0),0))</f>
        <v>0</v>
      </c>
      <c r="P471" s="17">
        <f t="shared" si="38"/>
        <v>0</v>
      </c>
      <c r="Q471" s="17">
        <f t="shared" si="39"/>
        <v>0</v>
      </c>
    </row>
    <row r="472" spans="1:17" ht="15" customHeight="1" x14ac:dyDescent="0.25">
      <c r="A472" s="11">
        <f t="shared" si="35"/>
        <v>20</v>
      </c>
      <c r="B472" s="11" t="str">
        <f>INDEX('Effectif Saison'!$E$4:$E$22,13)</f>
        <v>Maxence KELLER</v>
      </c>
      <c r="C472" s="10"/>
      <c r="D472" s="10"/>
      <c r="E472" s="10"/>
      <c r="F472" s="19" t="str">
        <f>IF(B472="","",IF(AND(E472="Oui",COUNTIFS(Changements!$A:$A,A472,Changements!$D:$D,B472)&gt;0),"⚠ Titulaire+entrée ?",IF(ABS(L472-M472)&gt;1,"⚠ vérifier","")))</f>
        <v/>
      </c>
      <c r="G472" s="11" t="str">
        <f>IF(B472="","",IFERROR(INDEX('Effectif Saison'!$D$4:$D$51,MATCH(B472,'Effectif Saison'!$E$4:$E$51,0)),""))</f>
        <v>Équipe 1</v>
      </c>
      <c r="H472" s="19" t="str">
        <f>IF(L472=0,"",IF(E472="Oui",0,IFERROR(_xlfn.MINIFS(Changements!$B:$B,Changements!$A:$A,A472,Changements!$D:$D,B472),"")))</f>
        <v/>
      </c>
      <c r="I472" s="19" t="str">
        <f>IF(M472=0,"",IFERROR(_xlfn.MAXIFS(Changements!$B:$B,Changements!$A:$A,A472,Changements!$C:$C,B472),""))</f>
        <v/>
      </c>
      <c r="J472" s="11" t="str">
        <f t="shared" si="36"/>
        <v/>
      </c>
      <c r="K472" s="17">
        <f t="shared" si="37"/>
        <v>0</v>
      </c>
      <c r="L472" s="17">
        <f>IF(B472="",0,COUNTIFS(Changements!$A:$A,A472,Changements!$D:$D,B472)+IF(E472="Oui",1,0))</f>
        <v>0</v>
      </c>
      <c r="M472" s="17">
        <f>IF(B472="",0,COUNTIFS(Changements!$A:$A,A472,Changements!$C:$C,B472))</f>
        <v>0</v>
      </c>
      <c r="N472" s="17">
        <f>IF(B472="",0,SUMIFS(Changements!$B:$B,Changements!$A:$A,A472,Changements!$D:$D,B472))</f>
        <v>0</v>
      </c>
      <c r="O472" s="17">
        <f>IF(B472="",0,SUMIFS(Changements!$B:$B,Changements!$A:$A,A472,Changements!$C:$C,B472)+IF(L472&gt;M472,IFERROR(INDEX(Matchs!$F$4:$F$31,MATCH(A472,Matchs!$A$4:$A$31,0)),0),0))</f>
        <v>0</v>
      </c>
      <c r="P472" s="17">
        <f t="shared" si="38"/>
        <v>0</v>
      </c>
      <c r="Q472" s="17">
        <f t="shared" si="39"/>
        <v>0</v>
      </c>
    </row>
    <row r="473" spans="1:17" ht="15" customHeight="1" x14ac:dyDescent="0.25">
      <c r="A473" s="11">
        <f t="shared" si="35"/>
        <v>20</v>
      </c>
      <c r="B473" s="11" t="str">
        <f>INDEX('Effectif Saison'!$E$4:$E$22,14)</f>
        <v>Evan SCHMITT</v>
      </c>
      <c r="C473" s="10"/>
      <c r="D473" s="10"/>
      <c r="E473" s="10"/>
      <c r="F473" s="19" t="str">
        <f>IF(B473="","",IF(AND(E473="Oui",COUNTIFS(Changements!$A:$A,A473,Changements!$D:$D,B473)&gt;0),"⚠ Titulaire+entrée ?",IF(ABS(L473-M473)&gt;1,"⚠ vérifier","")))</f>
        <v/>
      </c>
      <c r="G473" s="11" t="str">
        <f>IF(B473="","",IFERROR(INDEX('Effectif Saison'!$D$4:$D$51,MATCH(B473,'Effectif Saison'!$E$4:$E$51,0)),""))</f>
        <v>Équipe 1</v>
      </c>
      <c r="H473" s="19" t="str">
        <f>IF(L473=0,"",IF(E473="Oui",0,IFERROR(_xlfn.MINIFS(Changements!$B:$B,Changements!$A:$A,A473,Changements!$D:$D,B473),"")))</f>
        <v/>
      </c>
      <c r="I473" s="19" t="str">
        <f>IF(M473=0,"",IFERROR(_xlfn.MAXIFS(Changements!$B:$B,Changements!$A:$A,A473,Changements!$C:$C,B473),""))</f>
        <v/>
      </c>
      <c r="J473" s="11" t="str">
        <f t="shared" si="36"/>
        <v/>
      </c>
      <c r="K473" s="17">
        <f t="shared" si="37"/>
        <v>0</v>
      </c>
      <c r="L473" s="17">
        <f>IF(B473="",0,COUNTIFS(Changements!$A:$A,A473,Changements!$D:$D,B473)+IF(E473="Oui",1,0))</f>
        <v>0</v>
      </c>
      <c r="M473" s="17">
        <f>IF(B473="",0,COUNTIFS(Changements!$A:$A,A473,Changements!$C:$C,B473))</f>
        <v>0</v>
      </c>
      <c r="N473" s="17">
        <f>IF(B473="",0,SUMIFS(Changements!$B:$B,Changements!$A:$A,A473,Changements!$D:$D,B473))</f>
        <v>0</v>
      </c>
      <c r="O473" s="17">
        <f>IF(B473="",0,SUMIFS(Changements!$B:$B,Changements!$A:$A,A473,Changements!$C:$C,B473)+IF(L473&gt;M473,IFERROR(INDEX(Matchs!$F$4:$F$31,MATCH(A473,Matchs!$A$4:$A$31,0)),0),0))</f>
        <v>0</v>
      </c>
      <c r="P473" s="17">
        <f t="shared" si="38"/>
        <v>0</v>
      </c>
      <c r="Q473" s="17">
        <f t="shared" si="39"/>
        <v>0</v>
      </c>
    </row>
    <row r="474" spans="1:17" ht="15" customHeight="1" x14ac:dyDescent="0.25">
      <c r="A474" s="11">
        <f t="shared" si="35"/>
        <v>20</v>
      </c>
      <c r="B474" s="11" t="str">
        <f>INDEX('Effectif Saison'!$E$4:$E$22,15)</f>
        <v>William SIMON</v>
      </c>
      <c r="C474" s="10"/>
      <c r="D474" s="10"/>
      <c r="E474" s="10"/>
      <c r="F474" s="19" t="str">
        <f>IF(B474="","",IF(AND(E474="Oui",COUNTIFS(Changements!$A:$A,A474,Changements!$D:$D,B474)&gt;0),"⚠ Titulaire+entrée ?",IF(ABS(L474-M474)&gt;1,"⚠ vérifier","")))</f>
        <v/>
      </c>
      <c r="G474" s="11" t="str">
        <f>IF(B474="","",IFERROR(INDEX('Effectif Saison'!$D$4:$D$51,MATCH(B474,'Effectif Saison'!$E$4:$E$51,0)),""))</f>
        <v>Équipe 1</v>
      </c>
      <c r="H474" s="19" t="str">
        <f>IF(L474=0,"",IF(E474="Oui",0,IFERROR(_xlfn.MINIFS(Changements!$B:$B,Changements!$A:$A,A474,Changements!$D:$D,B474),"")))</f>
        <v/>
      </c>
      <c r="I474" s="19" t="str">
        <f>IF(M474=0,"",IFERROR(_xlfn.MAXIFS(Changements!$B:$B,Changements!$A:$A,A474,Changements!$C:$C,B474),""))</f>
        <v/>
      </c>
      <c r="J474" s="11" t="str">
        <f t="shared" si="36"/>
        <v/>
      </c>
      <c r="K474" s="17">
        <f t="shared" si="37"/>
        <v>0</v>
      </c>
      <c r="L474" s="17">
        <f>IF(B474="",0,COUNTIFS(Changements!$A:$A,A474,Changements!$D:$D,B474)+IF(E474="Oui",1,0))</f>
        <v>0</v>
      </c>
      <c r="M474" s="17">
        <f>IF(B474="",0,COUNTIFS(Changements!$A:$A,A474,Changements!$C:$C,B474))</f>
        <v>0</v>
      </c>
      <c r="N474" s="17">
        <f>IF(B474="",0,SUMIFS(Changements!$B:$B,Changements!$A:$A,A474,Changements!$D:$D,B474))</f>
        <v>0</v>
      </c>
      <c r="O474" s="17">
        <f>IF(B474="",0,SUMIFS(Changements!$B:$B,Changements!$A:$A,A474,Changements!$C:$C,B474)+IF(L474&gt;M474,IFERROR(INDEX(Matchs!$F$4:$F$31,MATCH(A474,Matchs!$A$4:$A$31,0)),0),0))</f>
        <v>0</v>
      </c>
      <c r="P474" s="17">
        <f t="shared" si="38"/>
        <v>0</v>
      </c>
      <c r="Q474" s="17">
        <f t="shared" si="39"/>
        <v>0</v>
      </c>
    </row>
    <row r="475" spans="1:17" ht="15" customHeight="1" x14ac:dyDescent="0.25">
      <c r="A475" s="11">
        <f t="shared" si="35"/>
        <v>20</v>
      </c>
      <c r="B475" s="11" t="str">
        <f>INDEX('Effectif Saison'!$E$4:$E$22,16)</f>
        <v>Lenny LEPPER</v>
      </c>
      <c r="C475" s="10"/>
      <c r="D475" s="10"/>
      <c r="E475" s="10"/>
      <c r="F475" s="19" t="str">
        <f>IF(B475="","",IF(AND(E475="Oui",COUNTIFS(Changements!$A:$A,A475,Changements!$D:$D,B475)&gt;0),"⚠ Titulaire+entrée ?",IF(ABS(L475-M475)&gt;1,"⚠ vérifier","")))</f>
        <v/>
      </c>
      <c r="G475" s="11" t="str">
        <f>IF(B475="","",IFERROR(INDEX('Effectif Saison'!$D$4:$D$51,MATCH(B475,'Effectif Saison'!$E$4:$E$51,0)),""))</f>
        <v>Équipe 1</v>
      </c>
      <c r="H475" s="19" t="str">
        <f>IF(L475=0,"",IF(E475="Oui",0,IFERROR(_xlfn.MINIFS(Changements!$B:$B,Changements!$A:$A,A475,Changements!$D:$D,B475),"")))</f>
        <v/>
      </c>
      <c r="I475" s="19" t="str">
        <f>IF(M475=0,"",IFERROR(_xlfn.MAXIFS(Changements!$B:$B,Changements!$A:$A,A475,Changements!$C:$C,B475),""))</f>
        <v/>
      </c>
      <c r="J475" s="11" t="str">
        <f t="shared" si="36"/>
        <v/>
      </c>
      <c r="K475" s="17">
        <f t="shared" si="37"/>
        <v>0</v>
      </c>
      <c r="L475" s="17">
        <f>IF(B475="",0,COUNTIFS(Changements!$A:$A,A475,Changements!$D:$D,B475)+IF(E475="Oui",1,0))</f>
        <v>0</v>
      </c>
      <c r="M475" s="17">
        <f>IF(B475="",0,COUNTIFS(Changements!$A:$A,A475,Changements!$C:$C,B475))</f>
        <v>0</v>
      </c>
      <c r="N475" s="17">
        <f>IF(B475="",0,SUMIFS(Changements!$B:$B,Changements!$A:$A,A475,Changements!$D:$D,B475))</f>
        <v>0</v>
      </c>
      <c r="O475" s="17">
        <f>IF(B475="",0,SUMIFS(Changements!$B:$B,Changements!$A:$A,A475,Changements!$C:$C,B475)+IF(L475&gt;M475,IFERROR(INDEX(Matchs!$F$4:$F$31,MATCH(A475,Matchs!$A$4:$A$31,0)),0),0))</f>
        <v>0</v>
      </c>
      <c r="P475" s="17">
        <f t="shared" si="38"/>
        <v>0</v>
      </c>
      <c r="Q475" s="17">
        <f t="shared" si="39"/>
        <v>0</v>
      </c>
    </row>
    <row r="476" spans="1:17" ht="15" customHeight="1" x14ac:dyDescent="0.25">
      <c r="A476" s="11">
        <f t="shared" si="35"/>
        <v>20</v>
      </c>
      <c r="B476" s="11" t="str">
        <f>INDEX('Effectif Saison'!$E$4:$E$22,17)</f>
        <v>Malo KELLER</v>
      </c>
      <c r="C476" s="10"/>
      <c r="D476" s="10"/>
      <c r="E476" s="10"/>
      <c r="F476" s="19" t="str">
        <f>IF(B476="","",IF(AND(E476="Oui",COUNTIFS(Changements!$A:$A,A476,Changements!$D:$D,B476)&gt;0),"⚠ Titulaire+entrée ?",IF(ABS(L476-M476)&gt;1,"⚠ vérifier","")))</f>
        <v/>
      </c>
      <c r="G476" s="11" t="str">
        <f>IF(B476="","",IFERROR(INDEX('Effectif Saison'!$D$4:$D$51,MATCH(B476,'Effectif Saison'!$E$4:$E$51,0)),""))</f>
        <v>Équipe 1</v>
      </c>
      <c r="H476" s="19" t="str">
        <f>IF(L476=0,"",IF(E476="Oui",0,IFERROR(_xlfn.MINIFS(Changements!$B:$B,Changements!$A:$A,A476,Changements!$D:$D,B476),"")))</f>
        <v/>
      </c>
      <c r="I476" s="19" t="str">
        <f>IF(M476=0,"",IFERROR(_xlfn.MAXIFS(Changements!$B:$B,Changements!$A:$A,A476,Changements!$C:$C,B476),""))</f>
        <v/>
      </c>
      <c r="J476" s="11" t="str">
        <f t="shared" si="36"/>
        <v/>
      </c>
      <c r="K476" s="17">
        <f t="shared" si="37"/>
        <v>0</v>
      </c>
      <c r="L476" s="17">
        <f>IF(B476="",0,COUNTIFS(Changements!$A:$A,A476,Changements!$D:$D,B476)+IF(E476="Oui",1,0))</f>
        <v>0</v>
      </c>
      <c r="M476" s="17">
        <f>IF(B476="",0,COUNTIFS(Changements!$A:$A,A476,Changements!$C:$C,B476))</f>
        <v>0</v>
      </c>
      <c r="N476" s="17">
        <f>IF(B476="",0,SUMIFS(Changements!$B:$B,Changements!$A:$A,A476,Changements!$D:$D,B476))</f>
        <v>0</v>
      </c>
      <c r="O476" s="17">
        <f>IF(B476="",0,SUMIFS(Changements!$B:$B,Changements!$A:$A,A476,Changements!$C:$C,B476)+IF(L476&gt;M476,IFERROR(INDEX(Matchs!$F$4:$F$31,MATCH(A476,Matchs!$A$4:$A$31,0)),0),0))</f>
        <v>0</v>
      </c>
      <c r="P476" s="17">
        <f t="shared" si="38"/>
        <v>0</v>
      </c>
      <c r="Q476" s="17">
        <f t="shared" si="39"/>
        <v>0</v>
      </c>
    </row>
    <row r="477" spans="1:17" ht="15" customHeight="1" x14ac:dyDescent="0.25">
      <c r="A477" s="11">
        <f t="shared" si="35"/>
        <v>20</v>
      </c>
      <c r="B477" s="11" t="str">
        <f>INDEX('Effectif Saison'!$E$4:$E$22,18)</f>
        <v>Tom SCHILLER</v>
      </c>
      <c r="C477" s="10"/>
      <c r="D477" s="10"/>
      <c r="E477" s="10"/>
      <c r="F477" s="19" t="str">
        <f>IF(B477="","",IF(AND(E477="Oui",COUNTIFS(Changements!$A:$A,A477,Changements!$D:$D,B477)&gt;0),"⚠ Titulaire+entrée ?",IF(ABS(L477-M477)&gt;1,"⚠ vérifier","")))</f>
        <v/>
      </c>
      <c r="G477" s="11" t="str">
        <f>IF(B477="","",IFERROR(INDEX('Effectif Saison'!$D$4:$D$51,MATCH(B477,'Effectif Saison'!$E$4:$E$51,0)),""))</f>
        <v>Équipe 1</v>
      </c>
      <c r="H477" s="19" t="str">
        <f>IF(L477=0,"",IF(E477="Oui",0,IFERROR(_xlfn.MINIFS(Changements!$B:$B,Changements!$A:$A,A477,Changements!$D:$D,B477),"")))</f>
        <v/>
      </c>
      <c r="I477" s="19" t="str">
        <f>IF(M477=0,"",IFERROR(_xlfn.MAXIFS(Changements!$B:$B,Changements!$A:$A,A477,Changements!$C:$C,B477),""))</f>
        <v/>
      </c>
      <c r="J477" s="11" t="str">
        <f t="shared" si="36"/>
        <v/>
      </c>
      <c r="K477" s="17">
        <f t="shared" si="37"/>
        <v>0</v>
      </c>
      <c r="L477" s="17">
        <f>IF(B477="",0,COUNTIFS(Changements!$A:$A,A477,Changements!$D:$D,B477)+IF(E477="Oui",1,0))</f>
        <v>0</v>
      </c>
      <c r="M477" s="17">
        <f>IF(B477="",0,COUNTIFS(Changements!$A:$A,A477,Changements!$C:$C,B477))</f>
        <v>0</v>
      </c>
      <c r="N477" s="17">
        <f>IF(B477="",0,SUMIFS(Changements!$B:$B,Changements!$A:$A,A477,Changements!$D:$D,B477))</f>
        <v>0</v>
      </c>
      <c r="O477" s="17">
        <f>IF(B477="",0,SUMIFS(Changements!$B:$B,Changements!$A:$A,A477,Changements!$C:$C,B477)+IF(L477&gt;M477,IFERROR(INDEX(Matchs!$F$4:$F$31,MATCH(A477,Matchs!$A$4:$A$31,0)),0),0))</f>
        <v>0</v>
      </c>
      <c r="P477" s="17">
        <f t="shared" si="38"/>
        <v>0</v>
      </c>
      <c r="Q477" s="17">
        <f t="shared" si="39"/>
        <v>0</v>
      </c>
    </row>
    <row r="478" spans="1:17" ht="15" customHeight="1" x14ac:dyDescent="0.25">
      <c r="A478" s="11">
        <f t="shared" si="35"/>
        <v>20</v>
      </c>
      <c r="B478" s="11" t="str">
        <f>INDEX('Effectif Saison'!$E$4:$E$22,19)</f>
        <v>Eliot LEIBY</v>
      </c>
      <c r="C478" s="10"/>
      <c r="D478" s="10"/>
      <c r="E478" s="10"/>
      <c r="F478" s="19" t="str">
        <f>IF(B478="","",IF(AND(E478="Oui",COUNTIFS(Changements!$A:$A,A478,Changements!$D:$D,B478)&gt;0),"⚠ Titulaire+entrée ?",IF(ABS(L478-M478)&gt;1,"⚠ vérifier","")))</f>
        <v/>
      </c>
      <c r="G478" s="11" t="str">
        <f>IF(B478="","",IFERROR(INDEX('Effectif Saison'!$D$4:$D$51,MATCH(B478,'Effectif Saison'!$E$4:$E$51,0)),""))</f>
        <v>Équipe 1</v>
      </c>
      <c r="H478" s="19" t="str">
        <f>IF(L478=0,"",IF(E478="Oui",0,IFERROR(_xlfn.MINIFS(Changements!$B:$B,Changements!$A:$A,A478,Changements!$D:$D,B478),"")))</f>
        <v/>
      </c>
      <c r="I478" s="19" t="str">
        <f>IF(M478=0,"",IFERROR(_xlfn.MAXIFS(Changements!$B:$B,Changements!$A:$A,A478,Changements!$C:$C,B478),""))</f>
        <v/>
      </c>
      <c r="J478" s="11" t="str">
        <f t="shared" si="36"/>
        <v/>
      </c>
      <c r="K478" s="17">
        <f t="shared" si="37"/>
        <v>0</v>
      </c>
      <c r="L478" s="17">
        <f>IF(B478="",0,COUNTIFS(Changements!$A:$A,A478,Changements!$D:$D,B478)+IF(E478="Oui",1,0))</f>
        <v>0</v>
      </c>
      <c r="M478" s="17">
        <f>IF(B478="",0,COUNTIFS(Changements!$A:$A,A478,Changements!$C:$C,B478))</f>
        <v>0</v>
      </c>
      <c r="N478" s="17">
        <f>IF(B478="",0,SUMIFS(Changements!$B:$B,Changements!$A:$A,A478,Changements!$D:$D,B478))</f>
        <v>0</v>
      </c>
      <c r="O478" s="17">
        <f>IF(B478="",0,SUMIFS(Changements!$B:$B,Changements!$A:$A,A478,Changements!$C:$C,B478)+IF(L478&gt;M478,IFERROR(INDEX(Matchs!$F$4:$F$31,MATCH(A478,Matchs!$A$4:$A$31,0)),0),0))</f>
        <v>0</v>
      </c>
      <c r="P478" s="17">
        <f t="shared" si="38"/>
        <v>0</v>
      </c>
      <c r="Q478" s="17">
        <f t="shared" si="39"/>
        <v>0</v>
      </c>
    </row>
    <row r="479" spans="1:17" ht="15" customHeight="1" x14ac:dyDescent="0.25">
      <c r="A479" s="11">
        <f t="shared" si="35"/>
        <v>20</v>
      </c>
      <c r="B479" s="10"/>
      <c r="C479" s="10"/>
      <c r="D479" s="10"/>
      <c r="E479" s="10"/>
      <c r="F479" s="19" t="str">
        <f>IF(B479="","",IF(AND(E479="Oui",COUNTIFS(Changements!$A:$A,A479,Changements!$D:$D,B479)&gt;0),"⚠ Titulaire+entrée ?",IF(ABS(L479-M479)&gt;1,"⚠ vérifier","")))</f>
        <v/>
      </c>
      <c r="G479" s="11" t="str">
        <f>IF(B479="","",IFERROR(INDEX('Effectif Saison'!$D$4:$D$51,MATCH(B479,'Effectif Saison'!$E$4:$E$51,0)),""))</f>
        <v/>
      </c>
      <c r="H479" s="19" t="str">
        <f>IF(L479=0,"",IF(E479="Oui",0,IFERROR(_xlfn.MINIFS(Changements!$B:$B,Changements!$A:$A,A479,Changements!$D:$D,B479),"")))</f>
        <v/>
      </c>
      <c r="I479" s="19" t="str">
        <f>IF(M479=0,"",IFERROR(_xlfn.MAXIFS(Changements!$B:$B,Changements!$A:$A,A479,Changements!$C:$C,B479),""))</f>
        <v/>
      </c>
      <c r="J479" s="11" t="str">
        <f t="shared" si="36"/>
        <v/>
      </c>
      <c r="K479" s="17">
        <f t="shared" si="37"/>
        <v>0</v>
      </c>
      <c r="L479" s="17">
        <f>IF(B479="",0,COUNTIFS(Changements!$A:$A,A479,Changements!$D:$D,B479)+IF(E479="Oui",1,0))</f>
        <v>0</v>
      </c>
      <c r="M479" s="17">
        <f>IF(B479="",0,COUNTIFS(Changements!$A:$A,A479,Changements!$C:$C,B479))</f>
        <v>0</v>
      </c>
      <c r="N479" s="17">
        <f>IF(B479="",0,SUMIFS(Changements!$B:$B,Changements!$A:$A,A479,Changements!$D:$D,B479))</f>
        <v>0</v>
      </c>
      <c r="O479" s="17">
        <f>IF(B479="",0,SUMIFS(Changements!$B:$B,Changements!$A:$A,A479,Changements!$C:$C,B479)+IF(L479&gt;M479,IFERROR(INDEX(Matchs!$F$4:$F$31,MATCH(A479,Matchs!$A$4:$A$31,0)),0),0))</f>
        <v>0</v>
      </c>
      <c r="P479" s="17">
        <f t="shared" si="38"/>
        <v>0</v>
      </c>
      <c r="Q479" s="17">
        <f t="shared" si="39"/>
        <v>0</v>
      </c>
    </row>
    <row r="480" spans="1:17" ht="15" customHeight="1" x14ac:dyDescent="0.25">
      <c r="A480" s="11">
        <f t="shared" si="35"/>
        <v>20</v>
      </c>
      <c r="B480" s="10"/>
      <c r="C480" s="10"/>
      <c r="D480" s="10"/>
      <c r="E480" s="10"/>
      <c r="F480" s="19" t="str">
        <f>IF(B480="","",IF(AND(E480="Oui",COUNTIFS(Changements!$A:$A,A480,Changements!$D:$D,B480)&gt;0),"⚠ Titulaire+entrée ?",IF(ABS(L480-M480)&gt;1,"⚠ vérifier","")))</f>
        <v/>
      </c>
      <c r="G480" s="11" t="str">
        <f>IF(B480="","",IFERROR(INDEX('Effectif Saison'!$D$4:$D$51,MATCH(B480,'Effectif Saison'!$E$4:$E$51,0)),""))</f>
        <v/>
      </c>
      <c r="H480" s="19" t="str">
        <f>IF(L480=0,"",IF(E480="Oui",0,IFERROR(_xlfn.MINIFS(Changements!$B:$B,Changements!$A:$A,A480,Changements!$D:$D,B480),"")))</f>
        <v/>
      </c>
      <c r="I480" s="19" t="str">
        <f>IF(M480=0,"",IFERROR(_xlfn.MAXIFS(Changements!$B:$B,Changements!$A:$A,A480,Changements!$C:$C,B480),""))</f>
        <v/>
      </c>
      <c r="J480" s="11" t="str">
        <f t="shared" si="36"/>
        <v/>
      </c>
      <c r="K480" s="17">
        <f t="shared" si="37"/>
        <v>0</v>
      </c>
      <c r="L480" s="17">
        <f>IF(B480="",0,COUNTIFS(Changements!$A:$A,A480,Changements!$D:$D,B480)+IF(E480="Oui",1,0))</f>
        <v>0</v>
      </c>
      <c r="M480" s="17">
        <f>IF(B480="",0,COUNTIFS(Changements!$A:$A,A480,Changements!$C:$C,B480))</f>
        <v>0</v>
      </c>
      <c r="N480" s="17">
        <f>IF(B480="",0,SUMIFS(Changements!$B:$B,Changements!$A:$A,A480,Changements!$D:$D,B480))</f>
        <v>0</v>
      </c>
      <c r="O480" s="17">
        <f>IF(B480="",0,SUMIFS(Changements!$B:$B,Changements!$A:$A,A480,Changements!$C:$C,B480)+IF(L480&gt;M480,IFERROR(INDEX(Matchs!$F$4:$F$31,MATCH(A480,Matchs!$A$4:$A$31,0)),0),0))</f>
        <v>0</v>
      </c>
      <c r="P480" s="17">
        <f t="shared" si="38"/>
        <v>0</v>
      </c>
      <c r="Q480" s="17">
        <f t="shared" si="39"/>
        <v>0</v>
      </c>
    </row>
    <row r="481" spans="1:17" ht="15" customHeight="1" x14ac:dyDescent="0.25">
      <c r="A481" s="11">
        <f t="shared" si="35"/>
        <v>20</v>
      </c>
      <c r="B481" s="10"/>
      <c r="C481" s="10"/>
      <c r="D481" s="10"/>
      <c r="E481" s="10"/>
      <c r="F481" s="19" t="str">
        <f>IF(B481="","",IF(AND(E481="Oui",COUNTIFS(Changements!$A:$A,A481,Changements!$D:$D,B481)&gt;0),"⚠ Titulaire+entrée ?",IF(ABS(L481-M481)&gt;1,"⚠ vérifier","")))</f>
        <v/>
      </c>
      <c r="G481" s="11" t="str">
        <f>IF(B481="","",IFERROR(INDEX('Effectif Saison'!$D$4:$D$51,MATCH(B481,'Effectif Saison'!$E$4:$E$51,0)),""))</f>
        <v/>
      </c>
      <c r="H481" s="19" t="str">
        <f>IF(L481=0,"",IF(E481="Oui",0,IFERROR(_xlfn.MINIFS(Changements!$B:$B,Changements!$A:$A,A481,Changements!$D:$D,B481),"")))</f>
        <v/>
      </c>
      <c r="I481" s="19" t="str">
        <f>IF(M481=0,"",IFERROR(_xlfn.MAXIFS(Changements!$B:$B,Changements!$A:$A,A481,Changements!$C:$C,B481),""))</f>
        <v/>
      </c>
      <c r="J481" s="11" t="str">
        <f t="shared" si="36"/>
        <v/>
      </c>
      <c r="K481" s="17">
        <f t="shared" si="37"/>
        <v>0</v>
      </c>
      <c r="L481" s="17">
        <f>IF(B481="",0,COUNTIFS(Changements!$A:$A,A481,Changements!$D:$D,B481)+IF(E481="Oui",1,0))</f>
        <v>0</v>
      </c>
      <c r="M481" s="17">
        <f>IF(B481="",0,COUNTIFS(Changements!$A:$A,A481,Changements!$C:$C,B481))</f>
        <v>0</v>
      </c>
      <c r="N481" s="17">
        <f>IF(B481="",0,SUMIFS(Changements!$B:$B,Changements!$A:$A,A481,Changements!$D:$D,B481))</f>
        <v>0</v>
      </c>
      <c r="O481" s="17">
        <f>IF(B481="",0,SUMIFS(Changements!$B:$B,Changements!$A:$A,A481,Changements!$C:$C,B481)+IF(L481&gt;M481,IFERROR(INDEX(Matchs!$F$4:$F$31,MATCH(A481,Matchs!$A$4:$A$31,0)),0),0))</f>
        <v>0</v>
      </c>
      <c r="P481" s="17">
        <f t="shared" si="38"/>
        <v>0</v>
      </c>
      <c r="Q481" s="17">
        <f t="shared" si="39"/>
        <v>0</v>
      </c>
    </row>
    <row r="482" spans="1:17" ht="15" customHeight="1" x14ac:dyDescent="0.25">
      <c r="A482" s="11">
        <f t="shared" si="35"/>
        <v>20</v>
      </c>
      <c r="B482" s="10"/>
      <c r="C482" s="10"/>
      <c r="D482" s="10"/>
      <c r="E482" s="10"/>
      <c r="F482" s="19" t="str">
        <f>IF(B482="","",IF(AND(E482="Oui",COUNTIFS(Changements!$A:$A,A482,Changements!$D:$D,B482)&gt;0),"⚠ Titulaire+entrée ?",IF(ABS(L482-M482)&gt;1,"⚠ vérifier","")))</f>
        <v/>
      </c>
      <c r="G482" s="11" t="str">
        <f>IF(B482="","",IFERROR(INDEX('Effectif Saison'!$D$4:$D$51,MATCH(B482,'Effectif Saison'!$E$4:$E$51,0)),""))</f>
        <v/>
      </c>
      <c r="H482" s="19" t="str">
        <f>IF(L482=0,"",IF(E482="Oui",0,IFERROR(_xlfn.MINIFS(Changements!$B:$B,Changements!$A:$A,A482,Changements!$D:$D,B482),"")))</f>
        <v/>
      </c>
      <c r="I482" s="19" t="str">
        <f>IF(M482=0,"",IFERROR(_xlfn.MAXIFS(Changements!$B:$B,Changements!$A:$A,A482,Changements!$C:$C,B482),""))</f>
        <v/>
      </c>
      <c r="J482" s="11" t="str">
        <f t="shared" si="36"/>
        <v/>
      </c>
      <c r="K482" s="17">
        <f t="shared" si="37"/>
        <v>0</v>
      </c>
      <c r="L482" s="17">
        <f>IF(B482="",0,COUNTIFS(Changements!$A:$A,A482,Changements!$D:$D,B482)+IF(E482="Oui",1,0))</f>
        <v>0</v>
      </c>
      <c r="M482" s="17">
        <f>IF(B482="",0,COUNTIFS(Changements!$A:$A,A482,Changements!$C:$C,B482))</f>
        <v>0</v>
      </c>
      <c r="N482" s="17">
        <f>IF(B482="",0,SUMIFS(Changements!$B:$B,Changements!$A:$A,A482,Changements!$D:$D,B482))</f>
        <v>0</v>
      </c>
      <c r="O482" s="17">
        <f>IF(B482="",0,SUMIFS(Changements!$B:$B,Changements!$A:$A,A482,Changements!$C:$C,B482)+IF(L482&gt;M482,IFERROR(INDEX(Matchs!$F$4:$F$31,MATCH(A482,Matchs!$A$4:$A$31,0)),0),0))</f>
        <v>0</v>
      </c>
      <c r="P482" s="17">
        <f t="shared" si="38"/>
        <v>0</v>
      </c>
      <c r="Q482" s="17">
        <f t="shared" si="39"/>
        <v>0</v>
      </c>
    </row>
    <row r="483" spans="1:17" ht="15" customHeight="1" x14ac:dyDescent="0.25">
      <c r="A483" s="11">
        <f t="shared" si="35"/>
        <v>20</v>
      </c>
      <c r="B483" s="10"/>
      <c r="C483" s="10"/>
      <c r="D483" s="10"/>
      <c r="E483" s="10"/>
      <c r="F483" s="19" t="str">
        <f>IF(B483="","",IF(AND(E483="Oui",COUNTIFS(Changements!$A:$A,A483,Changements!$D:$D,B483)&gt;0),"⚠ Titulaire+entrée ?",IF(ABS(L483-M483)&gt;1,"⚠ vérifier","")))</f>
        <v/>
      </c>
      <c r="G483" s="11" t="str">
        <f>IF(B483="","",IFERROR(INDEX('Effectif Saison'!$D$4:$D$51,MATCH(B483,'Effectif Saison'!$E$4:$E$51,0)),""))</f>
        <v/>
      </c>
      <c r="H483" s="19" t="str">
        <f>IF(L483=0,"",IF(E483="Oui",0,IFERROR(_xlfn.MINIFS(Changements!$B:$B,Changements!$A:$A,A483,Changements!$D:$D,B483),"")))</f>
        <v/>
      </c>
      <c r="I483" s="19" t="str">
        <f>IF(M483=0,"",IFERROR(_xlfn.MAXIFS(Changements!$B:$B,Changements!$A:$A,A483,Changements!$C:$C,B483),""))</f>
        <v/>
      </c>
      <c r="J483" s="11" t="str">
        <f t="shared" si="36"/>
        <v/>
      </c>
      <c r="K483" s="17">
        <f t="shared" si="37"/>
        <v>0</v>
      </c>
      <c r="L483" s="17">
        <f>IF(B483="",0,COUNTIFS(Changements!$A:$A,A483,Changements!$D:$D,B483)+IF(E483="Oui",1,0))</f>
        <v>0</v>
      </c>
      <c r="M483" s="17">
        <f>IF(B483="",0,COUNTIFS(Changements!$A:$A,A483,Changements!$C:$C,B483))</f>
        <v>0</v>
      </c>
      <c r="N483" s="17">
        <f>IF(B483="",0,SUMIFS(Changements!$B:$B,Changements!$A:$A,A483,Changements!$D:$D,B483))</f>
        <v>0</v>
      </c>
      <c r="O483" s="17">
        <f>IF(B483="",0,SUMIFS(Changements!$B:$B,Changements!$A:$A,A483,Changements!$C:$C,B483)+IF(L483&gt;M483,IFERROR(INDEX(Matchs!$F$4:$F$31,MATCH(A483,Matchs!$A$4:$A$31,0)),0),0))</f>
        <v>0</v>
      </c>
      <c r="P483" s="17">
        <f t="shared" si="38"/>
        <v>0</v>
      </c>
      <c r="Q483" s="17">
        <f t="shared" si="39"/>
        <v>0</v>
      </c>
    </row>
    <row r="484" spans="1:17" ht="15" customHeight="1" x14ac:dyDescent="0.25">
      <c r="A484" s="11">
        <f t="shared" si="35"/>
        <v>21</v>
      </c>
      <c r="B484" s="11" t="str">
        <f>INDEX('Effectif Saison'!$E$4:$E$22,1)</f>
        <v>Alan MICHON</v>
      </c>
      <c r="C484" s="10"/>
      <c r="D484" s="10"/>
      <c r="E484" s="10"/>
      <c r="F484" s="19" t="str">
        <f>IF(B484="","",IF(AND(E484="Oui",COUNTIFS(Changements!$A:$A,A484,Changements!$D:$D,B484)&gt;0),"⚠ Titulaire+entrée ?",IF(ABS(L484-M484)&gt;1,"⚠ vérifier","")))</f>
        <v/>
      </c>
      <c r="G484" s="11" t="str">
        <f>IF(B484="","",IFERROR(INDEX('Effectif Saison'!$D$4:$D$51,MATCH(B484,'Effectif Saison'!$E$4:$E$51,0)),""))</f>
        <v>Équipe 1</v>
      </c>
      <c r="H484" s="19" t="str">
        <f>IF(L484=0,"",IF(E484="Oui",0,IFERROR(_xlfn.MINIFS(Changements!$B:$B,Changements!$A:$A,A484,Changements!$D:$D,B484),"")))</f>
        <v/>
      </c>
      <c r="I484" s="19" t="str">
        <f>IF(M484=0,"",IFERROR(_xlfn.MAXIFS(Changements!$B:$B,Changements!$A:$A,A484,Changements!$C:$C,B484),""))</f>
        <v/>
      </c>
      <c r="J484" s="11" t="str">
        <f t="shared" si="36"/>
        <v/>
      </c>
      <c r="K484" s="17">
        <f t="shared" si="37"/>
        <v>0</v>
      </c>
      <c r="L484" s="17">
        <f>IF(B484="",0,COUNTIFS(Changements!$A:$A,A484,Changements!$D:$D,B484)+IF(E484="Oui",1,0))</f>
        <v>0</v>
      </c>
      <c r="M484" s="17">
        <f>IF(B484="",0,COUNTIFS(Changements!$A:$A,A484,Changements!$C:$C,B484))</f>
        <v>0</v>
      </c>
      <c r="N484" s="17">
        <f>IF(B484="",0,SUMIFS(Changements!$B:$B,Changements!$A:$A,A484,Changements!$D:$D,B484))</f>
        <v>0</v>
      </c>
      <c r="O484" s="17">
        <f>IF(B484="",0,SUMIFS(Changements!$B:$B,Changements!$A:$A,A484,Changements!$C:$C,B484)+IF(L484&gt;M484,IFERROR(INDEX(Matchs!$F$4:$F$31,MATCH(A484,Matchs!$A$4:$A$31,0)),0),0))</f>
        <v>0</v>
      </c>
      <c r="P484" s="17">
        <f t="shared" si="38"/>
        <v>0</v>
      </c>
      <c r="Q484" s="17">
        <f t="shared" si="39"/>
        <v>0</v>
      </c>
    </row>
    <row r="485" spans="1:17" ht="15" customHeight="1" x14ac:dyDescent="0.25">
      <c r="A485" s="11">
        <f t="shared" si="35"/>
        <v>21</v>
      </c>
      <c r="B485" s="11" t="str">
        <f>INDEX('Effectif Saison'!$E$4:$E$22,2)</f>
        <v>Jean BRUNTZ</v>
      </c>
      <c r="C485" s="10"/>
      <c r="D485" s="10"/>
      <c r="E485" s="10"/>
      <c r="F485" s="19" t="str">
        <f>IF(B485="","",IF(AND(E485="Oui",COUNTIFS(Changements!$A:$A,A485,Changements!$D:$D,B485)&gt;0),"⚠ Titulaire+entrée ?",IF(ABS(L485-M485)&gt;1,"⚠ vérifier","")))</f>
        <v/>
      </c>
      <c r="G485" s="11" t="str">
        <f>IF(B485="","",IFERROR(INDEX('Effectif Saison'!$D$4:$D$51,MATCH(B485,'Effectif Saison'!$E$4:$E$51,0)),""))</f>
        <v>Équipe 1</v>
      </c>
      <c r="H485" s="19" t="str">
        <f>IF(L485=0,"",IF(E485="Oui",0,IFERROR(_xlfn.MINIFS(Changements!$B:$B,Changements!$A:$A,A485,Changements!$D:$D,B485),"")))</f>
        <v/>
      </c>
      <c r="I485" s="19" t="str">
        <f>IF(M485=0,"",IFERROR(_xlfn.MAXIFS(Changements!$B:$B,Changements!$A:$A,A485,Changements!$C:$C,B485),""))</f>
        <v/>
      </c>
      <c r="J485" s="11" t="str">
        <f t="shared" si="36"/>
        <v/>
      </c>
      <c r="K485" s="17">
        <f t="shared" si="37"/>
        <v>0</v>
      </c>
      <c r="L485" s="17">
        <f>IF(B485="",0,COUNTIFS(Changements!$A:$A,A485,Changements!$D:$D,B485)+IF(E485="Oui",1,0))</f>
        <v>0</v>
      </c>
      <c r="M485" s="17">
        <f>IF(B485="",0,COUNTIFS(Changements!$A:$A,A485,Changements!$C:$C,B485))</f>
        <v>0</v>
      </c>
      <c r="N485" s="17">
        <f>IF(B485="",0,SUMIFS(Changements!$B:$B,Changements!$A:$A,A485,Changements!$D:$D,B485))</f>
        <v>0</v>
      </c>
      <c r="O485" s="17">
        <f>IF(B485="",0,SUMIFS(Changements!$B:$B,Changements!$A:$A,A485,Changements!$C:$C,B485)+IF(L485&gt;M485,IFERROR(INDEX(Matchs!$F$4:$F$31,MATCH(A485,Matchs!$A$4:$A$31,0)),0),0))</f>
        <v>0</v>
      </c>
      <c r="P485" s="17">
        <f t="shared" si="38"/>
        <v>0</v>
      </c>
      <c r="Q485" s="17">
        <f t="shared" si="39"/>
        <v>0</v>
      </c>
    </row>
    <row r="486" spans="1:17" ht="15" customHeight="1" x14ac:dyDescent="0.25">
      <c r="A486" s="11">
        <f t="shared" si="35"/>
        <v>21</v>
      </c>
      <c r="B486" s="11" t="str">
        <f>INDEX('Effectif Saison'!$E$4:$E$22,3)</f>
        <v>Marouane SBK</v>
      </c>
      <c r="C486" s="10"/>
      <c r="D486" s="10"/>
      <c r="E486" s="10"/>
      <c r="F486" s="19" t="str">
        <f>IF(B486="","",IF(AND(E486="Oui",COUNTIFS(Changements!$A:$A,A486,Changements!$D:$D,B486)&gt;0),"⚠ Titulaire+entrée ?",IF(ABS(L486-M486)&gt;1,"⚠ vérifier","")))</f>
        <v/>
      </c>
      <c r="G486" s="11" t="str">
        <f>IF(B486="","",IFERROR(INDEX('Effectif Saison'!$D$4:$D$51,MATCH(B486,'Effectif Saison'!$E$4:$E$51,0)),""))</f>
        <v>Équipe 1</v>
      </c>
      <c r="H486" s="19" t="str">
        <f>IF(L486=0,"",IF(E486="Oui",0,IFERROR(_xlfn.MINIFS(Changements!$B:$B,Changements!$A:$A,A486,Changements!$D:$D,B486),"")))</f>
        <v/>
      </c>
      <c r="I486" s="19" t="str">
        <f>IF(M486=0,"",IFERROR(_xlfn.MAXIFS(Changements!$B:$B,Changements!$A:$A,A486,Changements!$C:$C,B486),""))</f>
        <v/>
      </c>
      <c r="J486" s="11" t="str">
        <f t="shared" si="36"/>
        <v/>
      </c>
      <c r="K486" s="17">
        <f t="shared" si="37"/>
        <v>0</v>
      </c>
      <c r="L486" s="17">
        <f>IF(B486="",0,COUNTIFS(Changements!$A:$A,A486,Changements!$D:$D,B486)+IF(E486="Oui",1,0))</f>
        <v>0</v>
      </c>
      <c r="M486" s="17">
        <f>IF(B486="",0,COUNTIFS(Changements!$A:$A,A486,Changements!$C:$C,B486))</f>
        <v>0</v>
      </c>
      <c r="N486" s="17">
        <f>IF(B486="",0,SUMIFS(Changements!$B:$B,Changements!$A:$A,A486,Changements!$D:$D,B486))</f>
        <v>0</v>
      </c>
      <c r="O486" s="17">
        <f>IF(B486="",0,SUMIFS(Changements!$B:$B,Changements!$A:$A,A486,Changements!$C:$C,B486)+IF(L486&gt;M486,IFERROR(INDEX(Matchs!$F$4:$F$31,MATCH(A486,Matchs!$A$4:$A$31,0)),0),0))</f>
        <v>0</v>
      </c>
      <c r="P486" s="17">
        <f t="shared" si="38"/>
        <v>0</v>
      </c>
      <c r="Q486" s="17">
        <f t="shared" si="39"/>
        <v>0</v>
      </c>
    </row>
    <row r="487" spans="1:17" ht="15" customHeight="1" x14ac:dyDescent="0.25">
      <c r="A487" s="11">
        <f t="shared" si="35"/>
        <v>21</v>
      </c>
      <c r="B487" s="11" t="str">
        <f>INDEX('Effectif Saison'!$E$4:$E$22,4)</f>
        <v>Noé BIHL</v>
      </c>
      <c r="C487" s="10"/>
      <c r="D487" s="10"/>
      <c r="E487" s="10"/>
      <c r="F487" s="19" t="str">
        <f>IF(B487="","",IF(AND(E487="Oui",COUNTIFS(Changements!$A:$A,A487,Changements!$D:$D,B487)&gt;0),"⚠ Titulaire+entrée ?",IF(ABS(L487-M487)&gt;1,"⚠ vérifier","")))</f>
        <v/>
      </c>
      <c r="G487" s="11" t="str">
        <f>IF(B487="","",IFERROR(INDEX('Effectif Saison'!$D$4:$D$51,MATCH(B487,'Effectif Saison'!$E$4:$E$51,0)),""))</f>
        <v>Équipe 1</v>
      </c>
      <c r="H487" s="19" t="str">
        <f>IF(L487=0,"",IF(E487="Oui",0,IFERROR(_xlfn.MINIFS(Changements!$B:$B,Changements!$A:$A,A487,Changements!$D:$D,B487),"")))</f>
        <v/>
      </c>
      <c r="I487" s="19" t="str">
        <f>IF(M487=0,"",IFERROR(_xlfn.MAXIFS(Changements!$B:$B,Changements!$A:$A,A487,Changements!$C:$C,B487),""))</f>
        <v/>
      </c>
      <c r="J487" s="11" t="str">
        <f t="shared" si="36"/>
        <v/>
      </c>
      <c r="K487" s="17">
        <f t="shared" si="37"/>
        <v>0</v>
      </c>
      <c r="L487" s="17">
        <f>IF(B487="",0,COUNTIFS(Changements!$A:$A,A487,Changements!$D:$D,B487)+IF(E487="Oui",1,0))</f>
        <v>0</v>
      </c>
      <c r="M487" s="17">
        <f>IF(B487="",0,COUNTIFS(Changements!$A:$A,A487,Changements!$C:$C,B487))</f>
        <v>0</v>
      </c>
      <c r="N487" s="17">
        <f>IF(B487="",0,SUMIFS(Changements!$B:$B,Changements!$A:$A,A487,Changements!$D:$D,B487))</f>
        <v>0</v>
      </c>
      <c r="O487" s="17">
        <f>IF(B487="",0,SUMIFS(Changements!$B:$B,Changements!$A:$A,A487,Changements!$C:$C,B487)+IF(L487&gt;M487,IFERROR(INDEX(Matchs!$F$4:$F$31,MATCH(A487,Matchs!$A$4:$A$31,0)),0),0))</f>
        <v>0</v>
      </c>
      <c r="P487" s="17">
        <f t="shared" si="38"/>
        <v>0</v>
      </c>
      <c r="Q487" s="17">
        <f t="shared" si="39"/>
        <v>0</v>
      </c>
    </row>
    <row r="488" spans="1:17" ht="15" customHeight="1" x14ac:dyDescent="0.25">
      <c r="A488" s="11">
        <f t="shared" si="35"/>
        <v>21</v>
      </c>
      <c r="B488" s="11" t="str">
        <f>INDEX('Effectif Saison'!$E$4:$E$22,5)</f>
        <v>Luca COLAIANNI</v>
      </c>
      <c r="C488" s="10"/>
      <c r="D488" s="10"/>
      <c r="E488" s="10"/>
      <c r="F488" s="19" t="str">
        <f>IF(B488="","",IF(AND(E488="Oui",COUNTIFS(Changements!$A:$A,A488,Changements!$D:$D,B488)&gt;0),"⚠ Titulaire+entrée ?",IF(ABS(L488-M488)&gt;1,"⚠ vérifier","")))</f>
        <v/>
      </c>
      <c r="G488" s="11" t="str">
        <f>IF(B488="","",IFERROR(INDEX('Effectif Saison'!$D$4:$D$51,MATCH(B488,'Effectif Saison'!$E$4:$E$51,0)),""))</f>
        <v>Équipe 1</v>
      </c>
      <c r="H488" s="19" t="str">
        <f>IF(L488=0,"",IF(E488="Oui",0,IFERROR(_xlfn.MINIFS(Changements!$B:$B,Changements!$A:$A,A488,Changements!$D:$D,B488),"")))</f>
        <v/>
      </c>
      <c r="I488" s="19" t="str">
        <f>IF(M488=0,"",IFERROR(_xlfn.MAXIFS(Changements!$B:$B,Changements!$A:$A,A488,Changements!$C:$C,B488),""))</f>
        <v/>
      </c>
      <c r="J488" s="11" t="str">
        <f t="shared" si="36"/>
        <v/>
      </c>
      <c r="K488" s="17">
        <f t="shared" si="37"/>
        <v>0</v>
      </c>
      <c r="L488" s="17">
        <f>IF(B488="",0,COUNTIFS(Changements!$A:$A,A488,Changements!$D:$D,B488)+IF(E488="Oui",1,0))</f>
        <v>0</v>
      </c>
      <c r="M488" s="17">
        <f>IF(B488="",0,COUNTIFS(Changements!$A:$A,A488,Changements!$C:$C,B488))</f>
        <v>0</v>
      </c>
      <c r="N488" s="17">
        <f>IF(B488="",0,SUMIFS(Changements!$B:$B,Changements!$A:$A,A488,Changements!$D:$D,B488))</f>
        <v>0</v>
      </c>
      <c r="O488" s="17">
        <f>IF(B488="",0,SUMIFS(Changements!$B:$B,Changements!$A:$A,A488,Changements!$C:$C,B488)+IF(L488&gt;M488,IFERROR(INDEX(Matchs!$F$4:$F$31,MATCH(A488,Matchs!$A$4:$A$31,0)),0),0))</f>
        <v>0</v>
      </c>
      <c r="P488" s="17">
        <f t="shared" si="38"/>
        <v>0</v>
      </c>
      <c r="Q488" s="17">
        <f t="shared" si="39"/>
        <v>0</v>
      </c>
    </row>
    <row r="489" spans="1:17" ht="15" customHeight="1" x14ac:dyDescent="0.25">
      <c r="A489" s="11">
        <f t="shared" si="35"/>
        <v>21</v>
      </c>
      <c r="B489" s="11" t="str">
        <f>INDEX('Effectif Saison'!$E$4:$E$22,6)</f>
        <v>Atilla ER</v>
      </c>
      <c r="C489" s="10"/>
      <c r="D489" s="10"/>
      <c r="E489" s="10"/>
      <c r="F489" s="19" t="str">
        <f>IF(B489="","",IF(AND(E489="Oui",COUNTIFS(Changements!$A:$A,A489,Changements!$D:$D,B489)&gt;0),"⚠ Titulaire+entrée ?",IF(ABS(L489-M489)&gt;1,"⚠ vérifier","")))</f>
        <v/>
      </c>
      <c r="G489" s="11" t="str">
        <f>IF(B489="","",IFERROR(INDEX('Effectif Saison'!$D$4:$D$51,MATCH(B489,'Effectif Saison'!$E$4:$E$51,0)),""))</f>
        <v>Équipe 1</v>
      </c>
      <c r="H489" s="19" t="str">
        <f>IF(L489=0,"",IF(E489="Oui",0,IFERROR(_xlfn.MINIFS(Changements!$B:$B,Changements!$A:$A,A489,Changements!$D:$D,B489),"")))</f>
        <v/>
      </c>
      <c r="I489" s="19" t="str">
        <f>IF(M489=0,"",IFERROR(_xlfn.MAXIFS(Changements!$B:$B,Changements!$A:$A,A489,Changements!$C:$C,B489),""))</f>
        <v/>
      </c>
      <c r="J489" s="11" t="str">
        <f t="shared" si="36"/>
        <v/>
      </c>
      <c r="K489" s="17">
        <f t="shared" si="37"/>
        <v>0</v>
      </c>
      <c r="L489" s="17">
        <f>IF(B489="",0,COUNTIFS(Changements!$A:$A,A489,Changements!$D:$D,B489)+IF(E489="Oui",1,0))</f>
        <v>0</v>
      </c>
      <c r="M489" s="17">
        <f>IF(B489="",0,COUNTIFS(Changements!$A:$A,A489,Changements!$C:$C,B489))</f>
        <v>0</v>
      </c>
      <c r="N489" s="17">
        <f>IF(B489="",0,SUMIFS(Changements!$B:$B,Changements!$A:$A,A489,Changements!$D:$D,B489))</f>
        <v>0</v>
      </c>
      <c r="O489" s="17">
        <f>IF(B489="",0,SUMIFS(Changements!$B:$B,Changements!$A:$A,A489,Changements!$C:$C,B489)+IF(L489&gt;M489,IFERROR(INDEX(Matchs!$F$4:$F$31,MATCH(A489,Matchs!$A$4:$A$31,0)),0),0))</f>
        <v>0</v>
      </c>
      <c r="P489" s="17">
        <f t="shared" si="38"/>
        <v>0</v>
      </c>
      <c r="Q489" s="17">
        <f t="shared" si="39"/>
        <v>0</v>
      </c>
    </row>
    <row r="490" spans="1:17" ht="15" customHeight="1" x14ac:dyDescent="0.25">
      <c r="A490" s="11">
        <f t="shared" si="35"/>
        <v>21</v>
      </c>
      <c r="B490" s="11" t="str">
        <f>INDEX('Effectif Saison'!$E$4:$E$22,7)</f>
        <v>Lucas BUHR</v>
      </c>
      <c r="C490" s="10"/>
      <c r="D490" s="10"/>
      <c r="E490" s="10"/>
      <c r="F490" s="19" t="str">
        <f>IF(B490="","",IF(AND(E490="Oui",COUNTIFS(Changements!$A:$A,A490,Changements!$D:$D,B490)&gt;0),"⚠ Titulaire+entrée ?",IF(ABS(L490-M490)&gt;1,"⚠ vérifier","")))</f>
        <v/>
      </c>
      <c r="G490" s="11" t="str">
        <f>IF(B490="","",IFERROR(INDEX('Effectif Saison'!$D$4:$D$51,MATCH(B490,'Effectif Saison'!$E$4:$E$51,0)),""))</f>
        <v>Équipe 1</v>
      </c>
      <c r="H490" s="19" t="str">
        <f>IF(L490=0,"",IF(E490="Oui",0,IFERROR(_xlfn.MINIFS(Changements!$B:$B,Changements!$A:$A,A490,Changements!$D:$D,B490),"")))</f>
        <v/>
      </c>
      <c r="I490" s="19" t="str">
        <f>IF(M490=0,"",IFERROR(_xlfn.MAXIFS(Changements!$B:$B,Changements!$A:$A,A490,Changements!$C:$C,B490),""))</f>
        <v/>
      </c>
      <c r="J490" s="11" t="str">
        <f t="shared" si="36"/>
        <v/>
      </c>
      <c r="K490" s="17">
        <f t="shared" si="37"/>
        <v>0</v>
      </c>
      <c r="L490" s="17">
        <f>IF(B490="",0,COUNTIFS(Changements!$A:$A,A490,Changements!$D:$D,B490)+IF(E490="Oui",1,0))</f>
        <v>0</v>
      </c>
      <c r="M490" s="17">
        <f>IF(B490="",0,COUNTIFS(Changements!$A:$A,A490,Changements!$C:$C,B490))</f>
        <v>0</v>
      </c>
      <c r="N490" s="17">
        <f>IF(B490="",0,SUMIFS(Changements!$B:$B,Changements!$A:$A,A490,Changements!$D:$D,B490))</f>
        <v>0</v>
      </c>
      <c r="O490" s="17">
        <f>IF(B490="",0,SUMIFS(Changements!$B:$B,Changements!$A:$A,A490,Changements!$C:$C,B490)+IF(L490&gt;M490,IFERROR(INDEX(Matchs!$F$4:$F$31,MATCH(A490,Matchs!$A$4:$A$31,0)),0),0))</f>
        <v>0</v>
      </c>
      <c r="P490" s="17">
        <f t="shared" si="38"/>
        <v>0</v>
      </c>
      <c r="Q490" s="17">
        <f t="shared" si="39"/>
        <v>0</v>
      </c>
    </row>
    <row r="491" spans="1:17" ht="15" customHeight="1" x14ac:dyDescent="0.25">
      <c r="A491" s="11">
        <f t="shared" si="35"/>
        <v>21</v>
      </c>
      <c r="B491" s="11" t="str">
        <f>INDEX('Effectif Saison'!$E$4:$E$22,8)</f>
        <v>Yanis HOUX</v>
      </c>
      <c r="C491" s="10"/>
      <c r="D491" s="10"/>
      <c r="E491" s="10"/>
      <c r="F491" s="19" t="str">
        <f>IF(B491="","",IF(AND(E491="Oui",COUNTIFS(Changements!$A:$A,A491,Changements!$D:$D,B491)&gt;0),"⚠ Titulaire+entrée ?",IF(ABS(L491-M491)&gt;1,"⚠ vérifier","")))</f>
        <v/>
      </c>
      <c r="G491" s="11" t="str">
        <f>IF(B491="","",IFERROR(INDEX('Effectif Saison'!$D$4:$D$51,MATCH(B491,'Effectif Saison'!$E$4:$E$51,0)),""))</f>
        <v>Équipe 1</v>
      </c>
      <c r="H491" s="19" t="str">
        <f>IF(L491=0,"",IF(E491="Oui",0,IFERROR(_xlfn.MINIFS(Changements!$B:$B,Changements!$A:$A,A491,Changements!$D:$D,B491),"")))</f>
        <v/>
      </c>
      <c r="I491" s="19" t="str">
        <f>IF(M491=0,"",IFERROR(_xlfn.MAXIFS(Changements!$B:$B,Changements!$A:$A,A491,Changements!$C:$C,B491),""))</f>
        <v/>
      </c>
      <c r="J491" s="11" t="str">
        <f t="shared" si="36"/>
        <v/>
      </c>
      <c r="K491" s="17">
        <f t="shared" si="37"/>
        <v>0</v>
      </c>
      <c r="L491" s="17">
        <f>IF(B491="",0,COUNTIFS(Changements!$A:$A,A491,Changements!$D:$D,B491)+IF(E491="Oui",1,0))</f>
        <v>0</v>
      </c>
      <c r="M491" s="17">
        <f>IF(B491="",0,COUNTIFS(Changements!$A:$A,A491,Changements!$C:$C,B491))</f>
        <v>0</v>
      </c>
      <c r="N491" s="17">
        <f>IF(B491="",0,SUMIFS(Changements!$B:$B,Changements!$A:$A,A491,Changements!$D:$D,B491))</f>
        <v>0</v>
      </c>
      <c r="O491" s="17">
        <f>IF(B491="",0,SUMIFS(Changements!$B:$B,Changements!$A:$A,A491,Changements!$C:$C,B491)+IF(L491&gt;M491,IFERROR(INDEX(Matchs!$F$4:$F$31,MATCH(A491,Matchs!$A$4:$A$31,0)),0),0))</f>
        <v>0</v>
      </c>
      <c r="P491" s="17">
        <f t="shared" si="38"/>
        <v>0</v>
      </c>
      <c r="Q491" s="17">
        <f t="shared" si="39"/>
        <v>0</v>
      </c>
    </row>
    <row r="492" spans="1:17" ht="15" customHeight="1" x14ac:dyDescent="0.25">
      <c r="A492" s="11">
        <f t="shared" si="35"/>
        <v>21</v>
      </c>
      <c r="B492" s="11" t="str">
        <f>INDEX('Effectif Saison'!$E$4:$E$22,9)</f>
        <v>Tino COLAIANNI</v>
      </c>
      <c r="C492" s="10"/>
      <c r="D492" s="10"/>
      <c r="E492" s="10"/>
      <c r="F492" s="19" t="str">
        <f>IF(B492="","",IF(AND(E492="Oui",COUNTIFS(Changements!$A:$A,A492,Changements!$D:$D,B492)&gt;0),"⚠ Titulaire+entrée ?",IF(ABS(L492-M492)&gt;1,"⚠ vérifier","")))</f>
        <v/>
      </c>
      <c r="G492" s="11" t="str">
        <f>IF(B492="","",IFERROR(INDEX('Effectif Saison'!$D$4:$D$51,MATCH(B492,'Effectif Saison'!$E$4:$E$51,0)),""))</f>
        <v>Équipe 1</v>
      </c>
      <c r="H492" s="19" t="str">
        <f>IF(L492=0,"",IF(E492="Oui",0,IFERROR(_xlfn.MINIFS(Changements!$B:$B,Changements!$A:$A,A492,Changements!$D:$D,B492),"")))</f>
        <v/>
      </c>
      <c r="I492" s="19" t="str">
        <f>IF(M492=0,"",IFERROR(_xlfn.MAXIFS(Changements!$B:$B,Changements!$A:$A,A492,Changements!$C:$C,B492),""))</f>
        <v/>
      </c>
      <c r="J492" s="11" t="str">
        <f t="shared" si="36"/>
        <v/>
      </c>
      <c r="K492" s="17">
        <f t="shared" si="37"/>
        <v>0</v>
      </c>
      <c r="L492" s="17">
        <f>IF(B492="",0,COUNTIFS(Changements!$A:$A,A492,Changements!$D:$D,B492)+IF(E492="Oui",1,0))</f>
        <v>0</v>
      </c>
      <c r="M492" s="17">
        <f>IF(B492="",0,COUNTIFS(Changements!$A:$A,A492,Changements!$C:$C,B492))</f>
        <v>0</v>
      </c>
      <c r="N492" s="17">
        <f>IF(B492="",0,SUMIFS(Changements!$B:$B,Changements!$A:$A,A492,Changements!$D:$D,B492))</f>
        <v>0</v>
      </c>
      <c r="O492" s="17">
        <f>IF(B492="",0,SUMIFS(Changements!$B:$B,Changements!$A:$A,A492,Changements!$C:$C,B492)+IF(L492&gt;M492,IFERROR(INDEX(Matchs!$F$4:$F$31,MATCH(A492,Matchs!$A$4:$A$31,0)),0),0))</f>
        <v>0</v>
      </c>
      <c r="P492" s="17">
        <f t="shared" si="38"/>
        <v>0</v>
      </c>
      <c r="Q492" s="17">
        <f t="shared" si="39"/>
        <v>0</v>
      </c>
    </row>
    <row r="493" spans="1:17" ht="15" customHeight="1" x14ac:dyDescent="0.25">
      <c r="A493" s="11">
        <f t="shared" si="35"/>
        <v>21</v>
      </c>
      <c r="B493" s="11" t="str">
        <f>INDEX('Effectif Saison'!$E$4:$E$22,10)</f>
        <v>Achille KELLERKNECHT</v>
      </c>
      <c r="C493" s="10"/>
      <c r="D493" s="10"/>
      <c r="E493" s="10"/>
      <c r="F493" s="19" t="str">
        <f>IF(B493="","",IF(AND(E493="Oui",COUNTIFS(Changements!$A:$A,A493,Changements!$D:$D,B493)&gt;0),"⚠ Titulaire+entrée ?",IF(ABS(L493-M493)&gt;1,"⚠ vérifier","")))</f>
        <v/>
      </c>
      <c r="G493" s="11" t="str">
        <f>IF(B493="","",IFERROR(INDEX('Effectif Saison'!$D$4:$D$51,MATCH(B493,'Effectif Saison'!$E$4:$E$51,0)),""))</f>
        <v>Équipe 1</v>
      </c>
      <c r="H493" s="19" t="str">
        <f>IF(L493=0,"",IF(E493="Oui",0,IFERROR(_xlfn.MINIFS(Changements!$B:$B,Changements!$A:$A,A493,Changements!$D:$D,B493),"")))</f>
        <v/>
      </c>
      <c r="I493" s="19" t="str">
        <f>IF(M493=0,"",IFERROR(_xlfn.MAXIFS(Changements!$B:$B,Changements!$A:$A,A493,Changements!$C:$C,B493),""))</f>
        <v/>
      </c>
      <c r="J493" s="11" t="str">
        <f t="shared" si="36"/>
        <v/>
      </c>
      <c r="K493" s="17">
        <f t="shared" si="37"/>
        <v>0</v>
      </c>
      <c r="L493" s="17">
        <f>IF(B493="",0,COUNTIFS(Changements!$A:$A,A493,Changements!$D:$D,B493)+IF(E493="Oui",1,0))</f>
        <v>0</v>
      </c>
      <c r="M493" s="17">
        <f>IF(B493="",0,COUNTIFS(Changements!$A:$A,A493,Changements!$C:$C,B493))</f>
        <v>0</v>
      </c>
      <c r="N493" s="17">
        <f>IF(B493="",0,SUMIFS(Changements!$B:$B,Changements!$A:$A,A493,Changements!$D:$D,B493))</f>
        <v>0</v>
      </c>
      <c r="O493" s="17">
        <f>IF(B493="",0,SUMIFS(Changements!$B:$B,Changements!$A:$A,A493,Changements!$C:$C,B493)+IF(L493&gt;M493,IFERROR(INDEX(Matchs!$F$4:$F$31,MATCH(A493,Matchs!$A$4:$A$31,0)),0),0))</f>
        <v>0</v>
      </c>
      <c r="P493" s="17">
        <f t="shared" si="38"/>
        <v>0</v>
      </c>
      <c r="Q493" s="17">
        <f t="shared" si="39"/>
        <v>0</v>
      </c>
    </row>
    <row r="494" spans="1:17" ht="15" customHeight="1" x14ac:dyDescent="0.25">
      <c r="A494" s="11">
        <f t="shared" si="35"/>
        <v>21</v>
      </c>
      <c r="B494" s="11" t="str">
        <f>INDEX('Effectif Saison'!$E$4:$E$22,11)</f>
        <v>Charly LEPERT</v>
      </c>
      <c r="C494" s="10"/>
      <c r="D494" s="10"/>
      <c r="E494" s="10"/>
      <c r="F494" s="19" t="str">
        <f>IF(B494="","",IF(AND(E494="Oui",COUNTIFS(Changements!$A:$A,A494,Changements!$D:$D,B494)&gt;0),"⚠ Titulaire+entrée ?",IF(ABS(L494-M494)&gt;1,"⚠ vérifier","")))</f>
        <v/>
      </c>
      <c r="G494" s="11" t="str">
        <f>IF(B494="","",IFERROR(INDEX('Effectif Saison'!$D$4:$D$51,MATCH(B494,'Effectif Saison'!$E$4:$E$51,0)),""))</f>
        <v>Équipe 1</v>
      </c>
      <c r="H494" s="19" t="str">
        <f>IF(L494=0,"",IF(E494="Oui",0,IFERROR(_xlfn.MINIFS(Changements!$B:$B,Changements!$A:$A,A494,Changements!$D:$D,B494),"")))</f>
        <v/>
      </c>
      <c r="I494" s="19" t="str">
        <f>IF(M494=0,"",IFERROR(_xlfn.MAXIFS(Changements!$B:$B,Changements!$A:$A,A494,Changements!$C:$C,B494),""))</f>
        <v/>
      </c>
      <c r="J494" s="11" t="str">
        <f t="shared" si="36"/>
        <v/>
      </c>
      <c r="K494" s="17">
        <f t="shared" si="37"/>
        <v>0</v>
      </c>
      <c r="L494" s="17">
        <f>IF(B494="",0,COUNTIFS(Changements!$A:$A,A494,Changements!$D:$D,B494)+IF(E494="Oui",1,0))</f>
        <v>0</v>
      </c>
      <c r="M494" s="17">
        <f>IF(B494="",0,COUNTIFS(Changements!$A:$A,A494,Changements!$C:$C,B494))</f>
        <v>0</v>
      </c>
      <c r="N494" s="17">
        <f>IF(B494="",0,SUMIFS(Changements!$B:$B,Changements!$A:$A,A494,Changements!$D:$D,B494))</f>
        <v>0</v>
      </c>
      <c r="O494" s="17">
        <f>IF(B494="",0,SUMIFS(Changements!$B:$B,Changements!$A:$A,A494,Changements!$C:$C,B494)+IF(L494&gt;M494,IFERROR(INDEX(Matchs!$F$4:$F$31,MATCH(A494,Matchs!$A$4:$A$31,0)),0),0))</f>
        <v>0</v>
      </c>
      <c r="P494" s="17">
        <f t="shared" si="38"/>
        <v>0</v>
      </c>
      <c r="Q494" s="17">
        <f t="shared" si="39"/>
        <v>0</v>
      </c>
    </row>
    <row r="495" spans="1:17" ht="15" customHeight="1" x14ac:dyDescent="0.25">
      <c r="A495" s="11">
        <f t="shared" si="35"/>
        <v>21</v>
      </c>
      <c r="B495" s="11" t="str">
        <f>INDEX('Effectif Saison'!$E$4:$E$22,12)</f>
        <v>Basile STANGRET</v>
      </c>
      <c r="C495" s="10"/>
      <c r="D495" s="10"/>
      <c r="E495" s="10"/>
      <c r="F495" s="19" t="str">
        <f>IF(B495="","",IF(AND(E495="Oui",COUNTIFS(Changements!$A:$A,A495,Changements!$D:$D,B495)&gt;0),"⚠ Titulaire+entrée ?",IF(ABS(L495-M495)&gt;1,"⚠ vérifier","")))</f>
        <v/>
      </c>
      <c r="G495" s="11" t="str">
        <f>IF(B495="","",IFERROR(INDEX('Effectif Saison'!$D$4:$D$51,MATCH(B495,'Effectif Saison'!$E$4:$E$51,0)),""))</f>
        <v>Équipe 1</v>
      </c>
      <c r="H495" s="19" t="str">
        <f>IF(L495=0,"",IF(E495="Oui",0,IFERROR(_xlfn.MINIFS(Changements!$B:$B,Changements!$A:$A,A495,Changements!$D:$D,B495),"")))</f>
        <v/>
      </c>
      <c r="I495" s="19" t="str">
        <f>IF(M495=0,"",IFERROR(_xlfn.MAXIFS(Changements!$B:$B,Changements!$A:$A,A495,Changements!$C:$C,B495),""))</f>
        <v/>
      </c>
      <c r="J495" s="11" t="str">
        <f t="shared" si="36"/>
        <v/>
      </c>
      <c r="K495" s="17">
        <f t="shared" si="37"/>
        <v>0</v>
      </c>
      <c r="L495" s="17">
        <f>IF(B495="",0,COUNTIFS(Changements!$A:$A,A495,Changements!$D:$D,B495)+IF(E495="Oui",1,0))</f>
        <v>0</v>
      </c>
      <c r="M495" s="17">
        <f>IF(B495="",0,COUNTIFS(Changements!$A:$A,A495,Changements!$C:$C,B495))</f>
        <v>0</v>
      </c>
      <c r="N495" s="17">
        <f>IF(B495="",0,SUMIFS(Changements!$B:$B,Changements!$A:$A,A495,Changements!$D:$D,B495))</f>
        <v>0</v>
      </c>
      <c r="O495" s="17">
        <f>IF(B495="",0,SUMIFS(Changements!$B:$B,Changements!$A:$A,A495,Changements!$C:$C,B495)+IF(L495&gt;M495,IFERROR(INDEX(Matchs!$F$4:$F$31,MATCH(A495,Matchs!$A$4:$A$31,0)),0),0))</f>
        <v>0</v>
      </c>
      <c r="P495" s="17">
        <f t="shared" si="38"/>
        <v>0</v>
      </c>
      <c r="Q495" s="17">
        <f t="shared" si="39"/>
        <v>0</v>
      </c>
    </row>
    <row r="496" spans="1:17" ht="15" customHeight="1" x14ac:dyDescent="0.25">
      <c r="A496" s="11">
        <f t="shared" si="35"/>
        <v>21</v>
      </c>
      <c r="B496" s="11" t="str">
        <f>INDEX('Effectif Saison'!$E$4:$E$22,13)</f>
        <v>Maxence KELLER</v>
      </c>
      <c r="C496" s="10"/>
      <c r="D496" s="10"/>
      <c r="E496" s="10"/>
      <c r="F496" s="19" t="str">
        <f>IF(B496="","",IF(AND(E496="Oui",COUNTIFS(Changements!$A:$A,A496,Changements!$D:$D,B496)&gt;0),"⚠ Titulaire+entrée ?",IF(ABS(L496-M496)&gt;1,"⚠ vérifier","")))</f>
        <v/>
      </c>
      <c r="G496" s="11" t="str">
        <f>IF(B496="","",IFERROR(INDEX('Effectif Saison'!$D$4:$D$51,MATCH(B496,'Effectif Saison'!$E$4:$E$51,0)),""))</f>
        <v>Équipe 1</v>
      </c>
      <c r="H496" s="19" t="str">
        <f>IF(L496=0,"",IF(E496="Oui",0,IFERROR(_xlfn.MINIFS(Changements!$B:$B,Changements!$A:$A,A496,Changements!$D:$D,B496),"")))</f>
        <v/>
      </c>
      <c r="I496" s="19" t="str">
        <f>IF(M496=0,"",IFERROR(_xlfn.MAXIFS(Changements!$B:$B,Changements!$A:$A,A496,Changements!$C:$C,B496),""))</f>
        <v/>
      </c>
      <c r="J496" s="11" t="str">
        <f t="shared" si="36"/>
        <v/>
      </c>
      <c r="K496" s="17">
        <f t="shared" si="37"/>
        <v>0</v>
      </c>
      <c r="L496" s="17">
        <f>IF(B496="",0,COUNTIFS(Changements!$A:$A,A496,Changements!$D:$D,B496)+IF(E496="Oui",1,0))</f>
        <v>0</v>
      </c>
      <c r="M496" s="17">
        <f>IF(B496="",0,COUNTIFS(Changements!$A:$A,A496,Changements!$C:$C,B496))</f>
        <v>0</v>
      </c>
      <c r="N496" s="17">
        <f>IF(B496="",0,SUMIFS(Changements!$B:$B,Changements!$A:$A,A496,Changements!$D:$D,B496))</f>
        <v>0</v>
      </c>
      <c r="O496" s="17">
        <f>IF(B496="",0,SUMIFS(Changements!$B:$B,Changements!$A:$A,A496,Changements!$C:$C,B496)+IF(L496&gt;M496,IFERROR(INDEX(Matchs!$F$4:$F$31,MATCH(A496,Matchs!$A$4:$A$31,0)),0),0))</f>
        <v>0</v>
      </c>
      <c r="P496" s="17">
        <f t="shared" si="38"/>
        <v>0</v>
      </c>
      <c r="Q496" s="17">
        <f t="shared" si="39"/>
        <v>0</v>
      </c>
    </row>
    <row r="497" spans="1:17" ht="15" customHeight="1" x14ac:dyDescent="0.25">
      <c r="A497" s="11">
        <f t="shared" si="35"/>
        <v>21</v>
      </c>
      <c r="B497" s="11" t="str">
        <f>INDEX('Effectif Saison'!$E$4:$E$22,14)</f>
        <v>Evan SCHMITT</v>
      </c>
      <c r="C497" s="10"/>
      <c r="D497" s="10"/>
      <c r="E497" s="10"/>
      <c r="F497" s="19" t="str">
        <f>IF(B497="","",IF(AND(E497="Oui",COUNTIFS(Changements!$A:$A,A497,Changements!$D:$D,B497)&gt;0),"⚠ Titulaire+entrée ?",IF(ABS(L497-M497)&gt;1,"⚠ vérifier","")))</f>
        <v/>
      </c>
      <c r="G497" s="11" t="str">
        <f>IF(B497="","",IFERROR(INDEX('Effectif Saison'!$D$4:$D$51,MATCH(B497,'Effectif Saison'!$E$4:$E$51,0)),""))</f>
        <v>Équipe 1</v>
      </c>
      <c r="H497" s="19" t="str">
        <f>IF(L497=0,"",IF(E497="Oui",0,IFERROR(_xlfn.MINIFS(Changements!$B:$B,Changements!$A:$A,A497,Changements!$D:$D,B497),"")))</f>
        <v/>
      </c>
      <c r="I497" s="19" t="str">
        <f>IF(M497=0,"",IFERROR(_xlfn.MAXIFS(Changements!$B:$B,Changements!$A:$A,A497,Changements!$C:$C,B497),""))</f>
        <v/>
      </c>
      <c r="J497" s="11" t="str">
        <f t="shared" si="36"/>
        <v/>
      </c>
      <c r="K497" s="17">
        <f t="shared" si="37"/>
        <v>0</v>
      </c>
      <c r="L497" s="17">
        <f>IF(B497="",0,COUNTIFS(Changements!$A:$A,A497,Changements!$D:$D,B497)+IF(E497="Oui",1,0))</f>
        <v>0</v>
      </c>
      <c r="M497" s="17">
        <f>IF(B497="",0,COUNTIFS(Changements!$A:$A,A497,Changements!$C:$C,B497))</f>
        <v>0</v>
      </c>
      <c r="N497" s="17">
        <f>IF(B497="",0,SUMIFS(Changements!$B:$B,Changements!$A:$A,A497,Changements!$D:$D,B497))</f>
        <v>0</v>
      </c>
      <c r="O497" s="17">
        <f>IF(B497="",0,SUMIFS(Changements!$B:$B,Changements!$A:$A,A497,Changements!$C:$C,B497)+IF(L497&gt;M497,IFERROR(INDEX(Matchs!$F$4:$F$31,MATCH(A497,Matchs!$A$4:$A$31,0)),0),0))</f>
        <v>0</v>
      </c>
      <c r="P497" s="17">
        <f t="shared" si="38"/>
        <v>0</v>
      </c>
      <c r="Q497" s="17">
        <f t="shared" si="39"/>
        <v>0</v>
      </c>
    </row>
    <row r="498" spans="1:17" ht="15" customHeight="1" x14ac:dyDescent="0.25">
      <c r="A498" s="11">
        <f t="shared" si="35"/>
        <v>21</v>
      </c>
      <c r="B498" s="11" t="str">
        <f>INDEX('Effectif Saison'!$E$4:$E$22,15)</f>
        <v>William SIMON</v>
      </c>
      <c r="C498" s="10"/>
      <c r="D498" s="10"/>
      <c r="E498" s="10"/>
      <c r="F498" s="19" t="str">
        <f>IF(B498="","",IF(AND(E498="Oui",COUNTIFS(Changements!$A:$A,A498,Changements!$D:$D,B498)&gt;0),"⚠ Titulaire+entrée ?",IF(ABS(L498-M498)&gt;1,"⚠ vérifier","")))</f>
        <v/>
      </c>
      <c r="G498" s="11" t="str">
        <f>IF(B498="","",IFERROR(INDEX('Effectif Saison'!$D$4:$D$51,MATCH(B498,'Effectif Saison'!$E$4:$E$51,0)),""))</f>
        <v>Équipe 1</v>
      </c>
      <c r="H498" s="19" t="str">
        <f>IF(L498=0,"",IF(E498="Oui",0,IFERROR(_xlfn.MINIFS(Changements!$B:$B,Changements!$A:$A,A498,Changements!$D:$D,B498),"")))</f>
        <v/>
      </c>
      <c r="I498" s="19" t="str">
        <f>IF(M498=0,"",IFERROR(_xlfn.MAXIFS(Changements!$B:$B,Changements!$A:$A,A498,Changements!$C:$C,B498),""))</f>
        <v/>
      </c>
      <c r="J498" s="11" t="str">
        <f t="shared" si="36"/>
        <v/>
      </c>
      <c r="K498" s="17">
        <f t="shared" si="37"/>
        <v>0</v>
      </c>
      <c r="L498" s="17">
        <f>IF(B498="",0,COUNTIFS(Changements!$A:$A,A498,Changements!$D:$D,B498)+IF(E498="Oui",1,0))</f>
        <v>0</v>
      </c>
      <c r="M498" s="17">
        <f>IF(B498="",0,COUNTIFS(Changements!$A:$A,A498,Changements!$C:$C,B498))</f>
        <v>0</v>
      </c>
      <c r="N498" s="17">
        <f>IF(B498="",0,SUMIFS(Changements!$B:$B,Changements!$A:$A,A498,Changements!$D:$D,B498))</f>
        <v>0</v>
      </c>
      <c r="O498" s="17">
        <f>IF(B498="",0,SUMIFS(Changements!$B:$B,Changements!$A:$A,A498,Changements!$C:$C,B498)+IF(L498&gt;M498,IFERROR(INDEX(Matchs!$F$4:$F$31,MATCH(A498,Matchs!$A$4:$A$31,0)),0),0))</f>
        <v>0</v>
      </c>
      <c r="P498" s="17">
        <f t="shared" si="38"/>
        <v>0</v>
      </c>
      <c r="Q498" s="17">
        <f t="shared" si="39"/>
        <v>0</v>
      </c>
    </row>
    <row r="499" spans="1:17" ht="15" customHeight="1" x14ac:dyDescent="0.25">
      <c r="A499" s="11">
        <f t="shared" si="35"/>
        <v>21</v>
      </c>
      <c r="B499" s="11" t="str">
        <f>INDEX('Effectif Saison'!$E$4:$E$22,16)</f>
        <v>Lenny LEPPER</v>
      </c>
      <c r="C499" s="10"/>
      <c r="D499" s="10"/>
      <c r="E499" s="10"/>
      <c r="F499" s="19" t="str">
        <f>IF(B499="","",IF(AND(E499="Oui",COUNTIFS(Changements!$A:$A,A499,Changements!$D:$D,B499)&gt;0),"⚠ Titulaire+entrée ?",IF(ABS(L499-M499)&gt;1,"⚠ vérifier","")))</f>
        <v/>
      </c>
      <c r="G499" s="11" t="str">
        <f>IF(B499="","",IFERROR(INDEX('Effectif Saison'!$D$4:$D$51,MATCH(B499,'Effectif Saison'!$E$4:$E$51,0)),""))</f>
        <v>Équipe 1</v>
      </c>
      <c r="H499" s="19" t="str">
        <f>IF(L499=0,"",IF(E499="Oui",0,IFERROR(_xlfn.MINIFS(Changements!$B:$B,Changements!$A:$A,A499,Changements!$D:$D,B499),"")))</f>
        <v/>
      </c>
      <c r="I499" s="19" t="str">
        <f>IF(M499=0,"",IFERROR(_xlfn.MAXIFS(Changements!$B:$B,Changements!$A:$A,A499,Changements!$C:$C,B499),""))</f>
        <v/>
      </c>
      <c r="J499" s="11" t="str">
        <f t="shared" si="36"/>
        <v/>
      </c>
      <c r="K499" s="17">
        <f t="shared" si="37"/>
        <v>0</v>
      </c>
      <c r="L499" s="17">
        <f>IF(B499="",0,COUNTIFS(Changements!$A:$A,A499,Changements!$D:$D,B499)+IF(E499="Oui",1,0))</f>
        <v>0</v>
      </c>
      <c r="M499" s="17">
        <f>IF(B499="",0,COUNTIFS(Changements!$A:$A,A499,Changements!$C:$C,B499))</f>
        <v>0</v>
      </c>
      <c r="N499" s="17">
        <f>IF(B499="",0,SUMIFS(Changements!$B:$B,Changements!$A:$A,A499,Changements!$D:$D,B499))</f>
        <v>0</v>
      </c>
      <c r="O499" s="17">
        <f>IF(B499="",0,SUMIFS(Changements!$B:$B,Changements!$A:$A,A499,Changements!$C:$C,B499)+IF(L499&gt;M499,IFERROR(INDEX(Matchs!$F$4:$F$31,MATCH(A499,Matchs!$A$4:$A$31,0)),0),0))</f>
        <v>0</v>
      </c>
      <c r="P499" s="17">
        <f t="shared" si="38"/>
        <v>0</v>
      </c>
      <c r="Q499" s="17">
        <f t="shared" si="39"/>
        <v>0</v>
      </c>
    </row>
    <row r="500" spans="1:17" ht="15" customHeight="1" x14ac:dyDescent="0.25">
      <c r="A500" s="11">
        <f t="shared" si="35"/>
        <v>21</v>
      </c>
      <c r="B500" s="11" t="str">
        <f>INDEX('Effectif Saison'!$E$4:$E$22,17)</f>
        <v>Malo KELLER</v>
      </c>
      <c r="C500" s="10"/>
      <c r="D500" s="10"/>
      <c r="E500" s="10"/>
      <c r="F500" s="19" t="str">
        <f>IF(B500="","",IF(AND(E500="Oui",COUNTIFS(Changements!$A:$A,A500,Changements!$D:$D,B500)&gt;0),"⚠ Titulaire+entrée ?",IF(ABS(L500-M500)&gt;1,"⚠ vérifier","")))</f>
        <v/>
      </c>
      <c r="G500" s="11" t="str">
        <f>IF(B500="","",IFERROR(INDEX('Effectif Saison'!$D$4:$D$51,MATCH(B500,'Effectif Saison'!$E$4:$E$51,0)),""))</f>
        <v>Équipe 1</v>
      </c>
      <c r="H500" s="19" t="str">
        <f>IF(L500=0,"",IF(E500="Oui",0,IFERROR(_xlfn.MINIFS(Changements!$B:$B,Changements!$A:$A,A500,Changements!$D:$D,B500),"")))</f>
        <v/>
      </c>
      <c r="I500" s="19" t="str">
        <f>IF(M500=0,"",IFERROR(_xlfn.MAXIFS(Changements!$B:$B,Changements!$A:$A,A500,Changements!$C:$C,B500),""))</f>
        <v/>
      </c>
      <c r="J500" s="11" t="str">
        <f t="shared" si="36"/>
        <v/>
      </c>
      <c r="K500" s="17">
        <f t="shared" si="37"/>
        <v>0</v>
      </c>
      <c r="L500" s="17">
        <f>IF(B500="",0,COUNTIFS(Changements!$A:$A,A500,Changements!$D:$D,B500)+IF(E500="Oui",1,0))</f>
        <v>0</v>
      </c>
      <c r="M500" s="17">
        <f>IF(B500="",0,COUNTIFS(Changements!$A:$A,A500,Changements!$C:$C,B500))</f>
        <v>0</v>
      </c>
      <c r="N500" s="17">
        <f>IF(B500="",0,SUMIFS(Changements!$B:$B,Changements!$A:$A,A500,Changements!$D:$D,B500))</f>
        <v>0</v>
      </c>
      <c r="O500" s="17">
        <f>IF(B500="",0,SUMIFS(Changements!$B:$B,Changements!$A:$A,A500,Changements!$C:$C,B500)+IF(L500&gt;M500,IFERROR(INDEX(Matchs!$F$4:$F$31,MATCH(A500,Matchs!$A$4:$A$31,0)),0),0))</f>
        <v>0</v>
      </c>
      <c r="P500" s="17">
        <f t="shared" si="38"/>
        <v>0</v>
      </c>
      <c r="Q500" s="17">
        <f t="shared" si="39"/>
        <v>0</v>
      </c>
    </row>
    <row r="501" spans="1:17" ht="15" customHeight="1" x14ac:dyDescent="0.25">
      <c r="A501" s="5">
        <f t="shared" si="35"/>
        <v>21</v>
      </c>
      <c r="B501" s="5" t="str">
        <f>INDEX('Effectif Saison'!$E$4:$E$22,18)</f>
        <v>Tom SCHILLER</v>
      </c>
      <c r="C501" s="4"/>
      <c r="D501" s="4"/>
      <c r="E501" s="4"/>
      <c r="F501" s="17" t="str">
        <f>IF(B501="","",IF(AND(E501="Oui",COUNTIFS(Changements!$A:$A,A501,Changements!$D:$D,B501)&gt;0),"⚠ Titulaire+entrée ?",IF(ABS(L501-M501)&gt;1,"⚠ vérifier","")))</f>
        <v/>
      </c>
      <c r="G501" s="5" t="str">
        <f>IF(B501="","",IFERROR(INDEX('Effectif Saison'!$D$4:$D$51,MATCH(B501,'Effectif Saison'!$E$4:$E$51,0)),""))</f>
        <v>Équipe 1</v>
      </c>
      <c r="H501" s="17" t="str">
        <f>IF(L501=0,"",IF(E501="Oui",0,IFERROR(_xlfn.MINIFS(Changements!$B:$B,Changements!$A:$A,A501,Changements!$D:$D,B501),"")))</f>
        <v/>
      </c>
      <c r="I501" s="17" t="str">
        <f>IF(M501=0,"",IFERROR(_xlfn.MAXIFS(Changements!$B:$B,Changements!$A:$A,A501,Changements!$C:$C,B501),""))</f>
        <v/>
      </c>
      <c r="J501" s="5" t="str">
        <f t="shared" si="36"/>
        <v/>
      </c>
      <c r="K501" s="17">
        <f t="shared" si="37"/>
        <v>0</v>
      </c>
      <c r="L501" s="17">
        <f>IF(B501="",0,COUNTIFS(Changements!$A:$A,A501,Changements!$D:$D,B501)+IF(E501="Oui",1,0))</f>
        <v>0</v>
      </c>
      <c r="M501" s="17">
        <f>IF(B501="",0,COUNTIFS(Changements!$A:$A,A501,Changements!$C:$C,B501))</f>
        <v>0</v>
      </c>
      <c r="N501" s="17">
        <f>IF(B501="",0,SUMIFS(Changements!$B:$B,Changements!$A:$A,A501,Changements!$D:$D,B501))</f>
        <v>0</v>
      </c>
      <c r="O501" s="17">
        <f>IF(B501="",0,SUMIFS(Changements!$B:$B,Changements!$A:$A,A501,Changements!$C:$C,B501)+IF(L501&gt;M501,IFERROR(INDEX(Matchs!$F$4:$F$31,MATCH(A501,Matchs!$A$4:$A$31,0)),0),0))</f>
        <v>0</v>
      </c>
      <c r="P501" s="17">
        <f t="shared" si="38"/>
        <v>0</v>
      </c>
      <c r="Q501" s="17">
        <f t="shared" si="39"/>
        <v>0</v>
      </c>
    </row>
    <row r="502" spans="1:17" ht="15" customHeight="1" x14ac:dyDescent="0.25">
      <c r="A502" s="5">
        <f t="shared" si="35"/>
        <v>21</v>
      </c>
      <c r="B502" s="5" t="str">
        <f>INDEX('Effectif Saison'!$E$4:$E$22,19)</f>
        <v>Eliot LEIBY</v>
      </c>
      <c r="C502" s="4"/>
      <c r="D502" s="4"/>
      <c r="E502" s="4"/>
      <c r="F502" s="17" t="str">
        <f>IF(B502="","",IF(AND(E502="Oui",COUNTIFS(Changements!$A:$A,A502,Changements!$D:$D,B502)&gt;0),"⚠ Titulaire+entrée ?",IF(ABS(L502-M502)&gt;1,"⚠ vérifier","")))</f>
        <v/>
      </c>
      <c r="G502" s="5" t="str">
        <f>IF(B502="","",IFERROR(INDEX('Effectif Saison'!$D$4:$D$51,MATCH(B502,'Effectif Saison'!$E$4:$E$51,0)),""))</f>
        <v>Équipe 1</v>
      </c>
      <c r="H502" s="17" t="str">
        <f>IF(L502=0,"",IF(E502="Oui",0,IFERROR(_xlfn.MINIFS(Changements!$B:$B,Changements!$A:$A,A502,Changements!$D:$D,B502),"")))</f>
        <v/>
      </c>
      <c r="I502" s="17" t="str">
        <f>IF(M502=0,"",IFERROR(_xlfn.MAXIFS(Changements!$B:$B,Changements!$A:$A,A502,Changements!$C:$C,B502),""))</f>
        <v/>
      </c>
      <c r="J502" s="5" t="str">
        <f t="shared" si="36"/>
        <v/>
      </c>
      <c r="K502" s="17">
        <f t="shared" si="37"/>
        <v>0</v>
      </c>
      <c r="L502" s="17">
        <f>IF(B502="",0,COUNTIFS(Changements!$A:$A,A502,Changements!$D:$D,B502)+IF(E502="Oui",1,0))</f>
        <v>0</v>
      </c>
      <c r="M502" s="17">
        <f>IF(B502="",0,COUNTIFS(Changements!$A:$A,A502,Changements!$C:$C,B502))</f>
        <v>0</v>
      </c>
      <c r="N502" s="17">
        <f>IF(B502="",0,SUMIFS(Changements!$B:$B,Changements!$A:$A,A502,Changements!$D:$D,B502))</f>
        <v>0</v>
      </c>
      <c r="O502" s="17">
        <f>IF(B502="",0,SUMIFS(Changements!$B:$B,Changements!$A:$A,A502,Changements!$C:$C,B502)+IF(L502&gt;M502,IFERROR(INDEX(Matchs!$F$4:$F$31,MATCH(A502,Matchs!$A$4:$A$31,0)),0),0))</f>
        <v>0</v>
      </c>
      <c r="P502" s="17">
        <f t="shared" si="38"/>
        <v>0</v>
      </c>
      <c r="Q502" s="17">
        <f t="shared" si="39"/>
        <v>0</v>
      </c>
    </row>
    <row r="503" spans="1:17" ht="15" customHeight="1" x14ac:dyDescent="0.25">
      <c r="A503" s="5">
        <f t="shared" si="35"/>
        <v>21</v>
      </c>
      <c r="B503" s="4"/>
      <c r="C503" s="4"/>
      <c r="D503" s="4"/>
      <c r="E503" s="4"/>
      <c r="F503" s="17" t="str">
        <f>IF(B503="","",IF(AND(E503="Oui",COUNTIFS(Changements!$A:$A,A503,Changements!$D:$D,B503)&gt;0),"⚠ Titulaire+entrée ?",IF(ABS(L503-M503)&gt;1,"⚠ vérifier","")))</f>
        <v/>
      </c>
      <c r="G503" s="5" t="str">
        <f>IF(B503="","",IFERROR(INDEX('Effectif Saison'!$D$4:$D$51,MATCH(B503,'Effectif Saison'!$E$4:$E$51,0)),""))</f>
        <v/>
      </c>
      <c r="H503" s="17" t="str">
        <f>IF(L503=0,"",IF(E503="Oui",0,IFERROR(_xlfn.MINIFS(Changements!$B:$B,Changements!$A:$A,A503,Changements!$D:$D,B503),"")))</f>
        <v/>
      </c>
      <c r="I503" s="17" t="str">
        <f>IF(M503=0,"",IFERROR(_xlfn.MAXIFS(Changements!$B:$B,Changements!$A:$A,A503,Changements!$C:$C,B503),""))</f>
        <v/>
      </c>
      <c r="J503" s="5" t="str">
        <f t="shared" si="36"/>
        <v/>
      </c>
      <c r="K503" s="17">
        <f t="shared" si="37"/>
        <v>0</v>
      </c>
      <c r="L503" s="17">
        <f>IF(B503="",0,COUNTIFS(Changements!$A:$A,A503,Changements!$D:$D,B503)+IF(E503="Oui",1,0))</f>
        <v>0</v>
      </c>
      <c r="M503" s="17">
        <f>IF(B503="",0,COUNTIFS(Changements!$A:$A,A503,Changements!$C:$C,B503))</f>
        <v>0</v>
      </c>
      <c r="N503" s="17">
        <f>IF(B503="",0,SUMIFS(Changements!$B:$B,Changements!$A:$A,A503,Changements!$D:$D,B503))</f>
        <v>0</v>
      </c>
      <c r="O503" s="17">
        <f>IF(B503="",0,SUMIFS(Changements!$B:$B,Changements!$A:$A,A503,Changements!$C:$C,B503)+IF(L503&gt;M503,IFERROR(INDEX(Matchs!$F$4:$F$31,MATCH(A503,Matchs!$A$4:$A$31,0)),0),0))</f>
        <v>0</v>
      </c>
      <c r="P503" s="17">
        <f t="shared" si="38"/>
        <v>0</v>
      </c>
      <c r="Q503" s="17">
        <f t="shared" si="39"/>
        <v>0</v>
      </c>
    </row>
    <row r="504" spans="1:17" ht="15" customHeight="1" x14ac:dyDescent="0.25">
      <c r="A504" s="5">
        <f t="shared" si="35"/>
        <v>21</v>
      </c>
      <c r="B504" s="4"/>
      <c r="C504" s="4"/>
      <c r="D504" s="4"/>
      <c r="E504" s="4"/>
      <c r="F504" s="17" t="str">
        <f>IF(B504="","",IF(AND(E504="Oui",COUNTIFS(Changements!$A:$A,A504,Changements!$D:$D,B504)&gt;0),"⚠ Titulaire+entrée ?",IF(ABS(L504-M504)&gt;1,"⚠ vérifier","")))</f>
        <v/>
      </c>
      <c r="G504" s="5" t="str">
        <f>IF(B504="","",IFERROR(INDEX('Effectif Saison'!$D$4:$D$51,MATCH(B504,'Effectif Saison'!$E$4:$E$51,0)),""))</f>
        <v/>
      </c>
      <c r="H504" s="17" t="str">
        <f>IF(L504=0,"",IF(E504="Oui",0,IFERROR(_xlfn.MINIFS(Changements!$B:$B,Changements!$A:$A,A504,Changements!$D:$D,B504),"")))</f>
        <v/>
      </c>
      <c r="I504" s="17" t="str">
        <f>IF(M504=0,"",IFERROR(_xlfn.MAXIFS(Changements!$B:$B,Changements!$A:$A,A504,Changements!$C:$C,B504),""))</f>
        <v/>
      </c>
      <c r="J504" s="5" t="str">
        <f t="shared" si="36"/>
        <v/>
      </c>
      <c r="K504" s="17">
        <f t="shared" si="37"/>
        <v>0</v>
      </c>
      <c r="L504" s="17">
        <f>IF(B504="",0,COUNTIFS(Changements!$A:$A,A504,Changements!$D:$D,B504)+IF(E504="Oui",1,0))</f>
        <v>0</v>
      </c>
      <c r="M504" s="17">
        <f>IF(B504="",0,COUNTIFS(Changements!$A:$A,A504,Changements!$C:$C,B504))</f>
        <v>0</v>
      </c>
      <c r="N504" s="17">
        <f>IF(B504="",0,SUMIFS(Changements!$B:$B,Changements!$A:$A,A504,Changements!$D:$D,B504))</f>
        <v>0</v>
      </c>
      <c r="O504" s="17">
        <f>IF(B504="",0,SUMIFS(Changements!$B:$B,Changements!$A:$A,A504,Changements!$C:$C,B504)+IF(L504&gt;M504,IFERROR(INDEX(Matchs!$F$4:$F$31,MATCH(A504,Matchs!$A$4:$A$31,0)),0),0))</f>
        <v>0</v>
      </c>
      <c r="P504" s="17">
        <f t="shared" si="38"/>
        <v>0</v>
      </c>
      <c r="Q504" s="17">
        <f t="shared" si="39"/>
        <v>0</v>
      </c>
    </row>
    <row r="505" spans="1:17" ht="15" customHeight="1" x14ac:dyDescent="0.25">
      <c r="A505" s="5">
        <f t="shared" si="35"/>
        <v>21</v>
      </c>
      <c r="B505" s="4"/>
      <c r="C505" s="4"/>
      <c r="D505" s="4"/>
      <c r="E505" s="4"/>
      <c r="F505" s="17" t="str">
        <f>IF(B505="","",IF(AND(E505="Oui",COUNTIFS(Changements!$A:$A,A505,Changements!$D:$D,B505)&gt;0),"⚠ Titulaire+entrée ?",IF(ABS(L505-M505)&gt;1,"⚠ vérifier","")))</f>
        <v/>
      </c>
      <c r="G505" s="5" t="str">
        <f>IF(B505="","",IFERROR(INDEX('Effectif Saison'!$D$4:$D$51,MATCH(B505,'Effectif Saison'!$E$4:$E$51,0)),""))</f>
        <v/>
      </c>
      <c r="H505" s="17" t="str">
        <f>IF(L505=0,"",IF(E505="Oui",0,IFERROR(_xlfn.MINIFS(Changements!$B:$B,Changements!$A:$A,A505,Changements!$D:$D,B505),"")))</f>
        <v/>
      </c>
      <c r="I505" s="17" t="str">
        <f>IF(M505=0,"",IFERROR(_xlfn.MAXIFS(Changements!$B:$B,Changements!$A:$A,A505,Changements!$C:$C,B505),""))</f>
        <v/>
      </c>
      <c r="J505" s="5" t="str">
        <f t="shared" si="36"/>
        <v/>
      </c>
      <c r="K505" s="17">
        <f t="shared" si="37"/>
        <v>0</v>
      </c>
      <c r="L505" s="17">
        <f>IF(B505="",0,COUNTIFS(Changements!$A:$A,A505,Changements!$D:$D,B505)+IF(E505="Oui",1,0))</f>
        <v>0</v>
      </c>
      <c r="M505" s="17">
        <f>IF(B505="",0,COUNTIFS(Changements!$A:$A,A505,Changements!$C:$C,B505))</f>
        <v>0</v>
      </c>
      <c r="N505" s="17">
        <f>IF(B505="",0,SUMIFS(Changements!$B:$B,Changements!$A:$A,A505,Changements!$D:$D,B505))</f>
        <v>0</v>
      </c>
      <c r="O505" s="17">
        <f>IF(B505="",0,SUMIFS(Changements!$B:$B,Changements!$A:$A,A505,Changements!$C:$C,B505)+IF(L505&gt;M505,IFERROR(INDEX(Matchs!$F$4:$F$31,MATCH(A505,Matchs!$A$4:$A$31,0)),0),0))</f>
        <v>0</v>
      </c>
      <c r="P505" s="17">
        <f t="shared" si="38"/>
        <v>0</v>
      </c>
      <c r="Q505" s="17">
        <f t="shared" si="39"/>
        <v>0</v>
      </c>
    </row>
    <row r="506" spans="1:17" ht="15" customHeight="1" x14ac:dyDescent="0.25">
      <c r="A506" s="5">
        <f t="shared" si="35"/>
        <v>21</v>
      </c>
      <c r="B506" s="4"/>
      <c r="C506" s="4"/>
      <c r="D506" s="4"/>
      <c r="E506" s="4"/>
      <c r="F506" s="17" t="str">
        <f>IF(B506="","",IF(AND(E506="Oui",COUNTIFS(Changements!$A:$A,A506,Changements!$D:$D,B506)&gt;0),"⚠ Titulaire+entrée ?",IF(ABS(L506-M506)&gt;1,"⚠ vérifier","")))</f>
        <v/>
      </c>
      <c r="G506" s="5" t="str">
        <f>IF(B506="","",IFERROR(INDEX('Effectif Saison'!$D$4:$D$51,MATCH(B506,'Effectif Saison'!$E$4:$E$51,0)),""))</f>
        <v/>
      </c>
      <c r="H506" s="17" t="str">
        <f>IF(L506=0,"",IF(E506="Oui",0,IFERROR(_xlfn.MINIFS(Changements!$B:$B,Changements!$A:$A,A506,Changements!$D:$D,B506),"")))</f>
        <v/>
      </c>
      <c r="I506" s="17" t="str">
        <f>IF(M506=0,"",IFERROR(_xlfn.MAXIFS(Changements!$B:$B,Changements!$A:$A,A506,Changements!$C:$C,B506),""))</f>
        <v/>
      </c>
      <c r="J506" s="5" t="str">
        <f t="shared" si="36"/>
        <v/>
      </c>
      <c r="K506" s="17">
        <f t="shared" si="37"/>
        <v>0</v>
      </c>
      <c r="L506" s="17">
        <f>IF(B506="",0,COUNTIFS(Changements!$A:$A,A506,Changements!$D:$D,B506)+IF(E506="Oui",1,0))</f>
        <v>0</v>
      </c>
      <c r="M506" s="17">
        <f>IF(B506="",0,COUNTIFS(Changements!$A:$A,A506,Changements!$C:$C,B506))</f>
        <v>0</v>
      </c>
      <c r="N506" s="17">
        <f>IF(B506="",0,SUMIFS(Changements!$B:$B,Changements!$A:$A,A506,Changements!$D:$D,B506))</f>
        <v>0</v>
      </c>
      <c r="O506" s="17">
        <f>IF(B506="",0,SUMIFS(Changements!$B:$B,Changements!$A:$A,A506,Changements!$C:$C,B506)+IF(L506&gt;M506,IFERROR(INDEX(Matchs!$F$4:$F$31,MATCH(A506,Matchs!$A$4:$A$31,0)),0),0))</f>
        <v>0</v>
      </c>
      <c r="P506" s="17">
        <f t="shared" si="38"/>
        <v>0</v>
      </c>
      <c r="Q506" s="17">
        <f t="shared" si="39"/>
        <v>0</v>
      </c>
    </row>
    <row r="507" spans="1:17" ht="15" customHeight="1" x14ac:dyDescent="0.25">
      <c r="A507" s="5">
        <f t="shared" si="35"/>
        <v>21</v>
      </c>
      <c r="B507" s="4"/>
      <c r="C507" s="4"/>
      <c r="D507" s="4"/>
      <c r="E507" s="4"/>
      <c r="F507" s="17" t="str">
        <f>IF(B507="","",IF(AND(E507="Oui",COUNTIFS(Changements!$A:$A,A507,Changements!$D:$D,B507)&gt;0),"⚠ Titulaire+entrée ?",IF(ABS(L507-M507)&gt;1,"⚠ vérifier","")))</f>
        <v/>
      </c>
      <c r="G507" s="5" t="str">
        <f>IF(B507="","",IFERROR(INDEX('Effectif Saison'!$D$4:$D$51,MATCH(B507,'Effectif Saison'!$E$4:$E$51,0)),""))</f>
        <v/>
      </c>
      <c r="H507" s="17" t="str">
        <f>IF(L507=0,"",IF(E507="Oui",0,IFERROR(_xlfn.MINIFS(Changements!$B:$B,Changements!$A:$A,A507,Changements!$D:$D,B507),"")))</f>
        <v/>
      </c>
      <c r="I507" s="17" t="str">
        <f>IF(M507=0,"",IFERROR(_xlfn.MAXIFS(Changements!$B:$B,Changements!$A:$A,A507,Changements!$C:$C,B507),""))</f>
        <v/>
      </c>
      <c r="J507" s="5" t="str">
        <f t="shared" si="36"/>
        <v/>
      </c>
      <c r="K507" s="17">
        <f t="shared" si="37"/>
        <v>0</v>
      </c>
      <c r="L507" s="17">
        <f>IF(B507="",0,COUNTIFS(Changements!$A:$A,A507,Changements!$D:$D,B507)+IF(E507="Oui",1,0))</f>
        <v>0</v>
      </c>
      <c r="M507" s="17">
        <f>IF(B507="",0,COUNTIFS(Changements!$A:$A,A507,Changements!$C:$C,B507))</f>
        <v>0</v>
      </c>
      <c r="N507" s="17">
        <f>IF(B507="",0,SUMIFS(Changements!$B:$B,Changements!$A:$A,A507,Changements!$D:$D,B507))</f>
        <v>0</v>
      </c>
      <c r="O507" s="17">
        <f>IF(B507="",0,SUMIFS(Changements!$B:$B,Changements!$A:$A,A507,Changements!$C:$C,B507)+IF(L507&gt;M507,IFERROR(INDEX(Matchs!$F$4:$F$31,MATCH(A507,Matchs!$A$4:$A$31,0)),0),0))</f>
        <v>0</v>
      </c>
      <c r="P507" s="17">
        <f t="shared" si="38"/>
        <v>0</v>
      </c>
      <c r="Q507" s="17">
        <f t="shared" si="39"/>
        <v>0</v>
      </c>
    </row>
    <row r="508" spans="1:17" ht="15" customHeight="1" x14ac:dyDescent="0.25">
      <c r="A508" s="5">
        <f t="shared" si="35"/>
        <v>22</v>
      </c>
      <c r="B508" s="5" t="str">
        <f>INDEX('Effectif Saison'!$E$4:$E$22,1)</f>
        <v>Alan MICHON</v>
      </c>
      <c r="C508" s="4"/>
      <c r="D508" s="4"/>
      <c r="E508" s="4"/>
      <c r="F508" s="17" t="str">
        <f>IF(B508="","",IF(AND(E508="Oui",COUNTIFS(Changements!$A:$A,A508,Changements!$D:$D,B508)&gt;0),"⚠ Titulaire+entrée ?",IF(ABS(L508-M508)&gt;1,"⚠ vérifier","")))</f>
        <v/>
      </c>
      <c r="G508" s="5" t="str">
        <f>IF(B508="","",IFERROR(INDEX('Effectif Saison'!$D$4:$D$51,MATCH(B508,'Effectif Saison'!$E$4:$E$51,0)),""))</f>
        <v>Équipe 1</v>
      </c>
      <c r="H508" s="17" t="str">
        <f>IF(L508=0,"",IF(E508="Oui",0,IFERROR(_xlfn.MINIFS(Changements!$B:$B,Changements!$A:$A,A508,Changements!$D:$D,B508),"")))</f>
        <v/>
      </c>
      <c r="I508" s="17" t="str">
        <f>IF(M508=0,"",IFERROR(_xlfn.MAXIFS(Changements!$B:$B,Changements!$A:$A,A508,Changements!$C:$C,B508),""))</f>
        <v/>
      </c>
      <c r="J508" s="5" t="str">
        <f t="shared" si="36"/>
        <v/>
      </c>
      <c r="K508" s="17">
        <f t="shared" si="37"/>
        <v>0</v>
      </c>
      <c r="L508" s="17">
        <f>IF(B508="",0,COUNTIFS(Changements!$A:$A,A508,Changements!$D:$D,B508)+IF(E508="Oui",1,0))</f>
        <v>0</v>
      </c>
      <c r="M508" s="17">
        <f>IF(B508="",0,COUNTIFS(Changements!$A:$A,A508,Changements!$C:$C,B508))</f>
        <v>0</v>
      </c>
      <c r="N508" s="17">
        <f>IF(B508="",0,SUMIFS(Changements!$B:$B,Changements!$A:$A,A508,Changements!$D:$D,B508))</f>
        <v>0</v>
      </c>
      <c r="O508" s="17">
        <f>IF(B508="",0,SUMIFS(Changements!$B:$B,Changements!$A:$A,A508,Changements!$C:$C,B508)+IF(L508&gt;M508,IFERROR(INDEX(Matchs!$F$4:$F$31,MATCH(A508,Matchs!$A$4:$A$31,0)),0),0))</f>
        <v>0</v>
      </c>
      <c r="P508" s="17">
        <f t="shared" si="38"/>
        <v>0</v>
      </c>
      <c r="Q508" s="17">
        <f t="shared" si="39"/>
        <v>0</v>
      </c>
    </row>
    <row r="509" spans="1:17" ht="15" customHeight="1" x14ac:dyDescent="0.25">
      <c r="A509" s="5">
        <f t="shared" si="35"/>
        <v>22</v>
      </c>
      <c r="B509" s="5" t="str">
        <f>INDEX('Effectif Saison'!$E$4:$E$22,2)</f>
        <v>Jean BRUNTZ</v>
      </c>
      <c r="C509" s="4"/>
      <c r="D509" s="4"/>
      <c r="E509" s="4"/>
      <c r="F509" s="17" t="str">
        <f>IF(B509="","",IF(AND(E509="Oui",COUNTIFS(Changements!$A:$A,A509,Changements!$D:$D,B509)&gt;0),"⚠ Titulaire+entrée ?",IF(ABS(L509-M509)&gt;1,"⚠ vérifier","")))</f>
        <v/>
      </c>
      <c r="G509" s="5" t="str">
        <f>IF(B509="","",IFERROR(INDEX('Effectif Saison'!$D$4:$D$51,MATCH(B509,'Effectif Saison'!$E$4:$E$51,0)),""))</f>
        <v>Équipe 1</v>
      </c>
      <c r="H509" s="17" t="str">
        <f>IF(L509=0,"",IF(E509="Oui",0,IFERROR(_xlfn.MINIFS(Changements!$B:$B,Changements!$A:$A,A509,Changements!$D:$D,B509),"")))</f>
        <v/>
      </c>
      <c r="I509" s="17" t="str">
        <f>IF(M509=0,"",IFERROR(_xlfn.MAXIFS(Changements!$B:$B,Changements!$A:$A,A509,Changements!$C:$C,B509),""))</f>
        <v/>
      </c>
      <c r="J509" s="5" t="str">
        <f t="shared" si="36"/>
        <v/>
      </c>
      <c r="K509" s="17">
        <f t="shared" si="37"/>
        <v>0</v>
      </c>
      <c r="L509" s="17">
        <f>IF(B509="",0,COUNTIFS(Changements!$A:$A,A509,Changements!$D:$D,B509)+IF(E509="Oui",1,0))</f>
        <v>0</v>
      </c>
      <c r="M509" s="17">
        <f>IF(B509="",0,COUNTIFS(Changements!$A:$A,A509,Changements!$C:$C,B509))</f>
        <v>0</v>
      </c>
      <c r="N509" s="17">
        <f>IF(B509="",0,SUMIFS(Changements!$B:$B,Changements!$A:$A,A509,Changements!$D:$D,B509))</f>
        <v>0</v>
      </c>
      <c r="O509" s="17">
        <f>IF(B509="",0,SUMIFS(Changements!$B:$B,Changements!$A:$A,A509,Changements!$C:$C,B509)+IF(L509&gt;M509,IFERROR(INDEX(Matchs!$F$4:$F$31,MATCH(A509,Matchs!$A$4:$A$31,0)),0),0))</f>
        <v>0</v>
      </c>
      <c r="P509" s="17">
        <f t="shared" si="38"/>
        <v>0</v>
      </c>
      <c r="Q509" s="17">
        <f t="shared" si="39"/>
        <v>0</v>
      </c>
    </row>
    <row r="510" spans="1:17" ht="15" customHeight="1" x14ac:dyDescent="0.25">
      <c r="A510" s="5">
        <f t="shared" si="35"/>
        <v>22</v>
      </c>
      <c r="B510" s="5" t="str">
        <f>INDEX('Effectif Saison'!$E$4:$E$22,3)</f>
        <v>Marouane SBK</v>
      </c>
      <c r="C510" s="4"/>
      <c r="D510" s="4"/>
      <c r="E510" s="4"/>
      <c r="F510" s="17" t="str">
        <f>IF(B510="","",IF(AND(E510="Oui",COUNTIFS(Changements!$A:$A,A510,Changements!$D:$D,B510)&gt;0),"⚠ Titulaire+entrée ?",IF(ABS(L510-M510)&gt;1,"⚠ vérifier","")))</f>
        <v/>
      </c>
      <c r="G510" s="5" t="str">
        <f>IF(B510="","",IFERROR(INDEX('Effectif Saison'!$D$4:$D$51,MATCH(B510,'Effectif Saison'!$E$4:$E$51,0)),""))</f>
        <v>Équipe 1</v>
      </c>
      <c r="H510" s="17" t="str">
        <f>IF(L510=0,"",IF(E510="Oui",0,IFERROR(_xlfn.MINIFS(Changements!$B:$B,Changements!$A:$A,A510,Changements!$D:$D,B510),"")))</f>
        <v/>
      </c>
      <c r="I510" s="17" t="str">
        <f>IF(M510=0,"",IFERROR(_xlfn.MAXIFS(Changements!$B:$B,Changements!$A:$A,A510,Changements!$C:$C,B510),""))</f>
        <v/>
      </c>
      <c r="J510" s="5" t="str">
        <f t="shared" si="36"/>
        <v/>
      </c>
      <c r="K510" s="17">
        <f t="shared" si="37"/>
        <v>0</v>
      </c>
      <c r="L510" s="17">
        <f>IF(B510="",0,COUNTIFS(Changements!$A:$A,A510,Changements!$D:$D,B510)+IF(E510="Oui",1,0))</f>
        <v>0</v>
      </c>
      <c r="M510" s="17">
        <f>IF(B510="",0,COUNTIFS(Changements!$A:$A,A510,Changements!$C:$C,B510))</f>
        <v>0</v>
      </c>
      <c r="N510" s="17">
        <f>IF(B510="",0,SUMIFS(Changements!$B:$B,Changements!$A:$A,A510,Changements!$D:$D,B510))</f>
        <v>0</v>
      </c>
      <c r="O510" s="17">
        <f>IF(B510="",0,SUMIFS(Changements!$B:$B,Changements!$A:$A,A510,Changements!$C:$C,B510)+IF(L510&gt;M510,IFERROR(INDEX(Matchs!$F$4:$F$31,MATCH(A510,Matchs!$A$4:$A$31,0)),0),0))</f>
        <v>0</v>
      </c>
      <c r="P510" s="17">
        <f t="shared" si="38"/>
        <v>0</v>
      </c>
      <c r="Q510" s="17">
        <f t="shared" si="39"/>
        <v>0</v>
      </c>
    </row>
    <row r="511" spans="1:17" ht="15" customHeight="1" x14ac:dyDescent="0.25">
      <c r="A511" s="5">
        <f t="shared" si="35"/>
        <v>22</v>
      </c>
      <c r="B511" s="5" t="str">
        <f>INDEX('Effectif Saison'!$E$4:$E$22,4)</f>
        <v>Noé BIHL</v>
      </c>
      <c r="C511" s="4"/>
      <c r="D511" s="4"/>
      <c r="E511" s="4"/>
      <c r="F511" s="17" t="str">
        <f>IF(B511="","",IF(AND(E511="Oui",COUNTIFS(Changements!$A:$A,A511,Changements!$D:$D,B511)&gt;0),"⚠ Titulaire+entrée ?",IF(ABS(L511-M511)&gt;1,"⚠ vérifier","")))</f>
        <v/>
      </c>
      <c r="G511" s="5" t="str">
        <f>IF(B511="","",IFERROR(INDEX('Effectif Saison'!$D$4:$D$51,MATCH(B511,'Effectif Saison'!$E$4:$E$51,0)),""))</f>
        <v>Équipe 1</v>
      </c>
      <c r="H511" s="17" t="str">
        <f>IF(L511=0,"",IF(E511="Oui",0,IFERROR(_xlfn.MINIFS(Changements!$B:$B,Changements!$A:$A,A511,Changements!$D:$D,B511),"")))</f>
        <v/>
      </c>
      <c r="I511" s="17" t="str">
        <f>IF(M511=0,"",IFERROR(_xlfn.MAXIFS(Changements!$B:$B,Changements!$A:$A,A511,Changements!$C:$C,B511),""))</f>
        <v/>
      </c>
      <c r="J511" s="5" t="str">
        <f t="shared" si="36"/>
        <v/>
      </c>
      <c r="K511" s="17">
        <f t="shared" si="37"/>
        <v>0</v>
      </c>
      <c r="L511" s="17">
        <f>IF(B511="",0,COUNTIFS(Changements!$A:$A,A511,Changements!$D:$D,B511)+IF(E511="Oui",1,0))</f>
        <v>0</v>
      </c>
      <c r="M511" s="17">
        <f>IF(B511="",0,COUNTIFS(Changements!$A:$A,A511,Changements!$C:$C,B511))</f>
        <v>0</v>
      </c>
      <c r="N511" s="17">
        <f>IF(B511="",0,SUMIFS(Changements!$B:$B,Changements!$A:$A,A511,Changements!$D:$D,B511))</f>
        <v>0</v>
      </c>
      <c r="O511" s="17">
        <f>IF(B511="",0,SUMIFS(Changements!$B:$B,Changements!$A:$A,A511,Changements!$C:$C,B511)+IF(L511&gt;M511,IFERROR(INDEX(Matchs!$F$4:$F$31,MATCH(A511,Matchs!$A$4:$A$31,0)),0),0))</f>
        <v>0</v>
      </c>
      <c r="P511" s="17">
        <f t="shared" si="38"/>
        <v>0</v>
      </c>
      <c r="Q511" s="17">
        <f t="shared" si="39"/>
        <v>0</v>
      </c>
    </row>
    <row r="512" spans="1:17" ht="15" customHeight="1" x14ac:dyDescent="0.25">
      <c r="A512" s="5">
        <f t="shared" si="35"/>
        <v>22</v>
      </c>
      <c r="B512" s="5" t="str">
        <f>INDEX('Effectif Saison'!$E$4:$E$22,5)</f>
        <v>Luca COLAIANNI</v>
      </c>
      <c r="C512" s="4"/>
      <c r="D512" s="4"/>
      <c r="E512" s="4"/>
      <c r="F512" s="17" t="str">
        <f>IF(B512="","",IF(AND(E512="Oui",COUNTIFS(Changements!$A:$A,A512,Changements!$D:$D,B512)&gt;0),"⚠ Titulaire+entrée ?",IF(ABS(L512-M512)&gt;1,"⚠ vérifier","")))</f>
        <v/>
      </c>
      <c r="G512" s="5" t="str">
        <f>IF(B512="","",IFERROR(INDEX('Effectif Saison'!$D$4:$D$51,MATCH(B512,'Effectif Saison'!$E$4:$E$51,0)),""))</f>
        <v>Équipe 1</v>
      </c>
      <c r="H512" s="17" t="str">
        <f>IF(L512=0,"",IF(E512="Oui",0,IFERROR(_xlfn.MINIFS(Changements!$B:$B,Changements!$A:$A,A512,Changements!$D:$D,B512),"")))</f>
        <v/>
      </c>
      <c r="I512" s="17" t="str">
        <f>IF(M512=0,"",IFERROR(_xlfn.MAXIFS(Changements!$B:$B,Changements!$A:$A,A512,Changements!$C:$C,B512),""))</f>
        <v/>
      </c>
      <c r="J512" s="5" t="str">
        <f t="shared" si="36"/>
        <v/>
      </c>
      <c r="K512" s="17">
        <f t="shared" si="37"/>
        <v>0</v>
      </c>
      <c r="L512" s="17">
        <f>IF(B512="",0,COUNTIFS(Changements!$A:$A,A512,Changements!$D:$D,B512)+IF(E512="Oui",1,0))</f>
        <v>0</v>
      </c>
      <c r="M512" s="17">
        <f>IF(B512="",0,COUNTIFS(Changements!$A:$A,A512,Changements!$C:$C,B512))</f>
        <v>0</v>
      </c>
      <c r="N512" s="17">
        <f>IF(B512="",0,SUMIFS(Changements!$B:$B,Changements!$A:$A,A512,Changements!$D:$D,B512))</f>
        <v>0</v>
      </c>
      <c r="O512" s="17">
        <f>IF(B512="",0,SUMIFS(Changements!$B:$B,Changements!$A:$A,A512,Changements!$C:$C,B512)+IF(L512&gt;M512,IFERROR(INDEX(Matchs!$F$4:$F$31,MATCH(A512,Matchs!$A$4:$A$31,0)),0),0))</f>
        <v>0</v>
      </c>
      <c r="P512" s="17">
        <f t="shared" si="38"/>
        <v>0</v>
      </c>
      <c r="Q512" s="17">
        <f t="shared" si="39"/>
        <v>0</v>
      </c>
    </row>
    <row r="513" spans="1:17" ht="15" customHeight="1" x14ac:dyDescent="0.25">
      <c r="A513" s="5">
        <f t="shared" si="35"/>
        <v>22</v>
      </c>
      <c r="B513" s="5" t="str">
        <f>INDEX('Effectif Saison'!$E$4:$E$22,6)</f>
        <v>Atilla ER</v>
      </c>
      <c r="C513" s="4"/>
      <c r="D513" s="4"/>
      <c r="E513" s="4"/>
      <c r="F513" s="17" t="str">
        <f>IF(B513="","",IF(AND(E513="Oui",COUNTIFS(Changements!$A:$A,A513,Changements!$D:$D,B513)&gt;0),"⚠ Titulaire+entrée ?",IF(ABS(L513-M513)&gt;1,"⚠ vérifier","")))</f>
        <v/>
      </c>
      <c r="G513" s="5" t="str">
        <f>IF(B513="","",IFERROR(INDEX('Effectif Saison'!$D$4:$D$51,MATCH(B513,'Effectif Saison'!$E$4:$E$51,0)),""))</f>
        <v>Équipe 1</v>
      </c>
      <c r="H513" s="17" t="str">
        <f>IF(L513=0,"",IF(E513="Oui",0,IFERROR(_xlfn.MINIFS(Changements!$B:$B,Changements!$A:$A,A513,Changements!$D:$D,B513),"")))</f>
        <v/>
      </c>
      <c r="I513" s="17" t="str">
        <f>IF(M513=0,"",IFERROR(_xlfn.MAXIFS(Changements!$B:$B,Changements!$A:$A,A513,Changements!$C:$C,B513),""))</f>
        <v/>
      </c>
      <c r="J513" s="5" t="str">
        <f t="shared" si="36"/>
        <v/>
      </c>
      <c r="K513" s="17">
        <f t="shared" si="37"/>
        <v>0</v>
      </c>
      <c r="L513" s="17">
        <f>IF(B513="",0,COUNTIFS(Changements!$A:$A,A513,Changements!$D:$D,B513)+IF(E513="Oui",1,0))</f>
        <v>0</v>
      </c>
      <c r="M513" s="17">
        <f>IF(B513="",0,COUNTIFS(Changements!$A:$A,A513,Changements!$C:$C,B513))</f>
        <v>0</v>
      </c>
      <c r="N513" s="17">
        <f>IF(B513="",0,SUMIFS(Changements!$B:$B,Changements!$A:$A,A513,Changements!$D:$D,B513))</f>
        <v>0</v>
      </c>
      <c r="O513" s="17">
        <f>IF(B513="",0,SUMIFS(Changements!$B:$B,Changements!$A:$A,A513,Changements!$C:$C,B513)+IF(L513&gt;M513,IFERROR(INDEX(Matchs!$F$4:$F$31,MATCH(A513,Matchs!$A$4:$A$31,0)),0),0))</f>
        <v>0</v>
      </c>
      <c r="P513" s="17">
        <f t="shared" si="38"/>
        <v>0</v>
      </c>
      <c r="Q513" s="17">
        <f t="shared" si="39"/>
        <v>0</v>
      </c>
    </row>
    <row r="514" spans="1:17" ht="15" customHeight="1" x14ac:dyDescent="0.25">
      <c r="A514" s="5">
        <f t="shared" si="35"/>
        <v>22</v>
      </c>
      <c r="B514" s="5" t="str">
        <f>INDEX('Effectif Saison'!$E$4:$E$22,7)</f>
        <v>Lucas BUHR</v>
      </c>
      <c r="C514" s="4"/>
      <c r="D514" s="4"/>
      <c r="E514" s="4"/>
      <c r="F514" s="17" t="str">
        <f>IF(B514="","",IF(AND(E514="Oui",COUNTIFS(Changements!$A:$A,A514,Changements!$D:$D,B514)&gt;0),"⚠ Titulaire+entrée ?",IF(ABS(L514-M514)&gt;1,"⚠ vérifier","")))</f>
        <v/>
      </c>
      <c r="G514" s="5" t="str">
        <f>IF(B514="","",IFERROR(INDEX('Effectif Saison'!$D$4:$D$51,MATCH(B514,'Effectif Saison'!$E$4:$E$51,0)),""))</f>
        <v>Équipe 1</v>
      </c>
      <c r="H514" s="17" t="str">
        <f>IF(L514=0,"",IF(E514="Oui",0,IFERROR(_xlfn.MINIFS(Changements!$B:$B,Changements!$A:$A,A514,Changements!$D:$D,B514),"")))</f>
        <v/>
      </c>
      <c r="I514" s="17" t="str">
        <f>IF(M514=0,"",IFERROR(_xlfn.MAXIFS(Changements!$B:$B,Changements!$A:$A,A514,Changements!$C:$C,B514),""))</f>
        <v/>
      </c>
      <c r="J514" s="5" t="str">
        <f t="shared" si="36"/>
        <v/>
      </c>
      <c r="K514" s="17">
        <f t="shared" si="37"/>
        <v>0</v>
      </c>
      <c r="L514" s="17">
        <f>IF(B514="",0,COUNTIFS(Changements!$A:$A,A514,Changements!$D:$D,B514)+IF(E514="Oui",1,0))</f>
        <v>0</v>
      </c>
      <c r="M514" s="17">
        <f>IF(B514="",0,COUNTIFS(Changements!$A:$A,A514,Changements!$C:$C,B514))</f>
        <v>0</v>
      </c>
      <c r="N514" s="17">
        <f>IF(B514="",0,SUMIFS(Changements!$B:$B,Changements!$A:$A,A514,Changements!$D:$D,B514))</f>
        <v>0</v>
      </c>
      <c r="O514" s="17">
        <f>IF(B514="",0,SUMIFS(Changements!$B:$B,Changements!$A:$A,A514,Changements!$C:$C,B514)+IF(L514&gt;M514,IFERROR(INDEX(Matchs!$F$4:$F$31,MATCH(A514,Matchs!$A$4:$A$31,0)),0),0))</f>
        <v>0</v>
      </c>
      <c r="P514" s="17">
        <f t="shared" si="38"/>
        <v>0</v>
      </c>
      <c r="Q514" s="17">
        <f t="shared" si="39"/>
        <v>0</v>
      </c>
    </row>
    <row r="515" spans="1:17" ht="15" customHeight="1" x14ac:dyDescent="0.25">
      <c r="A515" s="5">
        <f t="shared" si="35"/>
        <v>22</v>
      </c>
      <c r="B515" s="5" t="str">
        <f>INDEX('Effectif Saison'!$E$4:$E$22,8)</f>
        <v>Yanis HOUX</v>
      </c>
      <c r="C515" s="4"/>
      <c r="D515" s="4"/>
      <c r="E515" s="4"/>
      <c r="F515" s="17" t="str">
        <f>IF(B515="","",IF(AND(E515="Oui",COUNTIFS(Changements!$A:$A,A515,Changements!$D:$D,B515)&gt;0),"⚠ Titulaire+entrée ?",IF(ABS(L515-M515)&gt;1,"⚠ vérifier","")))</f>
        <v/>
      </c>
      <c r="G515" s="5" t="str">
        <f>IF(B515="","",IFERROR(INDEX('Effectif Saison'!$D$4:$D$51,MATCH(B515,'Effectif Saison'!$E$4:$E$51,0)),""))</f>
        <v>Équipe 1</v>
      </c>
      <c r="H515" s="17" t="str">
        <f>IF(L515=0,"",IF(E515="Oui",0,IFERROR(_xlfn.MINIFS(Changements!$B:$B,Changements!$A:$A,A515,Changements!$D:$D,B515),"")))</f>
        <v/>
      </c>
      <c r="I515" s="17" t="str">
        <f>IF(M515=0,"",IFERROR(_xlfn.MAXIFS(Changements!$B:$B,Changements!$A:$A,A515,Changements!$C:$C,B515),""))</f>
        <v/>
      </c>
      <c r="J515" s="5" t="str">
        <f t="shared" si="36"/>
        <v/>
      </c>
      <c r="K515" s="17">
        <f t="shared" si="37"/>
        <v>0</v>
      </c>
      <c r="L515" s="17">
        <f>IF(B515="",0,COUNTIFS(Changements!$A:$A,A515,Changements!$D:$D,B515)+IF(E515="Oui",1,0))</f>
        <v>0</v>
      </c>
      <c r="M515" s="17">
        <f>IF(B515="",0,COUNTIFS(Changements!$A:$A,A515,Changements!$C:$C,B515))</f>
        <v>0</v>
      </c>
      <c r="N515" s="17">
        <f>IF(B515="",0,SUMIFS(Changements!$B:$B,Changements!$A:$A,A515,Changements!$D:$D,B515))</f>
        <v>0</v>
      </c>
      <c r="O515" s="17">
        <f>IF(B515="",0,SUMIFS(Changements!$B:$B,Changements!$A:$A,A515,Changements!$C:$C,B515)+IF(L515&gt;M515,IFERROR(INDEX(Matchs!$F$4:$F$31,MATCH(A515,Matchs!$A$4:$A$31,0)),0),0))</f>
        <v>0</v>
      </c>
      <c r="P515" s="17">
        <f t="shared" si="38"/>
        <v>0</v>
      </c>
      <c r="Q515" s="17">
        <f t="shared" si="39"/>
        <v>0</v>
      </c>
    </row>
    <row r="516" spans="1:17" ht="15" customHeight="1" x14ac:dyDescent="0.25">
      <c r="A516" s="5">
        <f t="shared" ref="A516:A579" si="40">INT((ROW()-4)/24)+1</f>
        <v>22</v>
      </c>
      <c r="B516" s="5" t="str">
        <f>INDEX('Effectif Saison'!$E$4:$E$22,9)</f>
        <v>Tino COLAIANNI</v>
      </c>
      <c r="C516" s="4"/>
      <c r="D516" s="4"/>
      <c r="E516" s="4"/>
      <c r="F516" s="17" t="str">
        <f>IF(B516="","",IF(AND(E516="Oui",COUNTIFS(Changements!$A:$A,A516,Changements!$D:$D,B516)&gt;0),"⚠ Titulaire+entrée ?",IF(ABS(L516-M516)&gt;1,"⚠ vérifier","")))</f>
        <v/>
      </c>
      <c r="G516" s="5" t="str">
        <f>IF(B516="","",IFERROR(INDEX('Effectif Saison'!$D$4:$D$51,MATCH(B516,'Effectif Saison'!$E$4:$E$51,0)),""))</f>
        <v>Équipe 1</v>
      </c>
      <c r="H516" s="17" t="str">
        <f>IF(L516=0,"",IF(E516="Oui",0,IFERROR(_xlfn.MINIFS(Changements!$B:$B,Changements!$A:$A,A516,Changements!$D:$D,B516),"")))</f>
        <v/>
      </c>
      <c r="I516" s="17" t="str">
        <f>IF(M516=0,"",IFERROR(_xlfn.MAXIFS(Changements!$B:$B,Changements!$A:$A,A516,Changements!$C:$C,B516),""))</f>
        <v/>
      </c>
      <c r="J516" s="5" t="str">
        <f t="shared" ref="J516:J579" si="41">IF(OR(B516="",C516&lt;&gt;"Oui"),"",O516-N516)</f>
        <v/>
      </c>
      <c r="K516" s="17">
        <f t="shared" ref="K516:K579" si="42">IF(AND(B516&lt;&gt;"",ISNUMBER(J516)),1,0)</f>
        <v>0</v>
      </c>
      <c r="L516" s="17">
        <f>IF(B516="",0,COUNTIFS(Changements!$A:$A,A516,Changements!$D:$D,B516)+IF(E516="Oui",1,0))</f>
        <v>0</v>
      </c>
      <c r="M516" s="17">
        <f>IF(B516="",0,COUNTIFS(Changements!$A:$A,A516,Changements!$C:$C,B516))</f>
        <v>0</v>
      </c>
      <c r="N516" s="17">
        <f>IF(B516="",0,SUMIFS(Changements!$B:$B,Changements!$A:$A,A516,Changements!$D:$D,B516))</f>
        <v>0</v>
      </c>
      <c r="O516" s="17">
        <f>IF(B516="",0,SUMIFS(Changements!$B:$B,Changements!$A:$A,A516,Changements!$C:$C,B516)+IF(L516&gt;M516,IFERROR(INDEX(Matchs!$F$4:$F$31,MATCH(A516,Matchs!$A$4:$A$31,0)),0),0))</f>
        <v>0</v>
      </c>
      <c r="P516" s="17">
        <f t="shared" ref="P516:P579" si="43">IF(AND(B516&lt;&gt;"",C516="Oui"),1,0)</f>
        <v>0</v>
      </c>
      <c r="Q516" s="17">
        <f t="shared" ref="Q516:Q579" si="44">IF(AND(B516&lt;&gt;"",E516="Oui"),1,0)</f>
        <v>0</v>
      </c>
    </row>
    <row r="517" spans="1:17" ht="15" customHeight="1" x14ac:dyDescent="0.25">
      <c r="A517" s="5">
        <f t="shared" si="40"/>
        <v>22</v>
      </c>
      <c r="B517" s="5" t="str">
        <f>INDEX('Effectif Saison'!$E$4:$E$22,10)</f>
        <v>Achille KELLERKNECHT</v>
      </c>
      <c r="C517" s="4"/>
      <c r="D517" s="4"/>
      <c r="E517" s="4"/>
      <c r="F517" s="17" t="str">
        <f>IF(B517="","",IF(AND(E517="Oui",COUNTIFS(Changements!$A:$A,A517,Changements!$D:$D,B517)&gt;0),"⚠ Titulaire+entrée ?",IF(ABS(L517-M517)&gt;1,"⚠ vérifier","")))</f>
        <v/>
      </c>
      <c r="G517" s="5" t="str">
        <f>IF(B517="","",IFERROR(INDEX('Effectif Saison'!$D$4:$D$51,MATCH(B517,'Effectif Saison'!$E$4:$E$51,0)),""))</f>
        <v>Équipe 1</v>
      </c>
      <c r="H517" s="17" t="str">
        <f>IF(L517=0,"",IF(E517="Oui",0,IFERROR(_xlfn.MINIFS(Changements!$B:$B,Changements!$A:$A,A517,Changements!$D:$D,B517),"")))</f>
        <v/>
      </c>
      <c r="I517" s="17" t="str">
        <f>IF(M517=0,"",IFERROR(_xlfn.MAXIFS(Changements!$B:$B,Changements!$A:$A,A517,Changements!$C:$C,B517),""))</f>
        <v/>
      </c>
      <c r="J517" s="5" t="str">
        <f t="shared" si="41"/>
        <v/>
      </c>
      <c r="K517" s="17">
        <f t="shared" si="42"/>
        <v>0</v>
      </c>
      <c r="L517" s="17">
        <f>IF(B517="",0,COUNTIFS(Changements!$A:$A,A517,Changements!$D:$D,B517)+IF(E517="Oui",1,0))</f>
        <v>0</v>
      </c>
      <c r="M517" s="17">
        <f>IF(B517="",0,COUNTIFS(Changements!$A:$A,A517,Changements!$C:$C,B517))</f>
        <v>0</v>
      </c>
      <c r="N517" s="17">
        <f>IF(B517="",0,SUMIFS(Changements!$B:$B,Changements!$A:$A,A517,Changements!$D:$D,B517))</f>
        <v>0</v>
      </c>
      <c r="O517" s="17">
        <f>IF(B517="",0,SUMIFS(Changements!$B:$B,Changements!$A:$A,A517,Changements!$C:$C,B517)+IF(L517&gt;M517,IFERROR(INDEX(Matchs!$F$4:$F$31,MATCH(A517,Matchs!$A$4:$A$31,0)),0),0))</f>
        <v>0</v>
      </c>
      <c r="P517" s="17">
        <f t="shared" si="43"/>
        <v>0</v>
      </c>
      <c r="Q517" s="17">
        <f t="shared" si="44"/>
        <v>0</v>
      </c>
    </row>
    <row r="518" spans="1:17" ht="15" customHeight="1" x14ac:dyDescent="0.25">
      <c r="A518" s="5">
        <f t="shared" si="40"/>
        <v>22</v>
      </c>
      <c r="B518" s="5" t="str">
        <f>INDEX('Effectif Saison'!$E$4:$E$22,11)</f>
        <v>Charly LEPERT</v>
      </c>
      <c r="C518" s="4"/>
      <c r="D518" s="4"/>
      <c r="E518" s="4"/>
      <c r="F518" s="17" t="str">
        <f>IF(B518="","",IF(AND(E518="Oui",COUNTIFS(Changements!$A:$A,A518,Changements!$D:$D,B518)&gt;0),"⚠ Titulaire+entrée ?",IF(ABS(L518-M518)&gt;1,"⚠ vérifier","")))</f>
        <v/>
      </c>
      <c r="G518" s="5" t="str">
        <f>IF(B518="","",IFERROR(INDEX('Effectif Saison'!$D$4:$D$51,MATCH(B518,'Effectif Saison'!$E$4:$E$51,0)),""))</f>
        <v>Équipe 1</v>
      </c>
      <c r="H518" s="17" t="str">
        <f>IF(L518=0,"",IF(E518="Oui",0,IFERROR(_xlfn.MINIFS(Changements!$B:$B,Changements!$A:$A,A518,Changements!$D:$D,B518),"")))</f>
        <v/>
      </c>
      <c r="I518" s="17" t="str">
        <f>IF(M518=0,"",IFERROR(_xlfn.MAXIFS(Changements!$B:$B,Changements!$A:$A,A518,Changements!$C:$C,B518),""))</f>
        <v/>
      </c>
      <c r="J518" s="5" t="str">
        <f t="shared" si="41"/>
        <v/>
      </c>
      <c r="K518" s="17">
        <f t="shared" si="42"/>
        <v>0</v>
      </c>
      <c r="L518" s="17">
        <f>IF(B518="",0,COUNTIFS(Changements!$A:$A,A518,Changements!$D:$D,B518)+IF(E518="Oui",1,0))</f>
        <v>0</v>
      </c>
      <c r="M518" s="17">
        <f>IF(B518="",0,COUNTIFS(Changements!$A:$A,A518,Changements!$C:$C,B518))</f>
        <v>0</v>
      </c>
      <c r="N518" s="17">
        <f>IF(B518="",0,SUMIFS(Changements!$B:$B,Changements!$A:$A,A518,Changements!$D:$D,B518))</f>
        <v>0</v>
      </c>
      <c r="O518" s="17">
        <f>IF(B518="",0,SUMIFS(Changements!$B:$B,Changements!$A:$A,A518,Changements!$C:$C,B518)+IF(L518&gt;M518,IFERROR(INDEX(Matchs!$F$4:$F$31,MATCH(A518,Matchs!$A$4:$A$31,0)),0),0))</f>
        <v>0</v>
      </c>
      <c r="P518" s="17">
        <f t="shared" si="43"/>
        <v>0</v>
      </c>
      <c r="Q518" s="17">
        <f t="shared" si="44"/>
        <v>0</v>
      </c>
    </row>
    <row r="519" spans="1:17" ht="15" customHeight="1" x14ac:dyDescent="0.25">
      <c r="A519" s="5">
        <f t="shared" si="40"/>
        <v>22</v>
      </c>
      <c r="B519" s="5" t="str">
        <f>INDEX('Effectif Saison'!$E$4:$E$22,12)</f>
        <v>Basile STANGRET</v>
      </c>
      <c r="C519" s="4"/>
      <c r="D519" s="4"/>
      <c r="E519" s="4"/>
      <c r="F519" s="17" t="str">
        <f>IF(B519="","",IF(AND(E519="Oui",COUNTIFS(Changements!$A:$A,A519,Changements!$D:$D,B519)&gt;0),"⚠ Titulaire+entrée ?",IF(ABS(L519-M519)&gt;1,"⚠ vérifier","")))</f>
        <v/>
      </c>
      <c r="G519" s="5" t="str">
        <f>IF(B519="","",IFERROR(INDEX('Effectif Saison'!$D$4:$D$51,MATCH(B519,'Effectif Saison'!$E$4:$E$51,0)),""))</f>
        <v>Équipe 1</v>
      </c>
      <c r="H519" s="17" t="str">
        <f>IF(L519=0,"",IF(E519="Oui",0,IFERROR(_xlfn.MINIFS(Changements!$B:$B,Changements!$A:$A,A519,Changements!$D:$D,B519),"")))</f>
        <v/>
      </c>
      <c r="I519" s="17" t="str">
        <f>IF(M519=0,"",IFERROR(_xlfn.MAXIFS(Changements!$B:$B,Changements!$A:$A,A519,Changements!$C:$C,B519),""))</f>
        <v/>
      </c>
      <c r="J519" s="5" t="str">
        <f t="shared" si="41"/>
        <v/>
      </c>
      <c r="K519" s="17">
        <f t="shared" si="42"/>
        <v>0</v>
      </c>
      <c r="L519" s="17">
        <f>IF(B519="",0,COUNTIFS(Changements!$A:$A,A519,Changements!$D:$D,B519)+IF(E519="Oui",1,0))</f>
        <v>0</v>
      </c>
      <c r="M519" s="17">
        <f>IF(B519="",0,COUNTIFS(Changements!$A:$A,A519,Changements!$C:$C,B519))</f>
        <v>0</v>
      </c>
      <c r="N519" s="17">
        <f>IF(B519="",0,SUMIFS(Changements!$B:$B,Changements!$A:$A,A519,Changements!$D:$D,B519))</f>
        <v>0</v>
      </c>
      <c r="O519" s="17">
        <f>IF(B519="",0,SUMIFS(Changements!$B:$B,Changements!$A:$A,A519,Changements!$C:$C,B519)+IF(L519&gt;M519,IFERROR(INDEX(Matchs!$F$4:$F$31,MATCH(A519,Matchs!$A$4:$A$31,0)),0),0))</f>
        <v>0</v>
      </c>
      <c r="P519" s="17">
        <f t="shared" si="43"/>
        <v>0</v>
      </c>
      <c r="Q519" s="17">
        <f t="shared" si="44"/>
        <v>0</v>
      </c>
    </row>
    <row r="520" spans="1:17" ht="15" customHeight="1" x14ac:dyDescent="0.25">
      <c r="A520" s="5">
        <f t="shared" si="40"/>
        <v>22</v>
      </c>
      <c r="B520" s="5" t="str">
        <f>INDEX('Effectif Saison'!$E$4:$E$22,13)</f>
        <v>Maxence KELLER</v>
      </c>
      <c r="C520" s="4"/>
      <c r="D520" s="4"/>
      <c r="E520" s="4"/>
      <c r="F520" s="17" t="str">
        <f>IF(B520="","",IF(AND(E520="Oui",COUNTIFS(Changements!$A:$A,A520,Changements!$D:$D,B520)&gt;0),"⚠ Titulaire+entrée ?",IF(ABS(L520-M520)&gt;1,"⚠ vérifier","")))</f>
        <v/>
      </c>
      <c r="G520" s="5" t="str">
        <f>IF(B520="","",IFERROR(INDEX('Effectif Saison'!$D$4:$D$51,MATCH(B520,'Effectif Saison'!$E$4:$E$51,0)),""))</f>
        <v>Équipe 1</v>
      </c>
      <c r="H520" s="17" t="str">
        <f>IF(L520=0,"",IF(E520="Oui",0,IFERROR(_xlfn.MINIFS(Changements!$B:$B,Changements!$A:$A,A520,Changements!$D:$D,B520),"")))</f>
        <v/>
      </c>
      <c r="I520" s="17" t="str">
        <f>IF(M520=0,"",IFERROR(_xlfn.MAXIFS(Changements!$B:$B,Changements!$A:$A,A520,Changements!$C:$C,B520),""))</f>
        <v/>
      </c>
      <c r="J520" s="5" t="str">
        <f t="shared" si="41"/>
        <v/>
      </c>
      <c r="K520" s="17">
        <f t="shared" si="42"/>
        <v>0</v>
      </c>
      <c r="L520" s="17">
        <f>IF(B520="",0,COUNTIFS(Changements!$A:$A,A520,Changements!$D:$D,B520)+IF(E520="Oui",1,0))</f>
        <v>0</v>
      </c>
      <c r="M520" s="17">
        <f>IF(B520="",0,COUNTIFS(Changements!$A:$A,A520,Changements!$C:$C,B520))</f>
        <v>0</v>
      </c>
      <c r="N520" s="17">
        <f>IF(B520="",0,SUMIFS(Changements!$B:$B,Changements!$A:$A,A520,Changements!$D:$D,B520))</f>
        <v>0</v>
      </c>
      <c r="O520" s="17">
        <f>IF(B520="",0,SUMIFS(Changements!$B:$B,Changements!$A:$A,A520,Changements!$C:$C,B520)+IF(L520&gt;M520,IFERROR(INDEX(Matchs!$F$4:$F$31,MATCH(A520,Matchs!$A$4:$A$31,0)),0),0))</f>
        <v>0</v>
      </c>
      <c r="P520" s="17">
        <f t="shared" si="43"/>
        <v>0</v>
      </c>
      <c r="Q520" s="17">
        <f t="shared" si="44"/>
        <v>0</v>
      </c>
    </row>
    <row r="521" spans="1:17" ht="15" customHeight="1" x14ac:dyDescent="0.25">
      <c r="A521" s="5">
        <f t="shared" si="40"/>
        <v>22</v>
      </c>
      <c r="B521" s="5" t="str">
        <f>INDEX('Effectif Saison'!$E$4:$E$22,14)</f>
        <v>Evan SCHMITT</v>
      </c>
      <c r="C521" s="4"/>
      <c r="D521" s="4"/>
      <c r="E521" s="4"/>
      <c r="F521" s="17" t="str">
        <f>IF(B521="","",IF(AND(E521="Oui",COUNTIFS(Changements!$A:$A,A521,Changements!$D:$D,B521)&gt;0),"⚠ Titulaire+entrée ?",IF(ABS(L521-M521)&gt;1,"⚠ vérifier","")))</f>
        <v/>
      </c>
      <c r="G521" s="5" t="str">
        <f>IF(B521="","",IFERROR(INDEX('Effectif Saison'!$D$4:$D$51,MATCH(B521,'Effectif Saison'!$E$4:$E$51,0)),""))</f>
        <v>Équipe 1</v>
      </c>
      <c r="H521" s="17" t="str">
        <f>IF(L521=0,"",IF(E521="Oui",0,IFERROR(_xlfn.MINIFS(Changements!$B:$B,Changements!$A:$A,A521,Changements!$D:$D,B521),"")))</f>
        <v/>
      </c>
      <c r="I521" s="17" t="str">
        <f>IF(M521=0,"",IFERROR(_xlfn.MAXIFS(Changements!$B:$B,Changements!$A:$A,A521,Changements!$C:$C,B521),""))</f>
        <v/>
      </c>
      <c r="J521" s="5" t="str">
        <f t="shared" si="41"/>
        <v/>
      </c>
      <c r="K521" s="17">
        <f t="shared" si="42"/>
        <v>0</v>
      </c>
      <c r="L521" s="17">
        <f>IF(B521="",0,COUNTIFS(Changements!$A:$A,A521,Changements!$D:$D,B521)+IF(E521="Oui",1,0))</f>
        <v>0</v>
      </c>
      <c r="M521" s="17">
        <f>IF(B521="",0,COUNTIFS(Changements!$A:$A,A521,Changements!$C:$C,B521))</f>
        <v>0</v>
      </c>
      <c r="N521" s="17">
        <f>IF(B521="",0,SUMIFS(Changements!$B:$B,Changements!$A:$A,A521,Changements!$D:$D,B521))</f>
        <v>0</v>
      </c>
      <c r="O521" s="17">
        <f>IF(B521="",0,SUMIFS(Changements!$B:$B,Changements!$A:$A,A521,Changements!$C:$C,B521)+IF(L521&gt;M521,IFERROR(INDEX(Matchs!$F$4:$F$31,MATCH(A521,Matchs!$A$4:$A$31,0)),0),0))</f>
        <v>0</v>
      </c>
      <c r="P521" s="17">
        <f t="shared" si="43"/>
        <v>0</v>
      </c>
      <c r="Q521" s="17">
        <f t="shared" si="44"/>
        <v>0</v>
      </c>
    </row>
    <row r="522" spans="1:17" ht="15" customHeight="1" x14ac:dyDescent="0.25">
      <c r="A522" s="5">
        <f t="shared" si="40"/>
        <v>22</v>
      </c>
      <c r="B522" s="5" t="str">
        <f>INDEX('Effectif Saison'!$E$4:$E$22,15)</f>
        <v>William SIMON</v>
      </c>
      <c r="C522" s="4"/>
      <c r="D522" s="4"/>
      <c r="E522" s="4"/>
      <c r="F522" s="17" t="str">
        <f>IF(B522="","",IF(AND(E522="Oui",COUNTIFS(Changements!$A:$A,A522,Changements!$D:$D,B522)&gt;0),"⚠ Titulaire+entrée ?",IF(ABS(L522-M522)&gt;1,"⚠ vérifier","")))</f>
        <v/>
      </c>
      <c r="G522" s="5" t="str">
        <f>IF(B522="","",IFERROR(INDEX('Effectif Saison'!$D$4:$D$51,MATCH(B522,'Effectif Saison'!$E$4:$E$51,0)),""))</f>
        <v>Équipe 1</v>
      </c>
      <c r="H522" s="17" t="str">
        <f>IF(L522=0,"",IF(E522="Oui",0,IFERROR(_xlfn.MINIFS(Changements!$B:$B,Changements!$A:$A,A522,Changements!$D:$D,B522),"")))</f>
        <v/>
      </c>
      <c r="I522" s="17" t="str">
        <f>IF(M522=0,"",IFERROR(_xlfn.MAXIFS(Changements!$B:$B,Changements!$A:$A,A522,Changements!$C:$C,B522),""))</f>
        <v/>
      </c>
      <c r="J522" s="5" t="str">
        <f t="shared" si="41"/>
        <v/>
      </c>
      <c r="K522" s="17">
        <f t="shared" si="42"/>
        <v>0</v>
      </c>
      <c r="L522" s="17">
        <f>IF(B522="",0,COUNTIFS(Changements!$A:$A,A522,Changements!$D:$D,B522)+IF(E522="Oui",1,0))</f>
        <v>0</v>
      </c>
      <c r="M522" s="17">
        <f>IF(B522="",0,COUNTIFS(Changements!$A:$A,A522,Changements!$C:$C,B522))</f>
        <v>0</v>
      </c>
      <c r="N522" s="17">
        <f>IF(B522="",0,SUMIFS(Changements!$B:$B,Changements!$A:$A,A522,Changements!$D:$D,B522))</f>
        <v>0</v>
      </c>
      <c r="O522" s="17">
        <f>IF(B522="",0,SUMIFS(Changements!$B:$B,Changements!$A:$A,A522,Changements!$C:$C,B522)+IF(L522&gt;M522,IFERROR(INDEX(Matchs!$F$4:$F$31,MATCH(A522,Matchs!$A$4:$A$31,0)),0),0))</f>
        <v>0</v>
      </c>
      <c r="P522" s="17">
        <f t="shared" si="43"/>
        <v>0</v>
      </c>
      <c r="Q522" s="17">
        <f t="shared" si="44"/>
        <v>0</v>
      </c>
    </row>
    <row r="523" spans="1:17" ht="15" customHeight="1" x14ac:dyDescent="0.25">
      <c r="A523" s="5">
        <f t="shared" si="40"/>
        <v>22</v>
      </c>
      <c r="B523" s="5" t="str">
        <f>INDEX('Effectif Saison'!$E$4:$E$22,16)</f>
        <v>Lenny LEPPER</v>
      </c>
      <c r="C523" s="4"/>
      <c r="D523" s="4"/>
      <c r="E523" s="4"/>
      <c r="F523" s="17" t="str">
        <f>IF(B523="","",IF(AND(E523="Oui",COUNTIFS(Changements!$A:$A,A523,Changements!$D:$D,B523)&gt;0),"⚠ Titulaire+entrée ?",IF(ABS(L523-M523)&gt;1,"⚠ vérifier","")))</f>
        <v/>
      </c>
      <c r="G523" s="5" t="str">
        <f>IF(B523="","",IFERROR(INDEX('Effectif Saison'!$D$4:$D$51,MATCH(B523,'Effectif Saison'!$E$4:$E$51,0)),""))</f>
        <v>Équipe 1</v>
      </c>
      <c r="H523" s="17" t="str">
        <f>IF(L523=0,"",IF(E523="Oui",0,IFERROR(_xlfn.MINIFS(Changements!$B:$B,Changements!$A:$A,A523,Changements!$D:$D,B523),"")))</f>
        <v/>
      </c>
      <c r="I523" s="17" t="str">
        <f>IF(M523=0,"",IFERROR(_xlfn.MAXIFS(Changements!$B:$B,Changements!$A:$A,A523,Changements!$C:$C,B523),""))</f>
        <v/>
      </c>
      <c r="J523" s="5" t="str">
        <f t="shared" si="41"/>
        <v/>
      </c>
      <c r="K523" s="17">
        <f t="shared" si="42"/>
        <v>0</v>
      </c>
      <c r="L523" s="17">
        <f>IF(B523="",0,COUNTIFS(Changements!$A:$A,A523,Changements!$D:$D,B523)+IF(E523="Oui",1,0))</f>
        <v>0</v>
      </c>
      <c r="M523" s="17">
        <f>IF(B523="",0,COUNTIFS(Changements!$A:$A,A523,Changements!$C:$C,B523))</f>
        <v>0</v>
      </c>
      <c r="N523" s="17">
        <f>IF(B523="",0,SUMIFS(Changements!$B:$B,Changements!$A:$A,A523,Changements!$D:$D,B523))</f>
        <v>0</v>
      </c>
      <c r="O523" s="17">
        <f>IF(B523="",0,SUMIFS(Changements!$B:$B,Changements!$A:$A,A523,Changements!$C:$C,B523)+IF(L523&gt;M523,IFERROR(INDEX(Matchs!$F$4:$F$31,MATCH(A523,Matchs!$A$4:$A$31,0)),0),0))</f>
        <v>0</v>
      </c>
      <c r="P523" s="17">
        <f t="shared" si="43"/>
        <v>0</v>
      </c>
      <c r="Q523" s="17">
        <f t="shared" si="44"/>
        <v>0</v>
      </c>
    </row>
    <row r="524" spans="1:17" ht="15" customHeight="1" x14ac:dyDescent="0.25">
      <c r="A524" s="5">
        <f t="shared" si="40"/>
        <v>22</v>
      </c>
      <c r="B524" s="5" t="str">
        <f>INDEX('Effectif Saison'!$E$4:$E$22,17)</f>
        <v>Malo KELLER</v>
      </c>
      <c r="C524" s="4"/>
      <c r="D524" s="4"/>
      <c r="E524" s="4"/>
      <c r="F524" s="17" t="str">
        <f>IF(B524="","",IF(AND(E524="Oui",COUNTIFS(Changements!$A:$A,A524,Changements!$D:$D,B524)&gt;0),"⚠ Titulaire+entrée ?",IF(ABS(L524-M524)&gt;1,"⚠ vérifier","")))</f>
        <v/>
      </c>
      <c r="G524" s="5" t="str">
        <f>IF(B524="","",IFERROR(INDEX('Effectif Saison'!$D$4:$D$51,MATCH(B524,'Effectif Saison'!$E$4:$E$51,0)),""))</f>
        <v>Équipe 1</v>
      </c>
      <c r="H524" s="17" t="str">
        <f>IF(L524=0,"",IF(E524="Oui",0,IFERROR(_xlfn.MINIFS(Changements!$B:$B,Changements!$A:$A,A524,Changements!$D:$D,B524),"")))</f>
        <v/>
      </c>
      <c r="I524" s="17" t="str">
        <f>IF(M524=0,"",IFERROR(_xlfn.MAXIFS(Changements!$B:$B,Changements!$A:$A,A524,Changements!$C:$C,B524),""))</f>
        <v/>
      </c>
      <c r="J524" s="5" t="str">
        <f t="shared" si="41"/>
        <v/>
      </c>
      <c r="K524" s="17">
        <f t="shared" si="42"/>
        <v>0</v>
      </c>
      <c r="L524" s="17">
        <f>IF(B524="",0,COUNTIFS(Changements!$A:$A,A524,Changements!$D:$D,B524)+IF(E524="Oui",1,0))</f>
        <v>0</v>
      </c>
      <c r="M524" s="17">
        <f>IF(B524="",0,COUNTIFS(Changements!$A:$A,A524,Changements!$C:$C,B524))</f>
        <v>0</v>
      </c>
      <c r="N524" s="17">
        <f>IF(B524="",0,SUMIFS(Changements!$B:$B,Changements!$A:$A,A524,Changements!$D:$D,B524))</f>
        <v>0</v>
      </c>
      <c r="O524" s="17">
        <f>IF(B524="",0,SUMIFS(Changements!$B:$B,Changements!$A:$A,A524,Changements!$C:$C,B524)+IF(L524&gt;M524,IFERROR(INDEX(Matchs!$F$4:$F$31,MATCH(A524,Matchs!$A$4:$A$31,0)),0),0))</f>
        <v>0</v>
      </c>
      <c r="P524" s="17">
        <f t="shared" si="43"/>
        <v>0</v>
      </c>
      <c r="Q524" s="17">
        <f t="shared" si="44"/>
        <v>0</v>
      </c>
    </row>
    <row r="525" spans="1:17" ht="15" customHeight="1" x14ac:dyDescent="0.25">
      <c r="A525" s="5">
        <f t="shared" si="40"/>
        <v>22</v>
      </c>
      <c r="B525" s="5" t="str">
        <f>INDEX('Effectif Saison'!$E$4:$E$22,18)</f>
        <v>Tom SCHILLER</v>
      </c>
      <c r="C525" s="4"/>
      <c r="D525" s="4"/>
      <c r="E525" s="4"/>
      <c r="F525" s="17" t="str">
        <f>IF(B525="","",IF(AND(E525="Oui",COUNTIFS(Changements!$A:$A,A525,Changements!$D:$D,B525)&gt;0),"⚠ Titulaire+entrée ?",IF(ABS(L525-M525)&gt;1,"⚠ vérifier","")))</f>
        <v/>
      </c>
      <c r="G525" s="5" t="str">
        <f>IF(B525="","",IFERROR(INDEX('Effectif Saison'!$D$4:$D$51,MATCH(B525,'Effectif Saison'!$E$4:$E$51,0)),""))</f>
        <v>Équipe 1</v>
      </c>
      <c r="H525" s="17" t="str">
        <f>IF(L525=0,"",IF(E525="Oui",0,IFERROR(_xlfn.MINIFS(Changements!$B:$B,Changements!$A:$A,A525,Changements!$D:$D,B525),"")))</f>
        <v/>
      </c>
      <c r="I525" s="17" t="str">
        <f>IF(M525=0,"",IFERROR(_xlfn.MAXIFS(Changements!$B:$B,Changements!$A:$A,A525,Changements!$C:$C,B525),""))</f>
        <v/>
      </c>
      <c r="J525" s="5" t="str">
        <f t="shared" si="41"/>
        <v/>
      </c>
      <c r="K525" s="17">
        <f t="shared" si="42"/>
        <v>0</v>
      </c>
      <c r="L525" s="17">
        <f>IF(B525="",0,COUNTIFS(Changements!$A:$A,A525,Changements!$D:$D,B525)+IF(E525="Oui",1,0))</f>
        <v>0</v>
      </c>
      <c r="M525" s="17">
        <f>IF(B525="",0,COUNTIFS(Changements!$A:$A,A525,Changements!$C:$C,B525))</f>
        <v>0</v>
      </c>
      <c r="N525" s="17">
        <f>IF(B525="",0,SUMIFS(Changements!$B:$B,Changements!$A:$A,A525,Changements!$D:$D,B525))</f>
        <v>0</v>
      </c>
      <c r="O525" s="17">
        <f>IF(B525="",0,SUMIFS(Changements!$B:$B,Changements!$A:$A,A525,Changements!$C:$C,B525)+IF(L525&gt;M525,IFERROR(INDEX(Matchs!$F$4:$F$31,MATCH(A525,Matchs!$A$4:$A$31,0)),0),0))</f>
        <v>0</v>
      </c>
      <c r="P525" s="17">
        <f t="shared" si="43"/>
        <v>0</v>
      </c>
      <c r="Q525" s="17">
        <f t="shared" si="44"/>
        <v>0</v>
      </c>
    </row>
    <row r="526" spans="1:17" ht="15" customHeight="1" x14ac:dyDescent="0.25">
      <c r="A526" s="5">
        <f t="shared" si="40"/>
        <v>22</v>
      </c>
      <c r="B526" s="5" t="str">
        <f>INDEX('Effectif Saison'!$E$4:$E$22,19)</f>
        <v>Eliot LEIBY</v>
      </c>
      <c r="C526" s="4"/>
      <c r="D526" s="4"/>
      <c r="E526" s="4"/>
      <c r="F526" s="17" t="str">
        <f>IF(B526="","",IF(AND(E526="Oui",COUNTIFS(Changements!$A:$A,A526,Changements!$D:$D,B526)&gt;0),"⚠ Titulaire+entrée ?",IF(ABS(L526-M526)&gt;1,"⚠ vérifier","")))</f>
        <v/>
      </c>
      <c r="G526" s="5" t="str">
        <f>IF(B526="","",IFERROR(INDEX('Effectif Saison'!$D$4:$D$51,MATCH(B526,'Effectif Saison'!$E$4:$E$51,0)),""))</f>
        <v>Équipe 1</v>
      </c>
      <c r="H526" s="17" t="str">
        <f>IF(L526=0,"",IF(E526="Oui",0,IFERROR(_xlfn.MINIFS(Changements!$B:$B,Changements!$A:$A,A526,Changements!$D:$D,B526),"")))</f>
        <v/>
      </c>
      <c r="I526" s="17" t="str">
        <f>IF(M526=0,"",IFERROR(_xlfn.MAXIFS(Changements!$B:$B,Changements!$A:$A,A526,Changements!$C:$C,B526),""))</f>
        <v/>
      </c>
      <c r="J526" s="5" t="str">
        <f t="shared" si="41"/>
        <v/>
      </c>
      <c r="K526" s="17">
        <f t="shared" si="42"/>
        <v>0</v>
      </c>
      <c r="L526" s="17">
        <f>IF(B526="",0,COUNTIFS(Changements!$A:$A,A526,Changements!$D:$D,B526)+IF(E526="Oui",1,0))</f>
        <v>0</v>
      </c>
      <c r="M526" s="17">
        <f>IF(B526="",0,COUNTIFS(Changements!$A:$A,A526,Changements!$C:$C,B526))</f>
        <v>0</v>
      </c>
      <c r="N526" s="17">
        <f>IF(B526="",0,SUMIFS(Changements!$B:$B,Changements!$A:$A,A526,Changements!$D:$D,B526))</f>
        <v>0</v>
      </c>
      <c r="O526" s="17">
        <f>IF(B526="",0,SUMIFS(Changements!$B:$B,Changements!$A:$A,A526,Changements!$C:$C,B526)+IF(L526&gt;M526,IFERROR(INDEX(Matchs!$F$4:$F$31,MATCH(A526,Matchs!$A$4:$A$31,0)),0),0))</f>
        <v>0</v>
      </c>
      <c r="P526" s="17">
        <f t="shared" si="43"/>
        <v>0</v>
      </c>
      <c r="Q526" s="17">
        <f t="shared" si="44"/>
        <v>0</v>
      </c>
    </row>
    <row r="527" spans="1:17" ht="15" customHeight="1" x14ac:dyDescent="0.25">
      <c r="A527" s="5">
        <f t="shared" si="40"/>
        <v>22</v>
      </c>
      <c r="B527" s="4"/>
      <c r="C527" s="4"/>
      <c r="D527" s="4"/>
      <c r="E527" s="4"/>
      <c r="F527" s="17" t="str">
        <f>IF(B527="","",IF(AND(E527="Oui",COUNTIFS(Changements!$A:$A,A527,Changements!$D:$D,B527)&gt;0),"⚠ Titulaire+entrée ?",IF(ABS(L527-M527)&gt;1,"⚠ vérifier","")))</f>
        <v/>
      </c>
      <c r="G527" s="5" t="str">
        <f>IF(B527="","",IFERROR(INDEX('Effectif Saison'!$D$4:$D$51,MATCH(B527,'Effectif Saison'!$E$4:$E$51,0)),""))</f>
        <v/>
      </c>
      <c r="H527" s="17" t="str">
        <f>IF(L527=0,"",IF(E527="Oui",0,IFERROR(_xlfn.MINIFS(Changements!$B:$B,Changements!$A:$A,A527,Changements!$D:$D,B527),"")))</f>
        <v/>
      </c>
      <c r="I527" s="17" t="str">
        <f>IF(M527=0,"",IFERROR(_xlfn.MAXIFS(Changements!$B:$B,Changements!$A:$A,A527,Changements!$C:$C,B527),""))</f>
        <v/>
      </c>
      <c r="J527" s="5" t="str">
        <f t="shared" si="41"/>
        <v/>
      </c>
      <c r="K527" s="17">
        <f t="shared" si="42"/>
        <v>0</v>
      </c>
      <c r="L527" s="17">
        <f>IF(B527="",0,COUNTIFS(Changements!$A:$A,A527,Changements!$D:$D,B527)+IF(E527="Oui",1,0))</f>
        <v>0</v>
      </c>
      <c r="M527" s="17">
        <f>IF(B527="",0,COUNTIFS(Changements!$A:$A,A527,Changements!$C:$C,B527))</f>
        <v>0</v>
      </c>
      <c r="N527" s="17">
        <f>IF(B527="",0,SUMIFS(Changements!$B:$B,Changements!$A:$A,A527,Changements!$D:$D,B527))</f>
        <v>0</v>
      </c>
      <c r="O527" s="17">
        <f>IF(B527="",0,SUMIFS(Changements!$B:$B,Changements!$A:$A,A527,Changements!$C:$C,B527)+IF(L527&gt;M527,IFERROR(INDEX(Matchs!$F$4:$F$31,MATCH(A527,Matchs!$A$4:$A$31,0)),0),0))</f>
        <v>0</v>
      </c>
      <c r="P527" s="17">
        <f t="shared" si="43"/>
        <v>0</v>
      </c>
      <c r="Q527" s="17">
        <f t="shared" si="44"/>
        <v>0</v>
      </c>
    </row>
    <row r="528" spans="1:17" ht="15" customHeight="1" x14ac:dyDescent="0.25">
      <c r="A528" s="5">
        <f t="shared" si="40"/>
        <v>22</v>
      </c>
      <c r="B528" s="4"/>
      <c r="C528" s="4"/>
      <c r="D528" s="4"/>
      <c r="E528" s="4"/>
      <c r="F528" s="17" t="str">
        <f>IF(B528="","",IF(AND(E528="Oui",COUNTIFS(Changements!$A:$A,A528,Changements!$D:$D,B528)&gt;0),"⚠ Titulaire+entrée ?",IF(ABS(L528-M528)&gt;1,"⚠ vérifier","")))</f>
        <v/>
      </c>
      <c r="G528" s="5" t="str">
        <f>IF(B528="","",IFERROR(INDEX('Effectif Saison'!$D$4:$D$51,MATCH(B528,'Effectif Saison'!$E$4:$E$51,0)),""))</f>
        <v/>
      </c>
      <c r="H528" s="17" t="str">
        <f>IF(L528=0,"",IF(E528="Oui",0,IFERROR(_xlfn.MINIFS(Changements!$B:$B,Changements!$A:$A,A528,Changements!$D:$D,B528),"")))</f>
        <v/>
      </c>
      <c r="I528" s="17" t="str">
        <f>IF(M528=0,"",IFERROR(_xlfn.MAXIFS(Changements!$B:$B,Changements!$A:$A,A528,Changements!$C:$C,B528),""))</f>
        <v/>
      </c>
      <c r="J528" s="5" t="str">
        <f t="shared" si="41"/>
        <v/>
      </c>
      <c r="K528" s="17">
        <f t="shared" si="42"/>
        <v>0</v>
      </c>
      <c r="L528" s="17">
        <f>IF(B528="",0,COUNTIFS(Changements!$A:$A,A528,Changements!$D:$D,B528)+IF(E528="Oui",1,0))</f>
        <v>0</v>
      </c>
      <c r="M528" s="17">
        <f>IF(B528="",0,COUNTIFS(Changements!$A:$A,A528,Changements!$C:$C,B528))</f>
        <v>0</v>
      </c>
      <c r="N528" s="17">
        <f>IF(B528="",0,SUMIFS(Changements!$B:$B,Changements!$A:$A,A528,Changements!$D:$D,B528))</f>
        <v>0</v>
      </c>
      <c r="O528" s="17">
        <f>IF(B528="",0,SUMIFS(Changements!$B:$B,Changements!$A:$A,A528,Changements!$C:$C,B528)+IF(L528&gt;M528,IFERROR(INDEX(Matchs!$F$4:$F$31,MATCH(A528,Matchs!$A$4:$A$31,0)),0),0))</f>
        <v>0</v>
      </c>
      <c r="P528" s="17">
        <f t="shared" si="43"/>
        <v>0</v>
      </c>
      <c r="Q528" s="17">
        <f t="shared" si="44"/>
        <v>0</v>
      </c>
    </row>
    <row r="529" spans="1:17" ht="15" customHeight="1" x14ac:dyDescent="0.25">
      <c r="A529" s="5">
        <f t="shared" si="40"/>
        <v>22</v>
      </c>
      <c r="B529" s="4"/>
      <c r="C529" s="4"/>
      <c r="D529" s="4"/>
      <c r="E529" s="4"/>
      <c r="F529" s="17" t="str">
        <f>IF(B529="","",IF(AND(E529="Oui",COUNTIFS(Changements!$A:$A,A529,Changements!$D:$D,B529)&gt;0),"⚠ Titulaire+entrée ?",IF(ABS(L529-M529)&gt;1,"⚠ vérifier","")))</f>
        <v/>
      </c>
      <c r="G529" s="5" t="str">
        <f>IF(B529="","",IFERROR(INDEX('Effectif Saison'!$D$4:$D$51,MATCH(B529,'Effectif Saison'!$E$4:$E$51,0)),""))</f>
        <v/>
      </c>
      <c r="H529" s="17" t="str">
        <f>IF(L529=0,"",IF(E529="Oui",0,IFERROR(_xlfn.MINIFS(Changements!$B:$B,Changements!$A:$A,A529,Changements!$D:$D,B529),"")))</f>
        <v/>
      </c>
      <c r="I529" s="17" t="str">
        <f>IF(M529=0,"",IFERROR(_xlfn.MAXIFS(Changements!$B:$B,Changements!$A:$A,A529,Changements!$C:$C,B529),""))</f>
        <v/>
      </c>
      <c r="J529" s="5" t="str">
        <f t="shared" si="41"/>
        <v/>
      </c>
      <c r="K529" s="17">
        <f t="shared" si="42"/>
        <v>0</v>
      </c>
      <c r="L529" s="17">
        <f>IF(B529="",0,COUNTIFS(Changements!$A:$A,A529,Changements!$D:$D,B529)+IF(E529="Oui",1,0))</f>
        <v>0</v>
      </c>
      <c r="M529" s="17">
        <f>IF(B529="",0,COUNTIFS(Changements!$A:$A,A529,Changements!$C:$C,B529))</f>
        <v>0</v>
      </c>
      <c r="N529" s="17">
        <f>IF(B529="",0,SUMIFS(Changements!$B:$B,Changements!$A:$A,A529,Changements!$D:$D,B529))</f>
        <v>0</v>
      </c>
      <c r="O529" s="17">
        <f>IF(B529="",0,SUMIFS(Changements!$B:$B,Changements!$A:$A,A529,Changements!$C:$C,B529)+IF(L529&gt;M529,IFERROR(INDEX(Matchs!$F$4:$F$31,MATCH(A529,Matchs!$A$4:$A$31,0)),0),0))</f>
        <v>0</v>
      </c>
      <c r="P529" s="17">
        <f t="shared" si="43"/>
        <v>0</v>
      </c>
      <c r="Q529" s="17">
        <f t="shared" si="44"/>
        <v>0</v>
      </c>
    </row>
    <row r="530" spans="1:17" ht="15" customHeight="1" x14ac:dyDescent="0.25">
      <c r="A530" s="5">
        <f t="shared" si="40"/>
        <v>22</v>
      </c>
      <c r="B530" s="4"/>
      <c r="C530" s="4"/>
      <c r="D530" s="4"/>
      <c r="E530" s="4"/>
      <c r="F530" s="17" t="str">
        <f>IF(B530="","",IF(AND(E530="Oui",COUNTIFS(Changements!$A:$A,A530,Changements!$D:$D,B530)&gt;0),"⚠ Titulaire+entrée ?",IF(ABS(L530-M530)&gt;1,"⚠ vérifier","")))</f>
        <v/>
      </c>
      <c r="G530" s="5" t="str">
        <f>IF(B530="","",IFERROR(INDEX('Effectif Saison'!$D$4:$D$51,MATCH(B530,'Effectif Saison'!$E$4:$E$51,0)),""))</f>
        <v/>
      </c>
      <c r="H530" s="17" t="str">
        <f>IF(L530=0,"",IF(E530="Oui",0,IFERROR(_xlfn.MINIFS(Changements!$B:$B,Changements!$A:$A,A530,Changements!$D:$D,B530),"")))</f>
        <v/>
      </c>
      <c r="I530" s="17" t="str">
        <f>IF(M530=0,"",IFERROR(_xlfn.MAXIFS(Changements!$B:$B,Changements!$A:$A,A530,Changements!$C:$C,B530),""))</f>
        <v/>
      </c>
      <c r="J530" s="5" t="str">
        <f t="shared" si="41"/>
        <v/>
      </c>
      <c r="K530" s="17">
        <f t="shared" si="42"/>
        <v>0</v>
      </c>
      <c r="L530" s="17">
        <f>IF(B530="",0,COUNTIFS(Changements!$A:$A,A530,Changements!$D:$D,B530)+IF(E530="Oui",1,0))</f>
        <v>0</v>
      </c>
      <c r="M530" s="17">
        <f>IF(B530="",0,COUNTIFS(Changements!$A:$A,A530,Changements!$C:$C,B530))</f>
        <v>0</v>
      </c>
      <c r="N530" s="17">
        <f>IF(B530="",0,SUMIFS(Changements!$B:$B,Changements!$A:$A,A530,Changements!$D:$D,B530))</f>
        <v>0</v>
      </c>
      <c r="O530" s="17">
        <f>IF(B530="",0,SUMIFS(Changements!$B:$B,Changements!$A:$A,A530,Changements!$C:$C,B530)+IF(L530&gt;M530,IFERROR(INDEX(Matchs!$F$4:$F$31,MATCH(A530,Matchs!$A$4:$A$31,0)),0),0))</f>
        <v>0</v>
      </c>
      <c r="P530" s="17">
        <f t="shared" si="43"/>
        <v>0</v>
      </c>
      <c r="Q530" s="17">
        <f t="shared" si="44"/>
        <v>0</v>
      </c>
    </row>
    <row r="531" spans="1:17" ht="15" customHeight="1" x14ac:dyDescent="0.25">
      <c r="A531" s="5">
        <f t="shared" si="40"/>
        <v>22</v>
      </c>
      <c r="B531" s="4"/>
      <c r="C531" s="4"/>
      <c r="D531" s="4"/>
      <c r="E531" s="4"/>
      <c r="F531" s="17" t="str">
        <f>IF(B531="","",IF(AND(E531="Oui",COUNTIFS(Changements!$A:$A,A531,Changements!$D:$D,B531)&gt;0),"⚠ Titulaire+entrée ?",IF(ABS(L531-M531)&gt;1,"⚠ vérifier","")))</f>
        <v/>
      </c>
      <c r="G531" s="5" t="str">
        <f>IF(B531="","",IFERROR(INDEX('Effectif Saison'!$D$4:$D$51,MATCH(B531,'Effectif Saison'!$E$4:$E$51,0)),""))</f>
        <v/>
      </c>
      <c r="H531" s="17" t="str">
        <f>IF(L531=0,"",IF(E531="Oui",0,IFERROR(_xlfn.MINIFS(Changements!$B:$B,Changements!$A:$A,A531,Changements!$D:$D,B531),"")))</f>
        <v/>
      </c>
      <c r="I531" s="17" t="str">
        <f>IF(M531=0,"",IFERROR(_xlfn.MAXIFS(Changements!$B:$B,Changements!$A:$A,A531,Changements!$C:$C,B531),""))</f>
        <v/>
      </c>
      <c r="J531" s="5" t="str">
        <f t="shared" si="41"/>
        <v/>
      </c>
      <c r="K531" s="17">
        <f t="shared" si="42"/>
        <v>0</v>
      </c>
      <c r="L531" s="17">
        <f>IF(B531="",0,COUNTIFS(Changements!$A:$A,A531,Changements!$D:$D,B531)+IF(E531="Oui",1,0))</f>
        <v>0</v>
      </c>
      <c r="M531" s="17">
        <f>IF(B531="",0,COUNTIFS(Changements!$A:$A,A531,Changements!$C:$C,B531))</f>
        <v>0</v>
      </c>
      <c r="N531" s="17">
        <f>IF(B531="",0,SUMIFS(Changements!$B:$B,Changements!$A:$A,A531,Changements!$D:$D,B531))</f>
        <v>0</v>
      </c>
      <c r="O531" s="17">
        <f>IF(B531="",0,SUMIFS(Changements!$B:$B,Changements!$A:$A,A531,Changements!$C:$C,B531)+IF(L531&gt;M531,IFERROR(INDEX(Matchs!$F$4:$F$31,MATCH(A531,Matchs!$A$4:$A$31,0)),0),0))</f>
        <v>0</v>
      </c>
      <c r="P531" s="17">
        <f t="shared" si="43"/>
        <v>0</v>
      </c>
      <c r="Q531" s="17">
        <f t="shared" si="44"/>
        <v>0</v>
      </c>
    </row>
    <row r="532" spans="1:17" ht="15" customHeight="1" x14ac:dyDescent="0.25">
      <c r="A532" s="5">
        <f t="shared" si="40"/>
        <v>23</v>
      </c>
      <c r="B532" s="5" t="str">
        <f>INDEX('Effectif Saison'!$E$4:$E$22,1)</f>
        <v>Alan MICHON</v>
      </c>
      <c r="C532" s="4"/>
      <c r="D532" s="4"/>
      <c r="E532" s="4"/>
      <c r="F532" s="17" t="str">
        <f>IF(B532="","",IF(AND(E532="Oui",COUNTIFS(Changements!$A:$A,A532,Changements!$D:$D,B532)&gt;0),"⚠ Titulaire+entrée ?",IF(ABS(L532-M532)&gt;1,"⚠ vérifier","")))</f>
        <v/>
      </c>
      <c r="G532" s="5" t="str">
        <f>IF(B532="","",IFERROR(INDEX('Effectif Saison'!$D$4:$D$51,MATCH(B532,'Effectif Saison'!$E$4:$E$51,0)),""))</f>
        <v>Équipe 1</v>
      </c>
      <c r="H532" s="17" t="str">
        <f>IF(L532=0,"",IF(E532="Oui",0,IFERROR(_xlfn.MINIFS(Changements!$B:$B,Changements!$A:$A,A532,Changements!$D:$D,B532),"")))</f>
        <v/>
      </c>
      <c r="I532" s="17" t="str">
        <f>IF(M532=0,"",IFERROR(_xlfn.MAXIFS(Changements!$B:$B,Changements!$A:$A,A532,Changements!$C:$C,B532),""))</f>
        <v/>
      </c>
      <c r="J532" s="5" t="str">
        <f t="shared" si="41"/>
        <v/>
      </c>
      <c r="K532" s="17">
        <f t="shared" si="42"/>
        <v>0</v>
      </c>
      <c r="L532" s="17">
        <f>IF(B532="",0,COUNTIFS(Changements!$A:$A,A532,Changements!$D:$D,B532)+IF(E532="Oui",1,0))</f>
        <v>0</v>
      </c>
      <c r="M532" s="17">
        <f>IF(B532="",0,COUNTIFS(Changements!$A:$A,A532,Changements!$C:$C,B532))</f>
        <v>0</v>
      </c>
      <c r="N532" s="17">
        <f>IF(B532="",0,SUMIFS(Changements!$B:$B,Changements!$A:$A,A532,Changements!$D:$D,B532))</f>
        <v>0</v>
      </c>
      <c r="O532" s="17">
        <f>IF(B532="",0,SUMIFS(Changements!$B:$B,Changements!$A:$A,A532,Changements!$C:$C,B532)+IF(L532&gt;M532,IFERROR(INDEX(Matchs!$F$4:$F$31,MATCH(A532,Matchs!$A$4:$A$31,0)),0),0))</f>
        <v>0</v>
      </c>
      <c r="P532" s="17">
        <f t="shared" si="43"/>
        <v>0</v>
      </c>
      <c r="Q532" s="17">
        <f t="shared" si="44"/>
        <v>0</v>
      </c>
    </row>
    <row r="533" spans="1:17" ht="15" customHeight="1" x14ac:dyDescent="0.25">
      <c r="A533" s="5">
        <f t="shared" si="40"/>
        <v>23</v>
      </c>
      <c r="B533" s="5" t="str">
        <f>INDEX('Effectif Saison'!$E$4:$E$22,2)</f>
        <v>Jean BRUNTZ</v>
      </c>
      <c r="C533" s="4"/>
      <c r="D533" s="4"/>
      <c r="E533" s="4"/>
      <c r="F533" s="17" t="str">
        <f>IF(B533="","",IF(AND(E533="Oui",COUNTIFS(Changements!$A:$A,A533,Changements!$D:$D,B533)&gt;0),"⚠ Titulaire+entrée ?",IF(ABS(L533-M533)&gt;1,"⚠ vérifier","")))</f>
        <v/>
      </c>
      <c r="G533" s="5" t="str">
        <f>IF(B533="","",IFERROR(INDEX('Effectif Saison'!$D$4:$D$51,MATCH(B533,'Effectif Saison'!$E$4:$E$51,0)),""))</f>
        <v>Équipe 1</v>
      </c>
      <c r="H533" s="17" t="str">
        <f>IF(L533=0,"",IF(E533="Oui",0,IFERROR(_xlfn.MINIFS(Changements!$B:$B,Changements!$A:$A,A533,Changements!$D:$D,B533),"")))</f>
        <v/>
      </c>
      <c r="I533" s="17" t="str">
        <f>IF(M533=0,"",IFERROR(_xlfn.MAXIFS(Changements!$B:$B,Changements!$A:$A,A533,Changements!$C:$C,B533),""))</f>
        <v/>
      </c>
      <c r="J533" s="5" t="str">
        <f t="shared" si="41"/>
        <v/>
      </c>
      <c r="K533" s="17">
        <f t="shared" si="42"/>
        <v>0</v>
      </c>
      <c r="L533" s="17">
        <f>IF(B533="",0,COUNTIFS(Changements!$A:$A,A533,Changements!$D:$D,B533)+IF(E533="Oui",1,0))</f>
        <v>0</v>
      </c>
      <c r="M533" s="17">
        <f>IF(B533="",0,COUNTIFS(Changements!$A:$A,A533,Changements!$C:$C,B533))</f>
        <v>0</v>
      </c>
      <c r="N533" s="17">
        <f>IF(B533="",0,SUMIFS(Changements!$B:$B,Changements!$A:$A,A533,Changements!$D:$D,B533))</f>
        <v>0</v>
      </c>
      <c r="O533" s="17">
        <f>IF(B533="",0,SUMIFS(Changements!$B:$B,Changements!$A:$A,A533,Changements!$C:$C,B533)+IF(L533&gt;M533,IFERROR(INDEX(Matchs!$F$4:$F$31,MATCH(A533,Matchs!$A$4:$A$31,0)),0),0))</f>
        <v>0</v>
      </c>
      <c r="P533" s="17">
        <f t="shared" si="43"/>
        <v>0</v>
      </c>
      <c r="Q533" s="17">
        <f t="shared" si="44"/>
        <v>0</v>
      </c>
    </row>
    <row r="534" spans="1:17" ht="15" customHeight="1" x14ac:dyDescent="0.25">
      <c r="A534" s="5">
        <f t="shared" si="40"/>
        <v>23</v>
      </c>
      <c r="B534" s="5" t="str">
        <f>INDEX('Effectif Saison'!$E$4:$E$22,3)</f>
        <v>Marouane SBK</v>
      </c>
      <c r="C534" s="4"/>
      <c r="D534" s="4"/>
      <c r="E534" s="4"/>
      <c r="F534" s="17" t="str">
        <f>IF(B534="","",IF(AND(E534="Oui",COUNTIFS(Changements!$A:$A,A534,Changements!$D:$D,B534)&gt;0),"⚠ Titulaire+entrée ?",IF(ABS(L534-M534)&gt;1,"⚠ vérifier","")))</f>
        <v/>
      </c>
      <c r="G534" s="5" t="str">
        <f>IF(B534="","",IFERROR(INDEX('Effectif Saison'!$D$4:$D$51,MATCH(B534,'Effectif Saison'!$E$4:$E$51,0)),""))</f>
        <v>Équipe 1</v>
      </c>
      <c r="H534" s="17" t="str">
        <f>IF(L534=0,"",IF(E534="Oui",0,IFERROR(_xlfn.MINIFS(Changements!$B:$B,Changements!$A:$A,A534,Changements!$D:$D,B534),"")))</f>
        <v/>
      </c>
      <c r="I534" s="17" t="str">
        <f>IF(M534=0,"",IFERROR(_xlfn.MAXIFS(Changements!$B:$B,Changements!$A:$A,A534,Changements!$C:$C,B534),""))</f>
        <v/>
      </c>
      <c r="J534" s="5" t="str">
        <f t="shared" si="41"/>
        <v/>
      </c>
      <c r="K534" s="17">
        <f t="shared" si="42"/>
        <v>0</v>
      </c>
      <c r="L534" s="17">
        <f>IF(B534="",0,COUNTIFS(Changements!$A:$A,A534,Changements!$D:$D,B534)+IF(E534="Oui",1,0))</f>
        <v>0</v>
      </c>
      <c r="M534" s="17">
        <f>IF(B534="",0,COUNTIFS(Changements!$A:$A,A534,Changements!$C:$C,B534))</f>
        <v>0</v>
      </c>
      <c r="N534" s="17">
        <f>IF(B534="",0,SUMIFS(Changements!$B:$B,Changements!$A:$A,A534,Changements!$D:$D,B534))</f>
        <v>0</v>
      </c>
      <c r="O534" s="17">
        <f>IF(B534="",0,SUMIFS(Changements!$B:$B,Changements!$A:$A,A534,Changements!$C:$C,B534)+IF(L534&gt;M534,IFERROR(INDEX(Matchs!$F$4:$F$31,MATCH(A534,Matchs!$A$4:$A$31,0)),0),0))</f>
        <v>0</v>
      </c>
      <c r="P534" s="17">
        <f t="shared" si="43"/>
        <v>0</v>
      </c>
      <c r="Q534" s="17">
        <f t="shared" si="44"/>
        <v>0</v>
      </c>
    </row>
    <row r="535" spans="1:17" ht="15" customHeight="1" x14ac:dyDescent="0.25">
      <c r="A535" s="5">
        <f t="shared" si="40"/>
        <v>23</v>
      </c>
      <c r="B535" s="5" t="str">
        <f>INDEX('Effectif Saison'!$E$4:$E$22,4)</f>
        <v>Noé BIHL</v>
      </c>
      <c r="C535" s="4"/>
      <c r="D535" s="4"/>
      <c r="E535" s="4"/>
      <c r="F535" s="17" t="str">
        <f>IF(B535="","",IF(AND(E535="Oui",COUNTIFS(Changements!$A:$A,A535,Changements!$D:$D,B535)&gt;0),"⚠ Titulaire+entrée ?",IF(ABS(L535-M535)&gt;1,"⚠ vérifier","")))</f>
        <v/>
      </c>
      <c r="G535" s="5" t="str">
        <f>IF(B535="","",IFERROR(INDEX('Effectif Saison'!$D$4:$D$51,MATCH(B535,'Effectif Saison'!$E$4:$E$51,0)),""))</f>
        <v>Équipe 1</v>
      </c>
      <c r="H535" s="17" t="str">
        <f>IF(L535=0,"",IF(E535="Oui",0,IFERROR(_xlfn.MINIFS(Changements!$B:$B,Changements!$A:$A,A535,Changements!$D:$D,B535),"")))</f>
        <v/>
      </c>
      <c r="I535" s="17" t="str">
        <f>IF(M535=0,"",IFERROR(_xlfn.MAXIFS(Changements!$B:$B,Changements!$A:$A,A535,Changements!$C:$C,B535),""))</f>
        <v/>
      </c>
      <c r="J535" s="5" t="str">
        <f t="shared" si="41"/>
        <v/>
      </c>
      <c r="K535" s="17">
        <f t="shared" si="42"/>
        <v>0</v>
      </c>
      <c r="L535" s="17">
        <f>IF(B535="",0,COUNTIFS(Changements!$A:$A,A535,Changements!$D:$D,B535)+IF(E535="Oui",1,0))</f>
        <v>0</v>
      </c>
      <c r="M535" s="17">
        <f>IF(B535="",0,COUNTIFS(Changements!$A:$A,A535,Changements!$C:$C,B535))</f>
        <v>0</v>
      </c>
      <c r="N535" s="17">
        <f>IF(B535="",0,SUMIFS(Changements!$B:$B,Changements!$A:$A,A535,Changements!$D:$D,B535))</f>
        <v>0</v>
      </c>
      <c r="O535" s="17">
        <f>IF(B535="",0,SUMIFS(Changements!$B:$B,Changements!$A:$A,A535,Changements!$C:$C,B535)+IF(L535&gt;M535,IFERROR(INDEX(Matchs!$F$4:$F$31,MATCH(A535,Matchs!$A$4:$A$31,0)),0),0))</f>
        <v>0</v>
      </c>
      <c r="P535" s="17">
        <f t="shared" si="43"/>
        <v>0</v>
      </c>
      <c r="Q535" s="17">
        <f t="shared" si="44"/>
        <v>0</v>
      </c>
    </row>
    <row r="536" spans="1:17" ht="15" customHeight="1" x14ac:dyDescent="0.25">
      <c r="A536" s="5">
        <f t="shared" si="40"/>
        <v>23</v>
      </c>
      <c r="B536" s="5" t="str">
        <f>INDEX('Effectif Saison'!$E$4:$E$22,5)</f>
        <v>Luca COLAIANNI</v>
      </c>
      <c r="C536" s="4"/>
      <c r="D536" s="4"/>
      <c r="E536" s="4"/>
      <c r="F536" s="17" t="str">
        <f>IF(B536="","",IF(AND(E536="Oui",COUNTIFS(Changements!$A:$A,A536,Changements!$D:$D,B536)&gt;0),"⚠ Titulaire+entrée ?",IF(ABS(L536-M536)&gt;1,"⚠ vérifier","")))</f>
        <v/>
      </c>
      <c r="G536" s="5" t="str">
        <f>IF(B536="","",IFERROR(INDEX('Effectif Saison'!$D$4:$D$51,MATCH(B536,'Effectif Saison'!$E$4:$E$51,0)),""))</f>
        <v>Équipe 1</v>
      </c>
      <c r="H536" s="17" t="str">
        <f>IF(L536=0,"",IF(E536="Oui",0,IFERROR(_xlfn.MINIFS(Changements!$B:$B,Changements!$A:$A,A536,Changements!$D:$D,B536),"")))</f>
        <v/>
      </c>
      <c r="I536" s="17" t="str">
        <f>IF(M536=0,"",IFERROR(_xlfn.MAXIFS(Changements!$B:$B,Changements!$A:$A,A536,Changements!$C:$C,B536),""))</f>
        <v/>
      </c>
      <c r="J536" s="5" t="str">
        <f t="shared" si="41"/>
        <v/>
      </c>
      <c r="K536" s="17">
        <f t="shared" si="42"/>
        <v>0</v>
      </c>
      <c r="L536" s="17">
        <f>IF(B536="",0,COUNTIFS(Changements!$A:$A,A536,Changements!$D:$D,B536)+IF(E536="Oui",1,0))</f>
        <v>0</v>
      </c>
      <c r="M536" s="17">
        <f>IF(B536="",0,COUNTIFS(Changements!$A:$A,A536,Changements!$C:$C,B536))</f>
        <v>0</v>
      </c>
      <c r="N536" s="17">
        <f>IF(B536="",0,SUMIFS(Changements!$B:$B,Changements!$A:$A,A536,Changements!$D:$D,B536))</f>
        <v>0</v>
      </c>
      <c r="O536" s="17">
        <f>IF(B536="",0,SUMIFS(Changements!$B:$B,Changements!$A:$A,A536,Changements!$C:$C,B536)+IF(L536&gt;M536,IFERROR(INDEX(Matchs!$F$4:$F$31,MATCH(A536,Matchs!$A$4:$A$31,0)),0),0))</f>
        <v>0</v>
      </c>
      <c r="P536" s="17">
        <f t="shared" si="43"/>
        <v>0</v>
      </c>
      <c r="Q536" s="17">
        <f t="shared" si="44"/>
        <v>0</v>
      </c>
    </row>
    <row r="537" spans="1:17" ht="15" customHeight="1" x14ac:dyDescent="0.25">
      <c r="A537" s="5">
        <f t="shared" si="40"/>
        <v>23</v>
      </c>
      <c r="B537" s="5" t="str">
        <f>INDEX('Effectif Saison'!$E$4:$E$22,6)</f>
        <v>Atilla ER</v>
      </c>
      <c r="C537" s="4"/>
      <c r="D537" s="4"/>
      <c r="E537" s="4"/>
      <c r="F537" s="17" t="str">
        <f>IF(B537="","",IF(AND(E537="Oui",COUNTIFS(Changements!$A:$A,A537,Changements!$D:$D,B537)&gt;0),"⚠ Titulaire+entrée ?",IF(ABS(L537-M537)&gt;1,"⚠ vérifier","")))</f>
        <v/>
      </c>
      <c r="G537" s="5" t="str">
        <f>IF(B537="","",IFERROR(INDEX('Effectif Saison'!$D$4:$D$51,MATCH(B537,'Effectif Saison'!$E$4:$E$51,0)),""))</f>
        <v>Équipe 1</v>
      </c>
      <c r="H537" s="17" t="str">
        <f>IF(L537=0,"",IF(E537="Oui",0,IFERROR(_xlfn.MINIFS(Changements!$B:$B,Changements!$A:$A,A537,Changements!$D:$D,B537),"")))</f>
        <v/>
      </c>
      <c r="I537" s="17" t="str">
        <f>IF(M537=0,"",IFERROR(_xlfn.MAXIFS(Changements!$B:$B,Changements!$A:$A,A537,Changements!$C:$C,B537),""))</f>
        <v/>
      </c>
      <c r="J537" s="5" t="str">
        <f t="shared" si="41"/>
        <v/>
      </c>
      <c r="K537" s="17">
        <f t="shared" si="42"/>
        <v>0</v>
      </c>
      <c r="L537" s="17">
        <f>IF(B537="",0,COUNTIFS(Changements!$A:$A,A537,Changements!$D:$D,B537)+IF(E537="Oui",1,0))</f>
        <v>0</v>
      </c>
      <c r="M537" s="17">
        <f>IF(B537="",0,COUNTIFS(Changements!$A:$A,A537,Changements!$C:$C,B537))</f>
        <v>0</v>
      </c>
      <c r="N537" s="17">
        <f>IF(B537="",0,SUMIFS(Changements!$B:$B,Changements!$A:$A,A537,Changements!$D:$D,B537))</f>
        <v>0</v>
      </c>
      <c r="O537" s="17">
        <f>IF(B537="",0,SUMIFS(Changements!$B:$B,Changements!$A:$A,A537,Changements!$C:$C,B537)+IF(L537&gt;M537,IFERROR(INDEX(Matchs!$F$4:$F$31,MATCH(A537,Matchs!$A$4:$A$31,0)),0),0))</f>
        <v>0</v>
      </c>
      <c r="P537" s="17">
        <f t="shared" si="43"/>
        <v>0</v>
      </c>
      <c r="Q537" s="17">
        <f t="shared" si="44"/>
        <v>0</v>
      </c>
    </row>
    <row r="538" spans="1:17" ht="15" customHeight="1" x14ac:dyDescent="0.25">
      <c r="A538" s="5">
        <f t="shared" si="40"/>
        <v>23</v>
      </c>
      <c r="B538" s="5" t="str">
        <f>INDEX('Effectif Saison'!$E$4:$E$22,7)</f>
        <v>Lucas BUHR</v>
      </c>
      <c r="C538" s="4"/>
      <c r="D538" s="4"/>
      <c r="E538" s="4"/>
      <c r="F538" s="17" t="str">
        <f>IF(B538="","",IF(AND(E538="Oui",COUNTIFS(Changements!$A:$A,A538,Changements!$D:$D,B538)&gt;0),"⚠ Titulaire+entrée ?",IF(ABS(L538-M538)&gt;1,"⚠ vérifier","")))</f>
        <v/>
      </c>
      <c r="G538" s="5" t="str">
        <f>IF(B538="","",IFERROR(INDEX('Effectif Saison'!$D$4:$D$51,MATCH(B538,'Effectif Saison'!$E$4:$E$51,0)),""))</f>
        <v>Équipe 1</v>
      </c>
      <c r="H538" s="17" t="str">
        <f>IF(L538=0,"",IF(E538="Oui",0,IFERROR(_xlfn.MINIFS(Changements!$B:$B,Changements!$A:$A,A538,Changements!$D:$D,B538),"")))</f>
        <v/>
      </c>
      <c r="I538" s="17" t="str">
        <f>IF(M538=0,"",IFERROR(_xlfn.MAXIFS(Changements!$B:$B,Changements!$A:$A,A538,Changements!$C:$C,B538),""))</f>
        <v/>
      </c>
      <c r="J538" s="5" t="str">
        <f t="shared" si="41"/>
        <v/>
      </c>
      <c r="K538" s="17">
        <f t="shared" si="42"/>
        <v>0</v>
      </c>
      <c r="L538" s="17">
        <f>IF(B538="",0,COUNTIFS(Changements!$A:$A,A538,Changements!$D:$D,B538)+IF(E538="Oui",1,0))</f>
        <v>0</v>
      </c>
      <c r="M538" s="17">
        <f>IF(B538="",0,COUNTIFS(Changements!$A:$A,A538,Changements!$C:$C,B538))</f>
        <v>0</v>
      </c>
      <c r="N538" s="17">
        <f>IF(B538="",0,SUMIFS(Changements!$B:$B,Changements!$A:$A,A538,Changements!$D:$D,B538))</f>
        <v>0</v>
      </c>
      <c r="O538" s="17">
        <f>IF(B538="",0,SUMIFS(Changements!$B:$B,Changements!$A:$A,A538,Changements!$C:$C,B538)+IF(L538&gt;M538,IFERROR(INDEX(Matchs!$F$4:$F$31,MATCH(A538,Matchs!$A$4:$A$31,0)),0),0))</f>
        <v>0</v>
      </c>
      <c r="P538" s="17">
        <f t="shared" si="43"/>
        <v>0</v>
      </c>
      <c r="Q538" s="17">
        <f t="shared" si="44"/>
        <v>0</v>
      </c>
    </row>
    <row r="539" spans="1:17" ht="15" customHeight="1" x14ac:dyDescent="0.25">
      <c r="A539" s="5">
        <f t="shared" si="40"/>
        <v>23</v>
      </c>
      <c r="B539" s="5" t="str">
        <f>INDEX('Effectif Saison'!$E$4:$E$22,8)</f>
        <v>Yanis HOUX</v>
      </c>
      <c r="C539" s="4"/>
      <c r="D539" s="4"/>
      <c r="E539" s="4"/>
      <c r="F539" s="17" t="str">
        <f>IF(B539="","",IF(AND(E539="Oui",COUNTIFS(Changements!$A:$A,A539,Changements!$D:$D,B539)&gt;0),"⚠ Titulaire+entrée ?",IF(ABS(L539-M539)&gt;1,"⚠ vérifier","")))</f>
        <v/>
      </c>
      <c r="G539" s="5" t="str">
        <f>IF(B539="","",IFERROR(INDEX('Effectif Saison'!$D$4:$D$51,MATCH(B539,'Effectif Saison'!$E$4:$E$51,0)),""))</f>
        <v>Équipe 1</v>
      </c>
      <c r="H539" s="17" t="str">
        <f>IF(L539=0,"",IF(E539="Oui",0,IFERROR(_xlfn.MINIFS(Changements!$B:$B,Changements!$A:$A,A539,Changements!$D:$D,B539),"")))</f>
        <v/>
      </c>
      <c r="I539" s="17" t="str">
        <f>IF(M539=0,"",IFERROR(_xlfn.MAXIFS(Changements!$B:$B,Changements!$A:$A,A539,Changements!$C:$C,B539),""))</f>
        <v/>
      </c>
      <c r="J539" s="5" t="str">
        <f t="shared" si="41"/>
        <v/>
      </c>
      <c r="K539" s="17">
        <f t="shared" si="42"/>
        <v>0</v>
      </c>
      <c r="L539" s="17">
        <f>IF(B539="",0,COUNTIFS(Changements!$A:$A,A539,Changements!$D:$D,B539)+IF(E539="Oui",1,0))</f>
        <v>0</v>
      </c>
      <c r="M539" s="17">
        <f>IF(B539="",0,COUNTIFS(Changements!$A:$A,A539,Changements!$C:$C,B539))</f>
        <v>0</v>
      </c>
      <c r="N539" s="17">
        <f>IF(B539="",0,SUMIFS(Changements!$B:$B,Changements!$A:$A,A539,Changements!$D:$D,B539))</f>
        <v>0</v>
      </c>
      <c r="O539" s="17">
        <f>IF(B539="",0,SUMIFS(Changements!$B:$B,Changements!$A:$A,A539,Changements!$C:$C,B539)+IF(L539&gt;M539,IFERROR(INDEX(Matchs!$F$4:$F$31,MATCH(A539,Matchs!$A$4:$A$31,0)),0),0))</f>
        <v>0</v>
      </c>
      <c r="P539" s="17">
        <f t="shared" si="43"/>
        <v>0</v>
      </c>
      <c r="Q539" s="17">
        <f t="shared" si="44"/>
        <v>0</v>
      </c>
    </row>
    <row r="540" spans="1:17" ht="15" customHeight="1" x14ac:dyDescent="0.25">
      <c r="A540" s="5">
        <f t="shared" si="40"/>
        <v>23</v>
      </c>
      <c r="B540" s="5" t="str">
        <f>INDEX('Effectif Saison'!$E$4:$E$22,9)</f>
        <v>Tino COLAIANNI</v>
      </c>
      <c r="C540" s="4"/>
      <c r="D540" s="4"/>
      <c r="E540" s="4"/>
      <c r="F540" s="17" t="str">
        <f>IF(B540="","",IF(AND(E540="Oui",COUNTIFS(Changements!$A:$A,A540,Changements!$D:$D,B540)&gt;0),"⚠ Titulaire+entrée ?",IF(ABS(L540-M540)&gt;1,"⚠ vérifier","")))</f>
        <v/>
      </c>
      <c r="G540" s="5" t="str">
        <f>IF(B540="","",IFERROR(INDEX('Effectif Saison'!$D$4:$D$51,MATCH(B540,'Effectif Saison'!$E$4:$E$51,0)),""))</f>
        <v>Équipe 1</v>
      </c>
      <c r="H540" s="17" t="str">
        <f>IF(L540=0,"",IF(E540="Oui",0,IFERROR(_xlfn.MINIFS(Changements!$B:$B,Changements!$A:$A,A540,Changements!$D:$D,B540),"")))</f>
        <v/>
      </c>
      <c r="I540" s="17" t="str">
        <f>IF(M540=0,"",IFERROR(_xlfn.MAXIFS(Changements!$B:$B,Changements!$A:$A,A540,Changements!$C:$C,B540),""))</f>
        <v/>
      </c>
      <c r="J540" s="5" t="str">
        <f t="shared" si="41"/>
        <v/>
      </c>
      <c r="K540" s="17">
        <f t="shared" si="42"/>
        <v>0</v>
      </c>
      <c r="L540" s="17">
        <f>IF(B540="",0,COUNTIFS(Changements!$A:$A,A540,Changements!$D:$D,B540)+IF(E540="Oui",1,0))</f>
        <v>0</v>
      </c>
      <c r="M540" s="17">
        <f>IF(B540="",0,COUNTIFS(Changements!$A:$A,A540,Changements!$C:$C,B540))</f>
        <v>0</v>
      </c>
      <c r="N540" s="17">
        <f>IF(B540="",0,SUMIFS(Changements!$B:$B,Changements!$A:$A,A540,Changements!$D:$D,B540))</f>
        <v>0</v>
      </c>
      <c r="O540" s="17">
        <f>IF(B540="",0,SUMIFS(Changements!$B:$B,Changements!$A:$A,A540,Changements!$C:$C,B540)+IF(L540&gt;M540,IFERROR(INDEX(Matchs!$F$4:$F$31,MATCH(A540,Matchs!$A$4:$A$31,0)),0),0))</f>
        <v>0</v>
      </c>
      <c r="P540" s="17">
        <f t="shared" si="43"/>
        <v>0</v>
      </c>
      <c r="Q540" s="17">
        <f t="shared" si="44"/>
        <v>0</v>
      </c>
    </row>
    <row r="541" spans="1:17" ht="15" customHeight="1" x14ac:dyDescent="0.25">
      <c r="A541" s="5">
        <f t="shared" si="40"/>
        <v>23</v>
      </c>
      <c r="B541" s="5" t="str">
        <f>INDEX('Effectif Saison'!$E$4:$E$22,10)</f>
        <v>Achille KELLERKNECHT</v>
      </c>
      <c r="C541" s="4"/>
      <c r="D541" s="4"/>
      <c r="E541" s="4"/>
      <c r="F541" s="17" t="str">
        <f>IF(B541="","",IF(AND(E541="Oui",COUNTIFS(Changements!$A:$A,A541,Changements!$D:$D,B541)&gt;0),"⚠ Titulaire+entrée ?",IF(ABS(L541-M541)&gt;1,"⚠ vérifier","")))</f>
        <v/>
      </c>
      <c r="G541" s="5" t="str">
        <f>IF(B541="","",IFERROR(INDEX('Effectif Saison'!$D$4:$D$51,MATCH(B541,'Effectif Saison'!$E$4:$E$51,0)),""))</f>
        <v>Équipe 1</v>
      </c>
      <c r="H541" s="17" t="str">
        <f>IF(L541=0,"",IF(E541="Oui",0,IFERROR(_xlfn.MINIFS(Changements!$B:$B,Changements!$A:$A,A541,Changements!$D:$D,B541),"")))</f>
        <v/>
      </c>
      <c r="I541" s="17" t="str">
        <f>IF(M541=0,"",IFERROR(_xlfn.MAXIFS(Changements!$B:$B,Changements!$A:$A,A541,Changements!$C:$C,B541),""))</f>
        <v/>
      </c>
      <c r="J541" s="5" t="str">
        <f t="shared" si="41"/>
        <v/>
      </c>
      <c r="K541" s="17">
        <f t="shared" si="42"/>
        <v>0</v>
      </c>
      <c r="L541" s="17">
        <f>IF(B541="",0,COUNTIFS(Changements!$A:$A,A541,Changements!$D:$D,B541)+IF(E541="Oui",1,0))</f>
        <v>0</v>
      </c>
      <c r="M541" s="17">
        <f>IF(B541="",0,COUNTIFS(Changements!$A:$A,A541,Changements!$C:$C,B541))</f>
        <v>0</v>
      </c>
      <c r="N541" s="17">
        <f>IF(B541="",0,SUMIFS(Changements!$B:$B,Changements!$A:$A,A541,Changements!$D:$D,B541))</f>
        <v>0</v>
      </c>
      <c r="O541" s="17">
        <f>IF(B541="",0,SUMIFS(Changements!$B:$B,Changements!$A:$A,A541,Changements!$C:$C,B541)+IF(L541&gt;M541,IFERROR(INDEX(Matchs!$F$4:$F$31,MATCH(A541,Matchs!$A$4:$A$31,0)),0),0))</f>
        <v>0</v>
      </c>
      <c r="P541" s="17">
        <f t="shared" si="43"/>
        <v>0</v>
      </c>
      <c r="Q541" s="17">
        <f t="shared" si="44"/>
        <v>0</v>
      </c>
    </row>
    <row r="542" spans="1:17" ht="15" customHeight="1" x14ac:dyDescent="0.25">
      <c r="A542" s="5">
        <f t="shared" si="40"/>
        <v>23</v>
      </c>
      <c r="B542" s="5" t="str">
        <f>INDEX('Effectif Saison'!$E$4:$E$22,11)</f>
        <v>Charly LEPERT</v>
      </c>
      <c r="C542" s="4"/>
      <c r="D542" s="4"/>
      <c r="E542" s="4"/>
      <c r="F542" s="17" t="str">
        <f>IF(B542="","",IF(AND(E542="Oui",COUNTIFS(Changements!$A:$A,A542,Changements!$D:$D,B542)&gt;0),"⚠ Titulaire+entrée ?",IF(ABS(L542-M542)&gt;1,"⚠ vérifier","")))</f>
        <v/>
      </c>
      <c r="G542" s="5" t="str">
        <f>IF(B542="","",IFERROR(INDEX('Effectif Saison'!$D$4:$D$51,MATCH(B542,'Effectif Saison'!$E$4:$E$51,0)),""))</f>
        <v>Équipe 1</v>
      </c>
      <c r="H542" s="17" t="str">
        <f>IF(L542=0,"",IF(E542="Oui",0,IFERROR(_xlfn.MINIFS(Changements!$B:$B,Changements!$A:$A,A542,Changements!$D:$D,B542),"")))</f>
        <v/>
      </c>
      <c r="I542" s="17" t="str">
        <f>IF(M542=0,"",IFERROR(_xlfn.MAXIFS(Changements!$B:$B,Changements!$A:$A,A542,Changements!$C:$C,B542),""))</f>
        <v/>
      </c>
      <c r="J542" s="5" t="str">
        <f t="shared" si="41"/>
        <v/>
      </c>
      <c r="K542" s="17">
        <f t="shared" si="42"/>
        <v>0</v>
      </c>
      <c r="L542" s="17">
        <f>IF(B542="",0,COUNTIFS(Changements!$A:$A,A542,Changements!$D:$D,B542)+IF(E542="Oui",1,0))</f>
        <v>0</v>
      </c>
      <c r="M542" s="17">
        <f>IF(B542="",0,COUNTIFS(Changements!$A:$A,A542,Changements!$C:$C,B542))</f>
        <v>0</v>
      </c>
      <c r="N542" s="17">
        <f>IF(B542="",0,SUMIFS(Changements!$B:$B,Changements!$A:$A,A542,Changements!$D:$D,B542))</f>
        <v>0</v>
      </c>
      <c r="O542" s="17">
        <f>IF(B542="",0,SUMIFS(Changements!$B:$B,Changements!$A:$A,A542,Changements!$C:$C,B542)+IF(L542&gt;M542,IFERROR(INDEX(Matchs!$F$4:$F$31,MATCH(A542,Matchs!$A$4:$A$31,0)),0),0))</f>
        <v>0</v>
      </c>
      <c r="P542" s="17">
        <f t="shared" si="43"/>
        <v>0</v>
      </c>
      <c r="Q542" s="17">
        <f t="shared" si="44"/>
        <v>0</v>
      </c>
    </row>
    <row r="543" spans="1:17" ht="15" customHeight="1" x14ac:dyDescent="0.25">
      <c r="A543" s="5">
        <f t="shared" si="40"/>
        <v>23</v>
      </c>
      <c r="B543" s="5" t="str">
        <f>INDEX('Effectif Saison'!$E$4:$E$22,12)</f>
        <v>Basile STANGRET</v>
      </c>
      <c r="C543" s="4"/>
      <c r="D543" s="4"/>
      <c r="E543" s="4"/>
      <c r="F543" s="17" t="str">
        <f>IF(B543="","",IF(AND(E543="Oui",COUNTIFS(Changements!$A:$A,A543,Changements!$D:$D,B543)&gt;0),"⚠ Titulaire+entrée ?",IF(ABS(L543-M543)&gt;1,"⚠ vérifier","")))</f>
        <v/>
      </c>
      <c r="G543" s="5" t="str">
        <f>IF(B543="","",IFERROR(INDEX('Effectif Saison'!$D$4:$D$51,MATCH(B543,'Effectif Saison'!$E$4:$E$51,0)),""))</f>
        <v>Équipe 1</v>
      </c>
      <c r="H543" s="17" t="str">
        <f>IF(L543=0,"",IF(E543="Oui",0,IFERROR(_xlfn.MINIFS(Changements!$B:$B,Changements!$A:$A,A543,Changements!$D:$D,B543),"")))</f>
        <v/>
      </c>
      <c r="I543" s="17" t="str">
        <f>IF(M543=0,"",IFERROR(_xlfn.MAXIFS(Changements!$B:$B,Changements!$A:$A,A543,Changements!$C:$C,B543),""))</f>
        <v/>
      </c>
      <c r="J543" s="5" t="str">
        <f t="shared" si="41"/>
        <v/>
      </c>
      <c r="K543" s="17">
        <f t="shared" si="42"/>
        <v>0</v>
      </c>
      <c r="L543" s="17">
        <f>IF(B543="",0,COUNTIFS(Changements!$A:$A,A543,Changements!$D:$D,B543)+IF(E543="Oui",1,0))</f>
        <v>0</v>
      </c>
      <c r="M543" s="17">
        <f>IF(B543="",0,COUNTIFS(Changements!$A:$A,A543,Changements!$C:$C,B543))</f>
        <v>0</v>
      </c>
      <c r="N543" s="17">
        <f>IF(B543="",0,SUMIFS(Changements!$B:$B,Changements!$A:$A,A543,Changements!$D:$D,B543))</f>
        <v>0</v>
      </c>
      <c r="O543" s="17">
        <f>IF(B543="",0,SUMIFS(Changements!$B:$B,Changements!$A:$A,A543,Changements!$C:$C,B543)+IF(L543&gt;M543,IFERROR(INDEX(Matchs!$F$4:$F$31,MATCH(A543,Matchs!$A$4:$A$31,0)),0),0))</f>
        <v>0</v>
      </c>
      <c r="P543" s="17">
        <f t="shared" si="43"/>
        <v>0</v>
      </c>
      <c r="Q543" s="17">
        <f t="shared" si="44"/>
        <v>0</v>
      </c>
    </row>
    <row r="544" spans="1:17" ht="15" customHeight="1" x14ac:dyDescent="0.25">
      <c r="A544" s="5">
        <f t="shared" si="40"/>
        <v>23</v>
      </c>
      <c r="B544" s="5" t="str">
        <f>INDEX('Effectif Saison'!$E$4:$E$22,13)</f>
        <v>Maxence KELLER</v>
      </c>
      <c r="C544" s="4"/>
      <c r="D544" s="4"/>
      <c r="E544" s="4"/>
      <c r="F544" s="17" t="str">
        <f>IF(B544="","",IF(AND(E544="Oui",COUNTIFS(Changements!$A:$A,A544,Changements!$D:$D,B544)&gt;0),"⚠ Titulaire+entrée ?",IF(ABS(L544-M544)&gt;1,"⚠ vérifier","")))</f>
        <v/>
      </c>
      <c r="G544" s="5" t="str">
        <f>IF(B544="","",IFERROR(INDEX('Effectif Saison'!$D$4:$D$51,MATCH(B544,'Effectif Saison'!$E$4:$E$51,0)),""))</f>
        <v>Équipe 1</v>
      </c>
      <c r="H544" s="17" t="str">
        <f>IF(L544=0,"",IF(E544="Oui",0,IFERROR(_xlfn.MINIFS(Changements!$B:$B,Changements!$A:$A,A544,Changements!$D:$D,B544),"")))</f>
        <v/>
      </c>
      <c r="I544" s="17" t="str">
        <f>IF(M544=0,"",IFERROR(_xlfn.MAXIFS(Changements!$B:$B,Changements!$A:$A,A544,Changements!$C:$C,B544),""))</f>
        <v/>
      </c>
      <c r="J544" s="5" t="str">
        <f t="shared" si="41"/>
        <v/>
      </c>
      <c r="K544" s="17">
        <f t="shared" si="42"/>
        <v>0</v>
      </c>
      <c r="L544" s="17">
        <f>IF(B544="",0,COUNTIFS(Changements!$A:$A,A544,Changements!$D:$D,B544)+IF(E544="Oui",1,0))</f>
        <v>0</v>
      </c>
      <c r="M544" s="17">
        <f>IF(B544="",0,COUNTIFS(Changements!$A:$A,A544,Changements!$C:$C,B544))</f>
        <v>0</v>
      </c>
      <c r="N544" s="17">
        <f>IF(B544="",0,SUMIFS(Changements!$B:$B,Changements!$A:$A,A544,Changements!$D:$D,B544))</f>
        <v>0</v>
      </c>
      <c r="O544" s="17">
        <f>IF(B544="",0,SUMIFS(Changements!$B:$B,Changements!$A:$A,A544,Changements!$C:$C,B544)+IF(L544&gt;M544,IFERROR(INDEX(Matchs!$F$4:$F$31,MATCH(A544,Matchs!$A$4:$A$31,0)),0),0))</f>
        <v>0</v>
      </c>
      <c r="P544" s="17">
        <f t="shared" si="43"/>
        <v>0</v>
      </c>
      <c r="Q544" s="17">
        <f t="shared" si="44"/>
        <v>0</v>
      </c>
    </row>
    <row r="545" spans="1:17" ht="15" customHeight="1" x14ac:dyDescent="0.25">
      <c r="A545" s="5">
        <f t="shared" si="40"/>
        <v>23</v>
      </c>
      <c r="B545" s="5" t="str">
        <f>INDEX('Effectif Saison'!$E$4:$E$22,14)</f>
        <v>Evan SCHMITT</v>
      </c>
      <c r="C545" s="4"/>
      <c r="D545" s="4"/>
      <c r="E545" s="4"/>
      <c r="F545" s="17" t="str">
        <f>IF(B545="","",IF(AND(E545="Oui",COUNTIFS(Changements!$A:$A,A545,Changements!$D:$D,B545)&gt;0),"⚠ Titulaire+entrée ?",IF(ABS(L545-M545)&gt;1,"⚠ vérifier","")))</f>
        <v/>
      </c>
      <c r="G545" s="5" t="str">
        <f>IF(B545="","",IFERROR(INDEX('Effectif Saison'!$D$4:$D$51,MATCH(B545,'Effectif Saison'!$E$4:$E$51,0)),""))</f>
        <v>Équipe 1</v>
      </c>
      <c r="H545" s="17" t="str">
        <f>IF(L545=0,"",IF(E545="Oui",0,IFERROR(_xlfn.MINIFS(Changements!$B:$B,Changements!$A:$A,A545,Changements!$D:$D,B545),"")))</f>
        <v/>
      </c>
      <c r="I545" s="17" t="str">
        <f>IF(M545=0,"",IFERROR(_xlfn.MAXIFS(Changements!$B:$B,Changements!$A:$A,A545,Changements!$C:$C,B545),""))</f>
        <v/>
      </c>
      <c r="J545" s="5" t="str">
        <f t="shared" si="41"/>
        <v/>
      </c>
      <c r="K545" s="17">
        <f t="shared" si="42"/>
        <v>0</v>
      </c>
      <c r="L545" s="17">
        <f>IF(B545="",0,COUNTIFS(Changements!$A:$A,A545,Changements!$D:$D,B545)+IF(E545="Oui",1,0))</f>
        <v>0</v>
      </c>
      <c r="M545" s="17">
        <f>IF(B545="",0,COUNTIFS(Changements!$A:$A,A545,Changements!$C:$C,B545))</f>
        <v>0</v>
      </c>
      <c r="N545" s="17">
        <f>IF(B545="",0,SUMIFS(Changements!$B:$B,Changements!$A:$A,A545,Changements!$D:$D,B545))</f>
        <v>0</v>
      </c>
      <c r="O545" s="17">
        <f>IF(B545="",0,SUMIFS(Changements!$B:$B,Changements!$A:$A,A545,Changements!$C:$C,B545)+IF(L545&gt;M545,IFERROR(INDEX(Matchs!$F$4:$F$31,MATCH(A545,Matchs!$A$4:$A$31,0)),0),0))</f>
        <v>0</v>
      </c>
      <c r="P545" s="17">
        <f t="shared" si="43"/>
        <v>0</v>
      </c>
      <c r="Q545" s="17">
        <f t="shared" si="44"/>
        <v>0</v>
      </c>
    </row>
    <row r="546" spans="1:17" ht="15" customHeight="1" x14ac:dyDescent="0.25">
      <c r="A546" s="5">
        <f t="shared" si="40"/>
        <v>23</v>
      </c>
      <c r="B546" s="5" t="str">
        <f>INDEX('Effectif Saison'!$E$4:$E$22,15)</f>
        <v>William SIMON</v>
      </c>
      <c r="C546" s="4"/>
      <c r="D546" s="4"/>
      <c r="E546" s="4"/>
      <c r="F546" s="17" t="str">
        <f>IF(B546="","",IF(AND(E546="Oui",COUNTIFS(Changements!$A:$A,A546,Changements!$D:$D,B546)&gt;0),"⚠ Titulaire+entrée ?",IF(ABS(L546-M546)&gt;1,"⚠ vérifier","")))</f>
        <v/>
      </c>
      <c r="G546" s="5" t="str">
        <f>IF(B546="","",IFERROR(INDEX('Effectif Saison'!$D$4:$D$51,MATCH(B546,'Effectif Saison'!$E$4:$E$51,0)),""))</f>
        <v>Équipe 1</v>
      </c>
      <c r="H546" s="17" t="str">
        <f>IF(L546=0,"",IF(E546="Oui",0,IFERROR(_xlfn.MINIFS(Changements!$B:$B,Changements!$A:$A,A546,Changements!$D:$D,B546),"")))</f>
        <v/>
      </c>
      <c r="I546" s="17" t="str">
        <f>IF(M546=0,"",IFERROR(_xlfn.MAXIFS(Changements!$B:$B,Changements!$A:$A,A546,Changements!$C:$C,B546),""))</f>
        <v/>
      </c>
      <c r="J546" s="5" t="str">
        <f t="shared" si="41"/>
        <v/>
      </c>
      <c r="K546" s="17">
        <f t="shared" si="42"/>
        <v>0</v>
      </c>
      <c r="L546" s="17">
        <f>IF(B546="",0,COUNTIFS(Changements!$A:$A,A546,Changements!$D:$D,B546)+IF(E546="Oui",1,0))</f>
        <v>0</v>
      </c>
      <c r="M546" s="17">
        <f>IF(B546="",0,COUNTIFS(Changements!$A:$A,A546,Changements!$C:$C,B546))</f>
        <v>0</v>
      </c>
      <c r="N546" s="17">
        <f>IF(B546="",0,SUMIFS(Changements!$B:$B,Changements!$A:$A,A546,Changements!$D:$D,B546))</f>
        <v>0</v>
      </c>
      <c r="O546" s="17">
        <f>IF(B546="",0,SUMIFS(Changements!$B:$B,Changements!$A:$A,A546,Changements!$C:$C,B546)+IF(L546&gt;M546,IFERROR(INDEX(Matchs!$F$4:$F$31,MATCH(A546,Matchs!$A$4:$A$31,0)),0),0))</f>
        <v>0</v>
      </c>
      <c r="P546" s="17">
        <f t="shared" si="43"/>
        <v>0</v>
      </c>
      <c r="Q546" s="17">
        <f t="shared" si="44"/>
        <v>0</v>
      </c>
    </row>
    <row r="547" spans="1:17" ht="15" customHeight="1" x14ac:dyDescent="0.25">
      <c r="A547" s="5">
        <f t="shared" si="40"/>
        <v>23</v>
      </c>
      <c r="B547" s="5" t="str">
        <f>INDEX('Effectif Saison'!$E$4:$E$22,16)</f>
        <v>Lenny LEPPER</v>
      </c>
      <c r="C547" s="4"/>
      <c r="D547" s="4"/>
      <c r="E547" s="4"/>
      <c r="F547" s="17" t="str">
        <f>IF(B547="","",IF(AND(E547="Oui",COUNTIFS(Changements!$A:$A,A547,Changements!$D:$D,B547)&gt;0),"⚠ Titulaire+entrée ?",IF(ABS(L547-M547)&gt;1,"⚠ vérifier","")))</f>
        <v/>
      </c>
      <c r="G547" s="5" t="str">
        <f>IF(B547="","",IFERROR(INDEX('Effectif Saison'!$D$4:$D$51,MATCH(B547,'Effectif Saison'!$E$4:$E$51,0)),""))</f>
        <v>Équipe 1</v>
      </c>
      <c r="H547" s="17" t="str">
        <f>IF(L547=0,"",IF(E547="Oui",0,IFERROR(_xlfn.MINIFS(Changements!$B:$B,Changements!$A:$A,A547,Changements!$D:$D,B547),"")))</f>
        <v/>
      </c>
      <c r="I547" s="17" t="str">
        <f>IF(M547=0,"",IFERROR(_xlfn.MAXIFS(Changements!$B:$B,Changements!$A:$A,A547,Changements!$C:$C,B547),""))</f>
        <v/>
      </c>
      <c r="J547" s="5" t="str">
        <f t="shared" si="41"/>
        <v/>
      </c>
      <c r="K547" s="17">
        <f t="shared" si="42"/>
        <v>0</v>
      </c>
      <c r="L547" s="17">
        <f>IF(B547="",0,COUNTIFS(Changements!$A:$A,A547,Changements!$D:$D,B547)+IF(E547="Oui",1,0))</f>
        <v>0</v>
      </c>
      <c r="M547" s="17">
        <f>IF(B547="",0,COUNTIFS(Changements!$A:$A,A547,Changements!$C:$C,B547))</f>
        <v>0</v>
      </c>
      <c r="N547" s="17">
        <f>IF(B547="",0,SUMIFS(Changements!$B:$B,Changements!$A:$A,A547,Changements!$D:$D,B547))</f>
        <v>0</v>
      </c>
      <c r="O547" s="17">
        <f>IF(B547="",0,SUMIFS(Changements!$B:$B,Changements!$A:$A,A547,Changements!$C:$C,B547)+IF(L547&gt;M547,IFERROR(INDEX(Matchs!$F$4:$F$31,MATCH(A547,Matchs!$A$4:$A$31,0)),0),0))</f>
        <v>0</v>
      </c>
      <c r="P547" s="17">
        <f t="shared" si="43"/>
        <v>0</v>
      </c>
      <c r="Q547" s="17">
        <f t="shared" si="44"/>
        <v>0</v>
      </c>
    </row>
    <row r="548" spans="1:17" ht="15" customHeight="1" x14ac:dyDescent="0.25">
      <c r="A548" s="5">
        <f t="shared" si="40"/>
        <v>23</v>
      </c>
      <c r="B548" s="5" t="str">
        <f>INDEX('Effectif Saison'!$E$4:$E$22,17)</f>
        <v>Malo KELLER</v>
      </c>
      <c r="C548" s="4"/>
      <c r="D548" s="4"/>
      <c r="E548" s="4"/>
      <c r="F548" s="17" t="str">
        <f>IF(B548="","",IF(AND(E548="Oui",COUNTIFS(Changements!$A:$A,A548,Changements!$D:$D,B548)&gt;0),"⚠ Titulaire+entrée ?",IF(ABS(L548-M548)&gt;1,"⚠ vérifier","")))</f>
        <v/>
      </c>
      <c r="G548" s="5" t="str">
        <f>IF(B548="","",IFERROR(INDEX('Effectif Saison'!$D$4:$D$51,MATCH(B548,'Effectif Saison'!$E$4:$E$51,0)),""))</f>
        <v>Équipe 1</v>
      </c>
      <c r="H548" s="17" t="str">
        <f>IF(L548=0,"",IF(E548="Oui",0,IFERROR(_xlfn.MINIFS(Changements!$B:$B,Changements!$A:$A,A548,Changements!$D:$D,B548),"")))</f>
        <v/>
      </c>
      <c r="I548" s="17" t="str">
        <f>IF(M548=0,"",IFERROR(_xlfn.MAXIFS(Changements!$B:$B,Changements!$A:$A,A548,Changements!$C:$C,B548),""))</f>
        <v/>
      </c>
      <c r="J548" s="5" t="str">
        <f t="shared" si="41"/>
        <v/>
      </c>
      <c r="K548" s="17">
        <f t="shared" si="42"/>
        <v>0</v>
      </c>
      <c r="L548" s="17">
        <f>IF(B548="",0,COUNTIFS(Changements!$A:$A,A548,Changements!$D:$D,B548)+IF(E548="Oui",1,0))</f>
        <v>0</v>
      </c>
      <c r="M548" s="17">
        <f>IF(B548="",0,COUNTIFS(Changements!$A:$A,A548,Changements!$C:$C,B548))</f>
        <v>0</v>
      </c>
      <c r="N548" s="17">
        <f>IF(B548="",0,SUMIFS(Changements!$B:$B,Changements!$A:$A,A548,Changements!$D:$D,B548))</f>
        <v>0</v>
      </c>
      <c r="O548" s="17">
        <f>IF(B548="",0,SUMIFS(Changements!$B:$B,Changements!$A:$A,A548,Changements!$C:$C,B548)+IF(L548&gt;M548,IFERROR(INDEX(Matchs!$F$4:$F$31,MATCH(A548,Matchs!$A$4:$A$31,0)),0),0))</f>
        <v>0</v>
      </c>
      <c r="P548" s="17">
        <f t="shared" si="43"/>
        <v>0</v>
      </c>
      <c r="Q548" s="17">
        <f t="shared" si="44"/>
        <v>0</v>
      </c>
    </row>
    <row r="549" spans="1:17" ht="15" customHeight="1" x14ac:dyDescent="0.25">
      <c r="A549" s="5">
        <f t="shared" si="40"/>
        <v>23</v>
      </c>
      <c r="B549" s="5" t="str">
        <f>INDEX('Effectif Saison'!$E$4:$E$22,18)</f>
        <v>Tom SCHILLER</v>
      </c>
      <c r="C549" s="4"/>
      <c r="D549" s="4"/>
      <c r="E549" s="4"/>
      <c r="F549" s="17" t="str">
        <f>IF(B549="","",IF(AND(E549="Oui",COUNTIFS(Changements!$A:$A,A549,Changements!$D:$D,B549)&gt;0),"⚠ Titulaire+entrée ?",IF(ABS(L549-M549)&gt;1,"⚠ vérifier","")))</f>
        <v/>
      </c>
      <c r="G549" s="5" t="str">
        <f>IF(B549="","",IFERROR(INDEX('Effectif Saison'!$D$4:$D$51,MATCH(B549,'Effectif Saison'!$E$4:$E$51,0)),""))</f>
        <v>Équipe 1</v>
      </c>
      <c r="H549" s="17" t="str">
        <f>IF(L549=0,"",IF(E549="Oui",0,IFERROR(_xlfn.MINIFS(Changements!$B:$B,Changements!$A:$A,A549,Changements!$D:$D,B549),"")))</f>
        <v/>
      </c>
      <c r="I549" s="17" t="str">
        <f>IF(M549=0,"",IFERROR(_xlfn.MAXIFS(Changements!$B:$B,Changements!$A:$A,A549,Changements!$C:$C,B549),""))</f>
        <v/>
      </c>
      <c r="J549" s="5" t="str">
        <f t="shared" si="41"/>
        <v/>
      </c>
      <c r="K549" s="17">
        <f t="shared" si="42"/>
        <v>0</v>
      </c>
      <c r="L549" s="17">
        <f>IF(B549="",0,COUNTIFS(Changements!$A:$A,A549,Changements!$D:$D,B549)+IF(E549="Oui",1,0))</f>
        <v>0</v>
      </c>
      <c r="M549" s="17">
        <f>IF(B549="",0,COUNTIFS(Changements!$A:$A,A549,Changements!$C:$C,B549))</f>
        <v>0</v>
      </c>
      <c r="N549" s="17">
        <f>IF(B549="",0,SUMIFS(Changements!$B:$B,Changements!$A:$A,A549,Changements!$D:$D,B549))</f>
        <v>0</v>
      </c>
      <c r="O549" s="17">
        <f>IF(B549="",0,SUMIFS(Changements!$B:$B,Changements!$A:$A,A549,Changements!$C:$C,B549)+IF(L549&gt;M549,IFERROR(INDEX(Matchs!$F$4:$F$31,MATCH(A549,Matchs!$A$4:$A$31,0)),0),0))</f>
        <v>0</v>
      </c>
      <c r="P549" s="17">
        <f t="shared" si="43"/>
        <v>0</v>
      </c>
      <c r="Q549" s="17">
        <f t="shared" si="44"/>
        <v>0</v>
      </c>
    </row>
    <row r="550" spans="1:17" ht="15" customHeight="1" x14ac:dyDescent="0.25">
      <c r="A550" s="5">
        <f t="shared" si="40"/>
        <v>23</v>
      </c>
      <c r="B550" s="5" t="str">
        <f>INDEX('Effectif Saison'!$E$4:$E$22,19)</f>
        <v>Eliot LEIBY</v>
      </c>
      <c r="C550" s="4"/>
      <c r="D550" s="4"/>
      <c r="E550" s="4"/>
      <c r="F550" s="17" t="str">
        <f>IF(B550="","",IF(AND(E550="Oui",COUNTIFS(Changements!$A:$A,A550,Changements!$D:$D,B550)&gt;0),"⚠ Titulaire+entrée ?",IF(ABS(L550-M550)&gt;1,"⚠ vérifier","")))</f>
        <v/>
      </c>
      <c r="G550" s="5" t="str">
        <f>IF(B550="","",IFERROR(INDEX('Effectif Saison'!$D$4:$D$51,MATCH(B550,'Effectif Saison'!$E$4:$E$51,0)),""))</f>
        <v>Équipe 1</v>
      </c>
      <c r="H550" s="17" t="str">
        <f>IF(L550=0,"",IF(E550="Oui",0,IFERROR(_xlfn.MINIFS(Changements!$B:$B,Changements!$A:$A,A550,Changements!$D:$D,B550),"")))</f>
        <v/>
      </c>
      <c r="I550" s="17" t="str">
        <f>IF(M550=0,"",IFERROR(_xlfn.MAXIFS(Changements!$B:$B,Changements!$A:$A,A550,Changements!$C:$C,B550),""))</f>
        <v/>
      </c>
      <c r="J550" s="5" t="str">
        <f t="shared" si="41"/>
        <v/>
      </c>
      <c r="K550" s="17">
        <f t="shared" si="42"/>
        <v>0</v>
      </c>
      <c r="L550" s="17">
        <f>IF(B550="",0,COUNTIFS(Changements!$A:$A,A550,Changements!$D:$D,B550)+IF(E550="Oui",1,0))</f>
        <v>0</v>
      </c>
      <c r="M550" s="17">
        <f>IF(B550="",0,COUNTIFS(Changements!$A:$A,A550,Changements!$C:$C,B550))</f>
        <v>0</v>
      </c>
      <c r="N550" s="17">
        <f>IF(B550="",0,SUMIFS(Changements!$B:$B,Changements!$A:$A,A550,Changements!$D:$D,B550))</f>
        <v>0</v>
      </c>
      <c r="O550" s="17">
        <f>IF(B550="",0,SUMIFS(Changements!$B:$B,Changements!$A:$A,A550,Changements!$C:$C,B550)+IF(L550&gt;M550,IFERROR(INDEX(Matchs!$F$4:$F$31,MATCH(A550,Matchs!$A$4:$A$31,0)),0),0))</f>
        <v>0</v>
      </c>
      <c r="P550" s="17">
        <f t="shared" si="43"/>
        <v>0</v>
      </c>
      <c r="Q550" s="17">
        <f t="shared" si="44"/>
        <v>0</v>
      </c>
    </row>
    <row r="551" spans="1:17" ht="15" customHeight="1" x14ac:dyDescent="0.25">
      <c r="A551" s="5">
        <f t="shared" si="40"/>
        <v>23</v>
      </c>
      <c r="B551" s="4"/>
      <c r="C551" s="4"/>
      <c r="D551" s="4"/>
      <c r="E551" s="4"/>
      <c r="F551" s="17" t="str">
        <f>IF(B551="","",IF(AND(E551="Oui",COUNTIFS(Changements!$A:$A,A551,Changements!$D:$D,B551)&gt;0),"⚠ Titulaire+entrée ?",IF(ABS(L551-M551)&gt;1,"⚠ vérifier","")))</f>
        <v/>
      </c>
      <c r="G551" s="5" t="str">
        <f>IF(B551="","",IFERROR(INDEX('Effectif Saison'!$D$4:$D$51,MATCH(B551,'Effectif Saison'!$E$4:$E$51,0)),""))</f>
        <v/>
      </c>
      <c r="H551" s="17" t="str">
        <f>IF(L551=0,"",IF(E551="Oui",0,IFERROR(_xlfn.MINIFS(Changements!$B:$B,Changements!$A:$A,A551,Changements!$D:$D,B551),"")))</f>
        <v/>
      </c>
      <c r="I551" s="17" t="str">
        <f>IF(M551=0,"",IFERROR(_xlfn.MAXIFS(Changements!$B:$B,Changements!$A:$A,A551,Changements!$C:$C,B551),""))</f>
        <v/>
      </c>
      <c r="J551" s="5" t="str">
        <f t="shared" si="41"/>
        <v/>
      </c>
      <c r="K551" s="17">
        <f t="shared" si="42"/>
        <v>0</v>
      </c>
      <c r="L551" s="17">
        <f>IF(B551="",0,COUNTIFS(Changements!$A:$A,A551,Changements!$D:$D,B551)+IF(E551="Oui",1,0))</f>
        <v>0</v>
      </c>
      <c r="M551" s="17">
        <f>IF(B551="",0,COUNTIFS(Changements!$A:$A,A551,Changements!$C:$C,B551))</f>
        <v>0</v>
      </c>
      <c r="N551" s="17">
        <f>IF(B551="",0,SUMIFS(Changements!$B:$B,Changements!$A:$A,A551,Changements!$D:$D,B551))</f>
        <v>0</v>
      </c>
      <c r="O551" s="17">
        <f>IF(B551="",0,SUMIFS(Changements!$B:$B,Changements!$A:$A,A551,Changements!$C:$C,B551)+IF(L551&gt;M551,IFERROR(INDEX(Matchs!$F$4:$F$31,MATCH(A551,Matchs!$A$4:$A$31,0)),0),0))</f>
        <v>0</v>
      </c>
      <c r="P551" s="17">
        <f t="shared" si="43"/>
        <v>0</v>
      </c>
      <c r="Q551" s="17">
        <f t="shared" si="44"/>
        <v>0</v>
      </c>
    </row>
    <row r="552" spans="1:17" ht="15" customHeight="1" x14ac:dyDescent="0.25">
      <c r="A552" s="5">
        <f t="shared" si="40"/>
        <v>23</v>
      </c>
      <c r="B552" s="4"/>
      <c r="C552" s="4"/>
      <c r="D552" s="4"/>
      <c r="E552" s="4"/>
      <c r="F552" s="17" t="str">
        <f>IF(B552="","",IF(AND(E552="Oui",COUNTIFS(Changements!$A:$A,A552,Changements!$D:$D,B552)&gt;0),"⚠ Titulaire+entrée ?",IF(ABS(L552-M552)&gt;1,"⚠ vérifier","")))</f>
        <v/>
      </c>
      <c r="G552" s="5" t="str">
        <f>IF(B552="","",IFERROR(INDEX('Effectif Saison'!$D$4:$D$51,MATCH(B552,'Effectif Saison'!$E$4:$E$51,0)),""))</f>
        <v/>
      </c>
      <c r="H552" s="17" t="str">
        <f>IF(L552=0,"",IF(E552="Oui",0,IFERROR(_xlfn.MINIFS(Changements!$B:$B,Changements!$A:$A,A552,Changements!$D:$D,B552),"")))</f>
        <v/>
      </c>
      <c r="I552" s="17" t="str">
        <f>IF(M552=0,"",IFERROR(_xlfn.MAXIFS(Changements!$B:$B,Changements!$A:$A,A552,Changements!$C:$C,B552),""))</f>
        <v/>
      </c>
      <c r="J552" s="5" t="str">
        <f t="shared" si="41"/>
        <v/>
      </c>
      <c r="K552" s="17">
        <f t="shared" si="42"/>
        <v>0</v>
      </c>
      <c r="L552" s="17">
        <f>IF(B552="",0,COUNTIFS(Changements!$A:$A,A552,Changements!$D:$D,B552)+IF(E552="Oui",1,0))</f>
        <v>0</v>
      </c>
      <c r="M552" s="17">
        <f>IF(B552="",0,COUNTIFS(Changements!$A:$A,A552,Changements!$C:$C,B552))</f>
        <v>0</v>
      </c>
      <c r="N552" s="17">
        <f>IF(B552="",0,SUMIFS(Changements!$B:$B,Changements!$A:$A,A552,Changements!$D:$D,B552))</f>
        <v>0</v>
      </c>
      <c r="O552" s="17">
        <f>IF(B552="",0,SUMIFS(Changements!$B:$B,Changements!$A:$A,A552,Changements!$C:$C,B552)+IF(L552&gt;M552,IFERROR(INDEX(Matchs!$F$4:$F$31,MATCH(A552,Matchs!$A$4:$A$31,0)),0),0))</f>
        <v>0</v>
      </c>
      <c r="P552" s="17">
        <f t="shared" si="43"/>
        <v>0</v>
      </c>
      <c r="Q552" s="17">
        <f t="shared" si="44"/>
        <v>0</v>
      </c>
    </row>
    <row r="553" spans="1:17" ht="15" customHeight="1" x14ac:dyDescent="0.25">
      <c r="A553" s="5">
        <f t="shared" si="40"/>
        <v>23</v>
      </c>
      <c r="B553" s="4"/>
      <c r="C553" s="4"/>
      <c r="D553" s="4"/>
      <c r="E553" s="4"/>
      <c r="F553" s="17" t="str">
        <f>IF(B553="","",IF(AND(E553="Oui",COUNTIFS(Changements!$A:$A,A553,Changements!$D:$D,B553)&gt;0),"⚠ Titulaire+entrée ?",IF(ABS(L553-M553)&gt;1,"⚠ vérifier","")))</f>
        <v/>
      </c>
      <c r="G553" s="5" t="str">
        <f>IF(B553="","",IFERROR(INDEX('Effectif Saison'!$D$4:$D$51,MATCH(B553,'Effectif Saison'!$E$4:$E$51,0)),""))</f>
        <v/>
      </c>
      <c r="H553" s="17" t="str">
        <f>IF(L553=0,"",IF(E553="Oui",0,IFERROR(_xlfn.MINIFS(Changements!$B:$B,Changements!$A:$A,A553,Changements!$D:$D,B553),"")))</f>
        <v/>
      </c>
      <c r="I553" s="17" t="str">
        <f>IF(M553=0,"",IFERROR(_xlfn.MAXIFS(Changements!$B:$B,Changements!$A:$A,A553,Changements!$C:$C,B553),""))</f>
        <v/>
      </c>
      <c r="J553" s="5" t="str">
        <f t="shared" si="41"/>
        <v/>
      </c>
      <c r="K553" s="17">
        <f t="shared" si="42"/>
        <v>0</v>
      </c>
      <c r="L553" s="17">
        <f>IF(B553="",0,COUNTIFS(Changements!$A:$A,A553,Changements!$D:$D,B553)+IF(E553="Oui",1,0))</f>
        <v>0</v>
      </c>
      <c r="M553" s="17">
        <f>IF(B553="",0,COUNTIFS(Changements!$A:$A,A553,Changements!$C:$C,B553))</f>
        <v>0</v>
      </c>
      <c r="N553" s="17">
        <f>IF(B553="",0,SUMIFS(Changements!$B:$B,Changements!$A:$A,A553,Changements!$D:$D,B553))</f>
        <v>0</v>
      </c>
      <c r="O553" s="17">
        <f>IF(B553="",0,SUMIFS(Changements!$B:$B,Changements!$A:$A,A553,Changements!$C:$C,B553)+IF(L553&gt;M553,IFERROR(INDEX(Matchs!$F$4:$F$31,MATCH(A553,Matchs!$A$4:$A$31,0)),0),0))</f>
        <v>0</v>
      </c>
      <c r="P553" s="17">
        <f t="shared" si="43"/>
        <v>0</v>
      </c>
      <c r="Q553" s="17">
        <f t="shared" si="44"/>
        <v>0</v>
      </c>
    </row>
    <row r="554" spans="1:17" ht="15" customHeight="1" x14ac:dyDescent="0.25">
      <c r="A554" s="5">
        <f t="shared" si="40"/>
        <v>23</v>
      </c>
      <c r="B554" s="4"/>
      <c r="C554" s="4"/>
      <c r="D554" s="4"/>
      <c r="E554" s="4"/>
      <c r="F554" s="17" t="str">
        <f>IF(B554="","",IF(AND(E554="Oui",COUNTIFS(Changements!$A:$A,A554,Changements!$D:$D,B554)&gt;0),"⚠ Titulaire+entrée ?",IF(ABS(L554-M554)&gt;1,"⚠ vérifier","")))</f>
        <v/>
      </c>
      <c r="G554" s="5" t="str">
        <f>IF(B554="","",IFERROR(INDEX('Effectif Saison'!$D$4:$D$51,MATCH(B554,'Effectif Saison'!$E$4:$E$51,0)),""))</f>
        <v/>
      </c>
      <c r="H554" s="17" t="str">
        <f>IF(L554=0,"",IF(E554="Oui",0,IFERROR(_xlfn.MINIFS(Changements!$B:$B,Changements!$A:$A,A554,Changements!$D:$D,B554),"")))</f>
        <v/>
      </c>
      <c r="I554" s="17" t="str">
        <f>IF(M554=0,"",IFERROR(_xlfn.MAXIFS(Changements!$B:$B,Changements!$A:$A,A554,Changements!$C:$C,B554),""))</f>
        <v/>
      </c>
      <c r="J554" s="5" t="str">
        <f t="shared" si="41"/>
        <v/>
      </c>
      <c r="K554" s="17">
        <f t="shared" si="42"/>
        <v>0</v>
      </c>
      <c r="L554" s="17">
        <f>IF(B554="",0,COUNTIFS(Changements!$A:$A,A554,Changements!$D:$D,B554)+IF(E554="Oui",1,0))</f>
        <v>0</v>
      </c>
      <c r="M554" s="17">
        <f>IF(B554="",0,COUNTIFS(Changements!$A:$A,A554,Changements!$C:$C,B554))</f>
        <v>0</v>
      </c>
      <c r="N554" s="17">
        <f>IF(B554="",0,SUMIFS(Changements!$B:$B,Changements!$A:$A,A554,Changements!$D:$D,B554))</f>
        <v>0</v>
      </c>
      <c r="O554" s="17">
        <f>IF(B554="",0,SUMIFS(Changements!$B:$B,Changements!$A:$A,A554,Changements!$C:$C,B554)+IF(L554&gt;M554,IFERROR(INDEX(Matchs!$F$4:$F$31,MATCH(A554,Matchs!$A$4:$A$31,0)),0),0))</f>
        <v>0</v>
      </c>
      <c r="P554" s="17">
        <f t="shared" si="43"/>
        <v>0</v>
      </c>
      <c r="Q554" s="17">
        <f t="shared" si="44"/>
        <v>0</v>
      </c>
    </row>
    <row r="555" spans="1:17" ht="15" customHeight="1" x14ac:dyDescent="0.25">
      <c r="A555" s="5">
        <f t="shared" si="40"/>
        <v>23</v>
      </c>
      <c r="B555" s="4"/>
      <c r="C555" s="4"/>
      <c r="D555" s="4"/>
      <c r="E555" s="4"/>
      <c r="F555" s="17" t="str">
        <f>IF(B555="","",IF(AND(E555="Oui",COUNTIFS(Changements!$A:$A,A555,Changements!$D:$D,B555)&gt;0),"⚠ Titulaire+entrée ?",IF(ABS(L555-M555)&gt;1,"⚠ vérifier","")))</f>
        <v/>
      </c>
      <c r="G555" s="5" t="str">
        <f>IF(B555="","",IFERROR(INDEX('Effectif Saison'!$D$4:$D$51,MATCH(B555,'Effectif Saison'!$E$4:$E$51,0)),""))</f>
        <v/>
      </c>
      <c r="H555" s="17" t="str">
        <f>IF(L555=0,"",IF(E555="Oui",0,IFERROR(_xlfn.MINIFS(Changements!$B:$B,Changements!$A:$A,A555,Changements!$D:$D,B555),"")))</f>
        <v/>
      </c>
      <c r="I555" s="17" t="str">
        <f>IF(M555=0,"",IFERROR(_xlfn.MAXIFS(Changements!$B:$B,Changements!$A:$A,A555,Changements!$C:$C,B555),""))</f>
        <v/>
      </c>
      <c r="J555" s="5" t="str">
        <f t="shared" si="41"/>
        <v/>
      </c>
      <c r="K555" s="17">
        <f t="shared" si="42"/>
        <v>0</v>
      </c>
      <c r="L555" s="17">
        <f>IF(B555="",0,COUNTIFS(Changements!$A:$A,A555,Changements!$D:$D,B555)+IF(E555="Oui",1,0))</f>
        <v>0</v>
      </c>
      <c r="M555" s="17">
        <f>IF(B555="",0,COUNTIFS(Changements!$A:$A,A555,Changements!$C:$C,B555))</f>
        <v>0</v>
      </c>
      <c r="N555" s="17">
        <f>IF(B555="",0,SUMIFS(Changements!$B:$B,Changements!$A:$A,A555,Changements!$D:$D,B555))</f>
        <v>0</v>
      </c>
      <c r="O555" s="17">
        <f>IF(B555="",0,SUMIFS(Changements!$B:$B,Changements!$A:$A,A555,Changements!$C:$C,B555)+IF(L555&gt;M555,IFERROR(INDEX(Matchs!$F$4:$F$31,MATCH(A555,Matchs!$A$4:$A$31,0)),0),0))</f>
        <v>0</v>
      </c>
      <c r="P555" s="17">
        <f t="shared" si="43"/>
        <v>0</v>
      </c>
      <c r="Q555" s="17">
        <f t="shared" si="44"/>
        <v>0</v>
      </c>
    </row>
    <row r="556" spans="1:17" ht="15" customHeight="1" x14ac:dyDescent="0.25">
      <c r="A556" s="5">
        <f t="shared" si="40"/>
        <v>24</v>
      </c>
      <c r="B556" s="5" t="str">
        <f>INDEX('Effectif Saison'!$E$4:$E$22,1)</f>
        <v>Alan MICHON</v>
      </c>
      <c r="C556" s="4"/>
      <c r="D556" s="4"/>
      <c r="E556" s="4"/>
      <c r="F556" s="17" t="str">
        <f>IF(B556="","",IF(AND(E556="Oui",COUNTIFS(Changements!$A:$A,A556,Changements!$D:$D,B556)&gt;0),"⚠ Titulaire+entrée ?",IF(ABS(L556-M556)&gt;1,"⚠ vérifier","")))</f>
        <v/>
      </c>
      <c r="G556" s="5" t="str">
        <f>IF(B556="","",IFERROR(INDEX('Effectif Saison'!$D$4:$D$51,MATCH(B556,'Effectif Saison'!$E$4:$E$51,0)),""))</f>
        <v>Équipe 1</v>
      </c>
      <c r="H556" s="17" t="str">
        <f>IF(L556=0,"",IF(E556="Oui",0,IFERROR(_xlfn.MINIFS(Changements!$B:$B,Changements!$A:$A,A556,Changements!$D:$D,B556),"")))</f>
        <v/>
      </c>
      <c r="I556" s="17" t="str">
        <f>IF(M556=0,"",IFERROR(_xlfn.MAXIFS(Changements!$B:$B,Changements!$A:$A,A556,Changements!$C:$C,B556),""))</f>
        <v/>
      </c>
      <c r="J556" s="5" t="str">
        <f t="shared" si="41"/>
        <v/>
      </c>
      <c r="K556" s="17">
        <f t="shared" si="42"/>
        <v>0</v>
      </c>
      <c r="L556" s="17">
        <f>IF(B556="",0,COUNTIFS(Changements!$A:$A,A556,Changements!$D:$D,B556)+IF(E556="Oui",1,0))</f>
        <v>0</v>
      </c>
      <c r="M556" s="17">
        <f>IF(B556="",0,COUNTIFS(Changements!$A:$A,A556,Changements!$C:$C,B556))</f>
        <v>0</v>
      </c>
      <c r="N556" s="17">
        <f>IF(B556="",0,SUMIFS(Changements!$B:$B,Changements!$A:$A,A556,Changements!$D:$D,B556))</f>
        <v>0</v>
      </c>
      <c r="O556" s="17">
        <f>IF(B556="",0,SUMIFS(Changements!$B:$B,Changements!$A:$A,A556,Changements!$C:$C,B556)+IF(L556&gt;M556,IFERROR(INDEX(Matchs!$F$4:$F$31,MATCH(A556,Matchs!$A$4:$A$31,0)),0),0))</f>
        <v>0</v>
      </c>
      <c r="P556" s="17">
        <f t="shared" si="43"/>
        <v>0</v>
      </c>
      <c r="Q556" s="17">
        <f t="shared" si="44"/>
        <v>0</v>
      </c>
    </row>
    <row r="557" spans="1:17" ht="15" customHeight="1" x14ac:dyDescent="0.25">
      <c r="A557" s="5">
        <f t="shared" si="40"/>
        <v>24</v>
      </c>
      <c r="B557" s="5" t="str">
        <f>INDEX('Effectif Saison'!$E$4:$E$22,2)</f>
        <v>Jean BRUNTZ</v>
      </c>
      <c r="C557" s="4"/>
      <c r="D557" s="4"/>
      <c r="E557" s="4"/>
      <c r="F557" s="17" t="str">
        <f>IF(B557="","",IF(AND(E557="Oui",COUNTIFS(Changements!$A:$A,A557,Changements!$D:$D,B557)&gt;0),"⚠ Titulaire+entrée ?",IF(ABS(L557-M557)&gt;1,"⚠ vérifier","")))</f>
        <v/>
      </c>
      <c r="G557" s="5" t="str">
        <f>IF(B557="","",IFERROR(INDEX('Effectif Saison'!$D$4:$D$51,MATCH(B557,'Effectif Saison'!$E$4:$E$51,0)),""))</f>
        <v>Équipe 1</v>
      </c>
      <c r="H557" s="17" t="str">
        <f>IF(L557=0,"",IF(E557="Oui",0,IFERROR(_xlfn.MINIFS(Changements!$B:$B,Changements!$A:$A,A557,Changements!$D:$D,B557),"")))</f>
        <v/>
      </c>
      <c r="I557" s="17" t="str">
        <f>IF(M557=0,"",IFERROR(_xlfn.MAXIFS(Changements!$B:$B,Changements!$A:$A,A557,Changements!$C:$C,B557),""))</f>
        <v/>
      </c>
      <c r="J557" s="5" t="str">
        <f t="shared" si="41"/>
        <v/>
      </c>
      <c r="K557" s="17">
        <f t="shared" si="42"/>
        <v>0</v>
      </c>
      <c r="L557" s="17">
        <f>IF(B557="",0,COUNTIFS(Changements!$A:$A,A557,Changements!$D:$D,B557)+IF(E557="Oui",1,0))</f>
        <v>0</v>
      </c>
      <c r="M557" s="17">
        <f>IF(B557="",0,COUNTIFS(Changements!$A:$A,A557,Changements!$C:$C,B557))</f>
        <v>0</v>
      </c>
      <c r="N557" s="17">
        <f>IF(B557="",0,SUMIFS(Changements!$B:$B,Changements!$A:$A,A557,Changements!$D:$D,B557))</f>
        <v>0</v>
      </c>
      <c r="O557" s="17">
        <f>IF(B557="",0,SUMIFS(Changements!$B:$B,Changements!$A:$A,A557,Changements!$C:$C,B557)+IF(L557&gt;M557,IFERROR(INDEX(Matchs!$F$4:$F$31,MATCH(A557,Matchs!$A$4:$A$31,0)),0),0))</f>
        <v>0</v>
      </c>
      <c r="P557" s="17">
        <f t="shared" si="43"/>
        <v>0</v>
      </c>
      <c r="Q557" s="17">
        <f t="shared" si="44"/>
        <v>0</v>
      </c>
    </row>
    <row r="558" spans="1:17" ht="15" customHeight="1" x14ac:dyDescent="0.25">
      <c r="A558" s="5">
        <f t="shared" si="40"/>
        <v>24</v>
      </c>
      <c r="B558" s="5" t="str">
        <f>INDEX('Effectif Saison'!$E$4:$E$22,3)</f>
        <v>Marouane SBK</v>
      </c>
      <c r="C558" s="4"/>
      <c r="D558" s="4"/>
      <c r="E558" s="4"/>
      <c r="F558" s="17" t="str">
        <f>IF(B558="","",IF(AND(E558="Oui",COUNTIFS(Changements!$A:$A,A558,Changements!$D:$D,B558)&gt;0),"⚠ Titulaire+entrée ?",IF(ABS(L558-M558)&gt;1,"⚠ vérifier","")))</f>
        <v/>
      </c>
      <c r="G558" s="5" t="str">
        <f>IF(B558="","",IFERROR(INDEX('Effectif Saison'!$D$4:$D$51,MATCH(B558,'Effectif Saison'!$E$4:$E$51,0)),""))</f>
        <v>Équipe 1</v>
      </c>
      <c r="H558" s="17" t="str">
        <f>IF(L558=0,"",IF(E558="Oui",0,IFERROR(_xlfn.MINIFS(Changements!$B:$B,Changements!$A:$A,A558,Changements!$D:$D,B558),"")))</f>
        <v/>
      </c>
      <c r="I558" s="17" t="str">
        <f>IF(M558=0,"",IFERROR(_xlfn.MAXIFS(Changements!$B:$B,Changements!$A:$A,A558,Changements!$C:$C,B558),""))</f>
        <v/>
      </c>
      <c r="J558" s="5" t="str">
        <f t="shared" si="41"/>
        <v/>
      </c>
      <c r="K558" s="17">
        <f t="shared" si="42"/>
        <v>0</v>
      </c>
      <c r="L558" s="17">
        <f>IF(B558="",0,COUNTIFS(Changements!$A:$A,A558,Changements!$D:$D,B558)+IF(E558="Oui",1,0))</f>
        <v>0</v>
      </c>
      <c r="M558" s="17">
        <f>IF(B558="",0,COUNTIFS(Changements!$A:$A,A558,Changements!$C:$C,B558))</f>
        <v>0</v>
      </c>
      <c r="N558" s="17">
        <f>IF(B558="",0,SUMIFS(Changements!$B:$B,Changements!$A:$A,A558,Changements!$D:$D,B558))</f>
        <v>0</v>
      </c>
      <c r="O558" s="17">
        <f>IF(B558="",0,SUMIFS(Changements!$B:$B,Changements!$A:$A,A558,Changements!$C:$C,B558)+IF(L558&gt;M558,IFERROR(INDEX(Matchs!$F$4:$F$31,MATCH(A558,Matchs!$A$4:$A$31,0)),0),0))</f>
        <v>0</v>
      </c>
      <c r="P558" s="17">
        <f t="shared" si="43"/>
        <v>0</v>
      </c>
      <c r="Q558" s="17">
        <f t="shared" si="44"/>
        <v>0</v>
      </c>
    </row>
    <row r="559" spans="1:17" ht="15" customHeight="1" x14ac:dyDescent="0.25">
      <c r="A559" s="5">
        <f t="shared" si="40"/>
        <v>24</v>
      </c>
      <c r="B559" s="5" t="str">
        <f>INDEX('Effectif Saison'!$E$4:$E$22,4)</f>
        <v>Noé BIHL</v>
      </c>
      <c r="C559" s="4"/>
      <c r="D559" s="4"/>
      <c r="E559" s="4"/>
      <c r="F559" s="17" t="str">
        <f>IF(B559="","",IF(AND(E559="Oui",COUNTIFS(Changements!$A:$A,A559,Changements!$D:$D,B559)&gt;0),"⚠ Titulaire+entrée ?",IF(ABS(L559-M559)&gt;1,"⚠ vérifier","")))</f>
        <v/>
      </c>
      <c r="G559" s="5" t="str">
        <f>IF(B559="","",IFERROR(INDEX('Effectif Saison'!$D$4:$D$51,MATCH(B559,'Effectif Saison'!$E$4:$E$51,0)),""))</f>
        <v>Équipe 1</v>
      </c>
      <c r="H559" s="17" t="str">
        <f>IF(L559=0,"",IF(E559="Oui",0,IFERROR(_xlfn.MINIFS(Changements!$B:$B,Changements!$A:$A,A559,Changements!$D:$D,B559),"")))</f>
        <v/>
      </c>
      <c r="I559" s="17" t="str">
        <f>IF(M559=0,"",IFERROR(_xlfn.MAXIFS(Changements!$B:$B,Changements!$A:$A,A559,Changements!$C:$C,B559),""))</f>
        <v/>
      </c>
      <c r="J559" s="5" t="str">
        <f t="shared" si="41"/>
        <v/>
      </c>
      <c r="K559" s="17">
        <f t="shared" si="42"/>
        <v>0</v>
      </c>
      <c r="L559" s="17">
        <f>IF(B559="",0,COUNTIFS(Changements!$A:$A,A559,Changements!$D:$D,B559)+IF(E559="Oui",1,0))</f>
        <v>0</v>
      </c>
      <c r="M559" s="17">
        <f>IF(B559="",0,COUNTIFS(Changements!$A:$A,A559,Changements!$C:$C,B559))</f>
        <v>0</v>
      </c>
      <c r="N559" s="17">
        <f>IF(B559="",0,SUMIFS(Changements!$B:$B,Changements!$A:$A,A559,Changements!$D:$D,B559))</f>
        <v>0</v>
      </c>
      <c r="O559" s="17">
        <f>IF(B559="",0,SUMIFS(Changements!$B:$B,Changements!$A:$A,A559,Changements!$C:$C,B559)+IF(L559&gt;M559,IFERROR(INDEX(Matchs!$F$4:$F$31,MATCH(A559,Matchs!$A$4:$A$31,0)),0),0))</f>
        <v>0</v>
      </c>
      <c r="P559" s="17">
        <f t="shared" si="43"/>
        <v>0</v>
      </c>
      <c r="Q559" s="17">
        <f t="shared" si="44"/>
        <v>0</v>
      </c>
    </row>
    <row r="560" spans="1:17" ht="15" customHeight="1" x14ac:dyDescent="0.25">
      <c r="A560" s="5">
        <f t="shared" si="40"/>
        <v>24</v>
      </c>
      <c r="B560" s="5" t="str">
        <f>INDEX('Effectif Saison'!$E$4:$E$22,5)</f>
        <v>Luca COLAIANNI</v>
      </c>
      <c r="C560" s="4"/>
      <c r="D560" s="4"/>
      <c r="E560" s="4"/>
      <c r="F560" s="17" t="str">
        <f>IF(B560="","",IF(AND(E560="Oui",COUNTIFS(Changements!$A:$A,A560,Changements!$D:$D,B560)&gt;0),"⚠ Titulaire+entrée ?",IF(ABS(L560-M560)&gt;1,"⚠ vérifier","")))</f>
        <v/>
      </c>
      <c r="G560" s="5" t="str">
        <f>IF(B560="","",IFERROR(INDEX('Effectif Saison'!$D$4:$D$51,MATCH(B560,'Effectif Saison'!$E$4:$E$51,0)),""))</f>
        <v>Équipe 1</v>
      </c>
      <c r="H560" s="17" t="str">
        <f>IF(L560=0,"",IF(E560="Oui",0,IFERROR(_xlfn.MINIFS(Changements!$B:$B,Changements!$A:$A,A560,Changements!$D:$D,B560),"")))</f>
        <v/>
      </c>
      <c r="I560" s="17" t="str">
        <f>IF(M560=0,"",IFERROR(_xlfn.MAXIFS(Changements!$B:$B,Changements!$A:$A,A560,Changements!$C:$C,B560),""))</f>
        <v/>
      </c>
      <c r="J560" s="5" t="str">
        <f t="shared" si="41"/>
        <v/>
      </c>
      <c r="K560" s="17">
        <f t="shared" si="42"/>
        <v>0</v>
      </c>
      <c r="L560" s="17">
        <f>IF(B560="",0,COUNTIFS(Changements!$A:$A,A560,Changements!$D:$D,B560)+IF(E560="Oui",1,0))</f>
        <v>0</v>
      </c>
      <c r="M560" s="17">
        <f>IF(B560="",0,COUNTIFS(Changements!$A:$A,A560,Changements!$C:$C,B560))</f>
        <v>0</v>
      </c>
      <c r="N560" s="17">
        <f>IF(B560="",0,SUMIFS(Changements!$B:$B,Changements!$A:$A,A560,Changements!$D:$D,B560))</f>
        <v>0</v>
      </c>
      <c r="O560" s="17">
        <f>IF(B560="",0,SUMIFS(Changements!$B:$B,Changements!$A:$A,A560,Changements!$C:$C,B560)+IF(L560&gt;M560,IFERROR(INDEX(Matchs!$F$4:$F$31,MATCH(A560,Matchs!$A$4:$A$31,0)),0),0))</f>
        <v>0</v>
      </c>
      <c r="P560" s="17">
        <f t="shared" si="43"/>
        <v>0</v>
      </c>
      <c r="Q560" s="17">
        <f t="shared" si="44"/>
        <v>0</v>
      </c>
    </row>
    <row r="561" spans="1:17" ht="15" customHeight="1" x14ac:dyDescent="0.25">
      <c r="A561" s="5">
        <f t="shared" si="40"/>
        <v>24</v>
      </c>
      <c r="B561" s="5" t="str">
        <f>INDEX('Effectif Saison'!$E$4:$E$22,6)</f>
        <v>Atilla ER</v>
      </c>
      <c r="C561" s="4"/>
      <c r="D561" s="4"/>
      <c r="E561" s="4"/>
      <c r="F561" s="17" t="str">
        <f>IF(B561="","",IF(AND(E561="Oui",COUNTIFS(Changements!$A:$A,A561,Changements!$D:$D,B561)&gt;0),"⚠ Titulaire+entrée ?",IF(ABS(L561-M561)&gt;1,"⚠ vérifier","")))</f>
        <v/>
      </c>
      <c r="G561" s="5" t="str">
        <f>IF(B561="","",IFERROR(INDEX('Effectif Saison'!$D$4:$D$51,MATCH(B561,'Effectif Saison'!$E$4:$E$51,0)),""))</f>
        <v>Équipe 1</v>
      </c>
      <c r="H561" s="17" t="str">
        <f>IF(L561=0,"",IF(E561="Oui",0,IFERROR(_xlfn.MINIFS(Changements!$B:$B,Changements!$A:$A,A561,Changements!$D:$D,B561),"")))</f>
        <v/>
      </c>
      <c r="I561" s="17" t="str">
        <f>IF(M561=0,"",IFERROR(_xlfn.MAXIFS(Changements!$B:$B,Changements!$A:$A,A561,Changements!$C:$C,B561),""))</f>
        <v/>
      </c>
      <c r="J561" s="5" t="str">
        <f t="shared" si="41"/>
        <v/>
      </c>
      <c r="K561" s="17">
        <f t="shared" si="42"/>
        <v>0</v>
      </c>
      <c r="L561" s="17">
        <f>IF(B561="",0,COUNTIFS(Changements!$A:$A,A561,Changements!$D:$D,B561)+IF(E561="Oui",1,0))</f>
        <v>0</v>
      </c>
      <c r="M561" s="17">
        <f>IF(B561="",0,COUNTIFS(Changements!$A:$A,A561,Changements!$C:$C,B561))</f>
        <v>0</v>
      </c>
      <c r="N561" s="17">
        <f>IF(B561="",0,SUMIFS(Changements!$B:$B,Changements!$A:$A,A561,Changements!$D:$D,B561))</f>
        <v>0</v>
      </c>
      <c r="O561" s="17">
        <f>IF(B561="",0,SUMIFS(Changements!$B:$B,Changements!$A:$A,A561,Changements!$C:$C,B561)+IF(L561&gt;M561,IFERROR(INDEX(Matchs!$F$4:$F$31,MATCH(A561,Matchs!$A$4:$A$31,0)),0),0))</f>
        <v>0</v>
      </c>
      <c r="P561" s="17">
        <f t="shared" si="43"/>
        <v>0</v>
      </c>
      <c r="Q561" s="17">
        <f t="shared" si="44"/>
        <v>0</v>
      </c>
    </row>
    <row r="562" spans="1:17" ht="15" customHeight="1" x14ac:dyDescent="0.25">
      <c r="A562" s="5">
        <f t="shared" si="40"/>
        <v>24</v>
      </c>
      <c r="B562" s="5" t="str">
        <f>INDEX('Effectif Saison'!$E$4:$E$22,7)</f>
        <v>Lucas BUHR</v>
      </c>
      <c r="C562" s="4"/>
      <c r="D562" s="4"/>
      <c r="E562" s="4"/>
      <c r="F562" s="17" t="str">
        <f>IF(B562="","",IF(AND(E562="Oui",COUNTIFS(Changements!$A:$A,A562,Changements!$D:$D,B562)&gt;0),"⚠ Titulaire+entrée ?",IF(ABS(L562-M562)&gt;1,"⚠ vérifier","")))</f>
        <v/>
      </c>
      <c r="G562" s="5" t="str">
        <f>IF(B562="","",IFERROR(INDEX('Effectif Saison'!$D$4:$D$51,MATCH(B562,'Effectif Saison'!$E$4:$E$51,0)),""))</f>
        <v>Équipe 1</v>
      </c>
      <c r="H562" s="17" t="str">
        <f>IF(L562=0,"",IF(E562="Oui",0,IFERROR(_xlfn.MINIFS(Changements!$B:$B,Changements!$A:$A,A562,Changements!$D:$D,B562),"")))</f>
        <v/>
      </c>
      <c r="I562" s="17" t="str">
        <f>IF(M562=0,"",IFERROR(_xlfn.MAXIFS(Changements!$B:$B,Changements!$A:$A,A562,Changements!$C:$C,B562),""))</f>
        <v/>
      </c>
      <c r="J562" s="5" t="str">
        <f t="shared" si="41"/>
        <v/>
      </c>
      <c r="K562" s="17">
        <f t="shared" si="42"/>
        <v>0</v>
      </c>
      <c r="L562" s="17">
        <f>IF(B562="",0,COUNTIFS(Changements!$A:$A,A562,Changements!$D:$D,B562)+IF(E562="Oui",1,0))</f>
        <v>0</v>
      </c>
      <c r="M562" s="17">
        <f>IF(B562="",0,COUNTIFS(Changements!$A:$A,A562,Changements!$C:$C,B562))</f>
        <v>0</v>
      </c>
      <c r="N562" s="17">
        <f>IF(B562="",0,SUMIFS(Changements!$B:$B,Changements!$A:$A,A562,Changements!$D:$D,B562))</f>
        <v>0</v>
      </c>
      <c r="O562" s="17">
        <f>IF(B562="",0,SUMIFS(Changements!$B:$B,Changements!$A:$A,A562,Changements!$C:$C,B562)+IF(L562&gt;M562,IFERROR(INDEX(Matchs!$F$4:$F$31,MATCH(A562,Matchs!$A$4:$A$31,0)),0),0))</f>
        <v>0</v>
      </c>
      <c r="P562" s="17">
        <f t="shared" si="43"/>
        <v>0</v>
      </c>
      <c r="Q562" s="17">
        <f t="shared" si="44"/>
        <v>0</v>
      </c>
    </row>
    <row r="563" spans="1:17" ht="15" customHeight="1" x14ac:dyDescent="0.25">
      <c r="A563" s="5">
        <f t="shared" si="40"/>
        <v>24</v>
      </c>
      <c r="B563" s="5" t="str">
        <f>INDEX('Effectif Saison'!$E$4:$E$22,8)</f>
        <v>Yanis HOUX</v>
      </c>
      <c r="C563" s="4"/>
      <c r="D563" s="4"/>
      <c r="E563" s="4"/>
      <c r="F563" s="17" t="str">
        <f>IF(B563="","",IF(AND(E563="Oui",COUNTIFS(Changements!$A:$A,A563,Changements!$D:$D,B563)&gt;0),"⚠ Titulaire+entrée ?",IF(ABS(L563-M563)&gt;1,"⚠ vérifier","")))</f>
        <v/>
      </c>
      <c r="G563" s="5" t="str">
        <f>IF(B563="","",IFERROR(INDEX('Effectif Saison'!$D$4:$D$51,MATCH(B563,'Effectif Saison'!$E$4:$E$51,0)),""))</f>
        <v>Équipe 1</v>
      </c>
      <c r="H563" s="17" t="str">
        <f>IF(L563=0,"",IF(E563="Oui",0,IFERROR(_xlfn.MINIFS(Changements!$B:$B,Changements!$A:$A,A563,Changements!$D:$D,B563),"")))</f>
        <v/>
      </c>
      <c r="I563" s="17" t="str">
        <f>IF(M563=0,"",IFERROR(_xlfn.MAXIFS(Changements!$B:$B,Changements!$A:$A,A563,Changements!$C:$C,B563),""))</f>
        <v/>
      </c>
      <c r="J563" s="5" t="str">
        <f t="shared" si="41"/>
        <v/>
      </c>
      <c r="K563" s="17">
        <f t="shared" si="42"/>
        <v>0</v>
      </c>
      <c r="L563" s="17">
        <f>IF(B563="",0,COUNTIFS(Changements!$A:$A,A563,Changements!$D:$D,B563)+IF(E563="Oui",1,0))</f>
        <v>0</v>
      </c>
      <c r="M563" s="17">
        <f>IF(B563="",0,COUNTIFS(Changements!$A:$A,A563,Changements!$C:$C,B563))</f>
        <v>0</v>
      </c>
      <c r="N563" s="17">
        <f>IF(B563="",0,SUMIFS(Changements!$B:$B,Changements!$A:$A,A563,Changements!$D:$D,B563))</f>
        <v>0</v>
      </c>
      <c r="O563" s="17">
        <f>IF(B563="",0,SUMIFS(Changements!$B:$B,Changements!$A:$A,A563,Changements!$C:$C,B563)+IF(L563&gt;M563,IFERROR(INDEX(Matchs!$F$4:$F$31,MATCH(A563,Matchs!$A$4:$A$31,0)),0),0))</f>
        <v>0</v>
      </c>
      <c r="P563" s="17">
        <f t="shared" si="43"/>
        <v>0</v>
      </c>
      <c r="Q563" s="17">
        <f t="shared" si="44"/>
        <v>0</v>
      </c>
    </row>
    <row r="564" spans="1:17" ht="15" customHeight="1" x14ac:dyDescent="0.25">
      <c r="A564" s="5">
        <f t="shared" si="40"/>
        <v>24</v>
      </c>
      <c r="B564" s="5" t="str">
        <f>INDEX('Effectif Saison'!$E$4:$E$22,9)</f>
        <v>Tino COLAIANNI</v>
      </c>
      <c r="C564" s="4"/>
      <c r="D564" s="4"/>
      <c r="E564" s="4"/>
      <c r="F564" s="17" t="str">
        <f>IF(B564="","",IF(AND(E564="Oui",COUNTIFS(Changements!$A:$A,A564,Changements!$D:$D,B564)&gt;0),"⚠ Titulaire+entrée ?",IF(ABS(L564-M564)&gt;1,"⚠ vérifier","")))</f>
        <v/>
      </c>
      <c r="G564" s="5" t="str">
        <f>IF(B564="","",IFERROR(INDEX('Effectif Saison'!$D$4:$D$51,MATCH(B564,'Effectif Saison'!$E$4:$E$51,0)),""))</f>
        <v>Équipe 1</v>
      </c>
      <c r="H564" s="17" t="str">
        <f>IF(L564=0,"",IF(E564="Oui",0,IFERROR(_xlfn.MINIFS(Changements!$B:$B,Changements!$A:$A,A564,Changements!$D:$D,B564),"")))</f>
        <v/>
      </c>
      <c r="I564" s="17" t="str">
        <f>IF(M564=0,"",IFERROR(_xlfn.MAXIFS(Changements!$B:$B,Changements!$A:$A,A564,Changements!$C:$C,B564),""))</f>
        <v/>
      </c>
      <c r="J564" s="5" t="str">
        <f t="shared" si="41"/>
        <v/>
      </c>
      <c r="K564" s="17">
        <f t="shared" si="42"/>
        <v>0</v>
      </c>
      <c r="L564" s="17">
        <f>IF(B564="",0,COUNTIFS(Changements!$A:$A,A564,Changements!$D:$D,B564)+IF(E564="Oui",1,0))</f>
        <v>0</v>
      </c>
      <c r="M564" s="17">
        <f>IF(B564="",0,COUNTIFS(Changements!$A:$A,A564,Changements!$C:$C,B564))</f>
        <v>0</v>
      </c>
      <c r="N564" s="17">
        <f>IF(B564="",0,SUMIFS(Changements!$B:$B,Changements!$A:$A,A564,Changements!$D:$D,B564))</f>
        <v>0</v>
      </c>
      <c r="O564" s="17">
        <f>IF(B564="",0,SUMIFS(Changements!$B:$B,Changements!$A:$A,A564,Changements!$C:$C,B564)+IF(L564&gt;M564,IFERROR(INDEX(Matchs!$F$4:$F$31,MATCH(A564,Matchs!$A$4:$A$31,0)),0),0))</f>
        <v>0</v>
      </c>
      <c r="P564" s="17">
        <f t="shared" si="43"/>
        <v>0</v>
      </c>
      <c r="Q564" s="17">
        <f t="shared" si="44"/>
        <v>0</v>
      </c>
    </row>
    <row r="565" spans="1:17" ht="15" customHeight="1" x14ac:dyDescent="0.25">
      <c r="A565" s="5">
        <f t="shared" si="40"/>
        <v>24</v>
      </c>
      <c r="B565" s="5" t="str">
        <f>INDEX('Effectif Saison'!$E$4:$E$22,10)</f>
        <v>Achille KELLERKNECHT</v>
      </c>
      <c r="C565" s="4"/>
      <c r="D565" s="4"/>
      <c r="E565" s="4"/>
      <c r="F565" s="17" t="str">
        <f>IF(B565="","",IF(AND(E565="Oui",COUNTIFS(Changements!$A:$A,A565,Changements!$D:$D,B565)&gt;0),"⚠ Titulaire+entrée ?",IF(ABS(L565-M565)&gt;1,"⚠ vérifier","")))</f>
        <v/>
      </c>
      <c r="G565" s="5" t="str">
        <f>IF(B565="","",IFERROR(INDEX('Effectif Saison'!$D$4:$D$51,MATCH(B565,'Effectif Saison'!$E$4:$E$51,0)),""))</f>
        <v>Équipe 1</v>
      </c>
      <c r="H565" s="17" t="str">
        <f>IF(L565=0,"",IF(E565="Oui",0,IFERROR(_xlfn.MINIFS(Changements!$B:$B,Changements!$A:$A,A565,Changements!$D:$D,B565),"")))</f>
        <v/>
      </c>
      <c r="I565" s="17" t="str">
        <f>IF(M565=0,"",IFERROR(_xlfn.MAXIFS(Changements!$B:$B,Changements!$A:$A,A565,Changements!$C:$C,B565),""))</f>
        <v/>
      </c>
      <c r="J565" s="5" t="str">
        <f t="shared" si="41"/>
        <v/>
      </c>
      <c r="K565" s="17">
        <f t="shared" si="42"/>
        <v>0</v>
      </c>
      <c r="L565" s="17">
        <f>IF(B565="",0,COUNTIFS(Changements!$A:$A,A565,Changements!$D:$D,B565)+IF(E565="Oui",1,0))</f>
        <v>0</v>
      </c>
      <c r="M565" s="17">
        <f>IF(B565="",0,COUNTIFS(Changements!$A:$A,A565,Changements!$C:$C,B565))</f>
        <v>0</v>
      </c>
      <c r="N565" s="17">
        <f>IF(B565="",0,SUMIFS(Changements!$B:$B,Changements!$A:$A,A565,Changements!$D:$D,B565))</f>
        <v>0</v>
      </c>
      <c r="O565" s="17">
        <f>IF(B565="",0,SUMIFS(Changements!$B:$B,Changements!$A:$A,A565,Changements!$C:$C,B565)+IF(L565&gt;M565,IFERROR(INDEX(Matchs!$F$4:$F$31,MATCH(A565,Matchs!$A$4:$A$31,0)),0),0))</f>
        <v>0</v>
      </c>
      <c r="P565" s="17">
        <f t="shared" si="43"/>
        <v>0</v>
      </c>
      <c r="Q565" s="17">
        <f t="shared" si="44"/>
        <v>0</v>
      </c>
    </row>
    <row r="566" spans="1:17" ht="15" customHeight="1" x14ac:dyDescent="0.25">
      <c r="A566" s="5">
        <f t="shared" si="40"/>
        <v>24</v>
      </c>
      <c r="B566" s="5" t="str">
        <f>INDEX('Effectif Saison'!$E$4:$E$22,11)</f>
        <v>Charly LEPERT</v>
      </c>
      <c r="C566" s="4"/>
      <c r="D566" s="4"/>
      <c r="E566" s="4"/>
      <c r="F566" s="17" t="str">
        <f>IF(B566="","",IF(AND(E566="Oui",COUNTIFS(Changements!$A:$A,A566,Changements!$D:$D,B566)&gt;0),"⚠ Titulaire+entrée ?",IF(ABS(L566-M566)&gt;1,"⚠ vérifier","")))</f>
        <v/>
      </c>
      <c r="G566" s="5" t="str">
        <f>IF(B566="","",IFERROR(INDEX('Effectif Saison'!$D$4:$D$51,MATCH(B566,'Effectif Saison'!$E$4:$E$51,0)),""))</f>
        <v>Équipe 1</v>
      </c>
      <c r="H566" s="17" t="str">
        <f>IF(L566=0,"",IF(E566="Oui",0,IFERROR(_xlfn.MINIFS(Changements!$B:$B,Changements!$A:$A,A566,Changements!$D:$D,B566),"")))</f>
        <v/>
      </c>
      <c r="I566" s="17" t="str">
        <f>IF(M566=0,"",IFERROR(_xlfn.MAXIFS(Changements!$B:$B,Changements!$A:$A,A566,Changements!$C:$C,B566),""))</f>
        <v/>
      </c>
      <c r="J566" s="5" t="str">
        <f t="shared" si="41"/>
        <v/>
      </c>
      <c r="K566" s="17">
        <f t="shared" si="42"/>
        <v>0</v>
      </c>
      <c r="L566" s="17">
        <f>IF(B566="",0,COUNTIFS(Changements!$A:$A,A566,Changements!$D:$D,B566)+IF(E566="Oui",1,0))</f>
        <v>0</v>
      </c>
      <c r="M566" s="17">
        <f>IF(B566="",0,COUNTIFS(Changements!$A:$A,A566,Changements!$C:$C,B566))</f>
        <v>0</v>
      </c>
      <c r="N566" s="17">
        <f>IF(B566="",0,SUMIFS(Changements!$B:$B,Changements!$A:$A,A566,Changements!$D:$D,B566))</f>
        <v>0</v>
      </c>
      <c r="O566" s="17">
        <f>IF(B566="",0,SUMIFS(Changements!$B:$B,Changements!$A:$A,A566,Changements!$C:$C,B566)+IF(L566&gt;M566,IFERROR(INDEX(Matchs!$F$4:$F$31,MATCH(A566,Matchs!$A$4:$A$31,0)),0),0))</f>
        <v>0</v>
      </c>
      <c r="P566" s="17">
        <f t="shared" si="43"/>
        <v>0</v>
      </c>
      <c r="Q566" s="17">
        <f t="shared" si="44"/>
        <v>0</v>
      </c>
    </row>
    <row r="567" spans="1:17" ht="15" customHeight="1" x14ac:dyDescent="0.25">
      <c r="A567" s="5">
        <f t="shared" si="40"/>
        <v>24</v>
      </c>
      <c r="B567" s="5" t="str">
        <f>INDEX('Effectif Saison'!$E$4:$E$22,12)</f>
        <v>Basile STANGRET</v>
      </c>
      <c r="C567" s="4"/>
      <c r="D567" s="4"/>
      <c r="E567" s="4"/>
      <c r="F567" s="17" t="str">
        <f>IF(B567="","",IF(AND(E567="Oui",COUNTIFS(Changements!$A:$A,A567,Changements!$D:$D,B567)&gt;0),"⚠ Titulaire+entrée ?",IF(ABS(L567-M567)&gt;1,"⚠ vérifier","")))</f>
        <v/>
      </c>
      <c r="G567" s="5" t="str">
        <f>IF(B567="","",IFERROR(INDEX('Effectif Saison'!$D$4:$D$51,MATCH(B567,'Effectif Saison'!$E$4:$E$51,0)),""))</f>
        <v>Équipe 1</v>
      </c>
      <c r="H567" s="17" t="str">
        <f>IF(L567=0,"",IF(E567="Oui",0,IFERROR(_xlfn.MINIFS(Changements!$B:$B,Changements!$A:$A,A567,Changements!$D:$D,B567),"")))</f>
        <v/>
      </c>
      <c r="I567" s="17" t="str">
        <f>IF(M567=0,"",IFERROR(_xlfn.MAXIFS(Changements!$B:$B,Changements!$A:$A,A567,Changements!$C:$C,B567),""))</f>
        <v/>
      </c>
      <c r="J567" s="5" t="str">
        <f t="shared" si="41"/>
        <v/>
      </c>
      <c r="K567" s="17">
        <f t="shared" si="42"/>
        <v>0</v>
      </c>
      <c r="L567" s="17">
        <f>IF(B567="",0,COUNTIFS(Changements!$A:$A,A567,Changements!$D:$D,B567)+IF(E567="Oui",1,0))</f>
        <v>0</v>
      </c>
      <c r="M567" s="17">
        <f>IF(B567="",0,COUNTIFS(Changements!$A:$A,A567,Changements!$C:$C,B567))</f>
        <v>0</v>
      </c>
      <c r="N567" s="17">
        <f>IF(B567="",0,SUMIFS(Changements!$B:$B,Changements!$A:$A,A567,Changements!$D:$D,B567))</f>
        <v>0</v>
      </c>
      <c r="O567" s="17">
        <f>IF(B567="",0,SUMIFS(Changements!$B:$B,Changements!$A:$A,A567,Changements!$C:$C,B567)+IF(L567&gt;M567,IFERROR(INDEX(Matchs!$F$4:$F$31,MATCH(A567,Matchs!$A$4:$A$31,0)),0),0))</f>
        <v>0</v>
      </c>
      <c r="P567" s="17">
        <f t="shared" si="43"/>
        <v>0</v>
      </c>
      <c r="Q567" s="17">
        <f t="shared" si="44"/>
        <v>0</v>
      </c>
    </row>
    <row r="568" spans="1:17" ht="15" customHeight="1" x14ac:dyDescent="0.25">
      <c r="A568" s="5">
        <f t="shared" si="40"/>
        <v>24</v>
      </c>
      <c r="B568" s="5" t="str">
        <f>INDEX('Effectif Saison'!$E$4:$E$22,13)</f>
        <v>Maxence KELLER</v>
      </c>
      <c r="C568" s="4"/>
      <c r="D568" s="4"/>
      <c r="E568" s="4"/>
      <c r="F568" s="17" t="str">
        <f>IF(B568="","",IF(AND(E568="Oui",COUNTIFS(Changements!$A:$A,A568,Changements!$D:$D,B568)&gt;0),"⚠ Titulaire+entrée ?",IF(ABS(L568-M568)&gt;1,"⚠ vérifier","")))</f>
        <v/>
      </c>
      <c r="G568" s="5" t="str">
        <f>IF(B568="","",IFERROR(INDEX('Effectif Saison'!$D$4:$D$51,MATCH(B568,'Effectif Saison'!$E$4:$E$51,0)),""))</f>
        <v>Équipe 1</v>
      </c>
      <c r="H568" s="17" t="str">
        <f>IF(L568=0,"",IF(E568="Oui",0,IFERROR(_xlfn.MINIFS(Changements!$B:$B,Changements!$A:$A,A568,Changements!$D:$D,B568),"")))</f>
        <v/>
      </c>
      <c r="I568" s="17" t="str">
        <f>IF(M568=0,"",IFERROR(_xlfn.MAXIFS(Changements!$B:$B,Changements!$A:$A,A568,Changements!$C:$C,B568),""))</f>
        <v/>
      </c>
      <c r="J568" s="5" t="str">
        <f t="shared" si="41"/>
        <v/>
      </c>
      <c r="K568" s="17">
        <f t="shared" si="42"/>
        <v>0</v>
      </c>
      <c r="L568" s="17">
        <f>IF(B568="",0,COUNTIFS(Changements!$A:$A,A568,Changements!$D:$D,B568)+IF(E568="Oui",1,0))</f>
        <v>0</v>
      </c>
      <c r="M568" s="17">
        <f>IF(B568="",0,COUNTIFS(Changements!$A:$A,A568,Changements!$C:$C,B568))</f>
        <v>0</v>
      </c>
      <c r="N568" s="17">
        <f>IF(B568="",0,SUMIFS(Changements!$B:$B,Changements!$A:$A,A568,Changements!$D:$D,B568))</f>
        <v>0</v>
      </c>
      <c r="O568" s="17">
        <f>IF(B568="",0,SUMIFS(Changements!$B:$B,Changements!$A:$A,A568,Changements!$C:$C,B568)+IF(L568&gt;M568,IFERROR(INDEX(Matchs!$F$4:$F$31,MATCH(A568,Matchs!$A$4:$A$31,0)),0),0))</f>
        <v>0</v>
      </c>
      <c r="P568" s="17">
        <f t="shared" si="43"/>
        <v>0</v>
      </c>
      <c r="Q568" s="17">
        <f t="shared" si="44"/>
        <v>0</v>
      </c>
    </row>
    <row r="569" spans="1:17" ht="15" customHeight="1" x14ac:dyDescent="0.25">
      <c r="A569" s="5">
        <f t="shared" si="40"/>
        <v>24</v>
      </c>
      <c r="B569" s="5" t="str">
        <f>INDEX('Effectif Saison'!$E$4:$E$22,14)</f>
        <v>Evan SCHMITT</v>
      </c>
      <c r="C569" s="4"/>
      <c r="D569" s="4"/>
      <c r="E569" s="4"/>
      <c r="F569" s="17" t="str">
        <f>IF(B569="","",IF(AND(E569="Oui",COUNTIFS(Changements!$A:$A,A569,Changements!$D:$D,B569)&gt;0),"⚠ Titulaire+entrée ?",IF(ABS(L569-M569)&gt;1,"⚠ vérifier","")))</f>
        <v/>
      </c>
      <c r="G569" s="5" t="str">
        <f>IF(B569="","",IFERROR(INDEX('Effectif Saison'!$D$4:$D$51,MATCH(B569,'Effectif Saison'!$E$4:$E$51,0)),""))</f>
        <v>Équipe 1</v>
      </c>
      <c r="H569" s="17" t="str">
        <f>IF(L569=0,"",IF(E569="Oui",0,IFERROR(_xlfn.MINIFS(Changements!$B:$B,Changements!$A:$A,A569,Changements!$D:$D,B569),"")))</f>
        <v/>
      </c>
      <c r="I569" s="17" t="str">
        <f>IF(M569=0,"",IFERROR(_xlfn.MAXIFS(Changements!$B:$B,Changements!$A:$A,A569,Changements!$C:$C,B569),""))</f>
        <v/>
      </c>
      <c r="J569" s="5" t="str">
        <f t="shared" si="41"/>
        <v/>
      </c>
      <c r="K569" s="17">
        <f t="shared" si="42"/>
        <v>0</v>
      </c>
      <c r="L569" s="17">
        <f>IF(B569="",0,COUNTIFS(Changements!$A:$A,A569,Changements!$D:$D,B569)+IF(E569="Oui",1,0))</f>
        <v>0</v>
      </c>
      <c r="M569" s="17">
        <f>IF(B569="",0,COUNTIFS(Changements!$A:$A,A569,Changements!$C:$C,B569))</f>
        <v>0</v>
      </c>
      <c r="N569" s="17">
        <f>IF(B569="",0,SUMIFS(Changements!$B:$B,Changements!$A:$A,A569,Changements!$D:$D,B569))</f>
        <v>0</v>
      </c>
      <c r="O569" s="17">
        <f>IF(B569="",0,SUMIFS(Changements!$B:$B,Changements!$A:$A,A569,Changements!$C:$C,B569)+IF(L569&gt;M569,IFERROR(INDEX(Matchs!$F$4:$F$31,MATCH(A569,Matchs!$A$4:$A$31,0)),0),0))</f>
        <v>0</v>
      </c>
      <c r="P569" s="17">
        <f t="shared" si="43"/>
        <v>0</v>
      </c>
      <c r="Q569" s="17">
        <f t="shared" si="44"/>
        <v>0</v>
      </c>
    </row>
    <row r="570" spans="1:17" ht="15" customHeight="1" x14ac:dyDescent="0.25">
      <c r="A570" s="5">
        <f t="shared" si="40"/>
        <v>24</v>
      </c>
      <c r="B570" s="5" t="str">
        <f>INDEX('Effectif Saison'!$E$4:$E$22,15)</f>
        <v>William SIMON</v>
      </c>
      <c r="C570" s="4"/>
      <c r="D570" s="4"/>
      <c r="E570" s="4"/>
      <c r="F570" s="17" t="str">
        <f>IF(B570="","",IF(AND(E570="Oui",COUNTIFS(Changements!$A:$A,A570,Changements!$D:$D,B570)&gt;0),"⚠ Titulaire+entrée ?",IF(ABS(L570-M570)&gt;1,"⚠ vérifier","")))</f>
        <v/>
      </c>
      <c r="G570" s="5" t="str">
        <f>IF(B570="","",IFERROR(INDEX('Effectif Saison'!$D$4:$D$51,MATCH(B570,'Effectif Saison'!$E$4:$E$51,0)),""))</f>
        <v>Équipe 1</v>
      </c>
      <c r="H570" s="17" t="str">
        <f>IF(L570=0,"",IF(E570="Oui",0,IFERROR(_xlfn.MINIFS(Changements!$B:$B,Changements!$A:$A,A570,Changements!$D:$D,B570),"")))</f>
        <v/>
      </c>
      <c r="I570" s="17" t="str">
        <f>IF(M570=0,"",IFERROR(_xlfn.MAXIFS(Changements!$B:$B,Changements!$A:$A,A570,Changements!$C:$C,B570),""))</f>
        <v/>
      </c>
      <c r="J570" s="5" t="str">
        <f t="shared" si="41"/>
        <v/>
      </c>
      <c r="K570" s="17">
        <f t="shared" si="42"/>
        <v>0</v>
      </c>
      <c r="L570" s="17">
        <f>IF(B570="",0,COUNTIFS(Changements!$A:$A,A570,Changements!$D:$D,B570)+IF(E570="Oui",1,0))</f>
        <v>0</v>
      </c>
      <c r="M570" s="17">
        <f>IF(B570="",0,COUNTIFS(Changements!$A:$A,A570,Changements!$C:$C,B570))</f>
        <v>0</v>
      </c>
      <c r="N570" s="17">
        <f>IF(B570="",0,SUMIFS(Changements!$B:$B,Changements!$A:$A,A570,Changements!$D:$D,B570))</f>
        <v>0</v>
      </c>
      <c r="O570" s="17">
        <f>IF(B570="",0,SUMIFS(Changements!$B:$B,Changements!$A:$A,A570,Changements!$C:$C,B570)+IF(L570&gt;M570,IFERROR(INDEX(Matchs!$F$4:$F$31,MATCH(A570,Matchs!$A$4:$A$31,0)),0),0))</f>
        <v>0</v>
      </c>
      <c r="P570" s="17">
        <f t="shared" si="43"/>
        <v>0</v>
      </c>
      <c r="Q570" s="17">
        <f t="shared" si="44"/>
        <v>0</v>
      </c>
    </row>
    <row r="571" spans="1:17" ht="15" customHeight="1" x14ac:dyDescent="0.25">
      <c r="A571" s="5">
        <f t="shared" si="40"/>
        <v>24</v>
      </c>
      <c r="B571" s="5" t="str">
        <f>INDEX('Effectif Saison'!$E$4:$E$22,16)</f>
        <v>Lenny LEPPER</v>
      </c>
      <c r="C571" s="4"/>
      <c r="D571" s="4"/>
      <c r="E571" s="4"/>
      <c r="F571" s="17" t="str">
        <f>IF(B571="","",IF(AND(E571="Oui",COUNTIFS(Changements!$A:$A,A571,Changements!$D:$D,B571)&gt;0),"⚠ Titulaire+entrée ?",IF(ABS(L571-M571)&gt;1,"⚠ vérifier","")))</f>
        <v/>
      </c>
      <c r="G571" s="5" t="str">
        <f>IF(B571="","",IFERROR(INDEX('Effectif Saison'!$D$4:$D$51,MATCH(B571,'Effectif Saison'!$E$4:$E$51,0)),""))</f>
        <v>Équipe 1</v>
      </c>
      <c r="H571" s="17" t="str">
        <f>IF(L571=0,"",IF(E571="Oui",0,IFERROR(_xlfn.MINIFS(Changements!$B:$B,Changements!$A:$A,A571,Changements!$D:$D,B571),"")))</f>
        <v/>
      </c>
      <c r="I571" s="17" t="str">
        <f>IF(M571=0,"",IFERROR(_xlfn.MAXIFS(Changements!$B:$B,Changements!$A:$A,A571,Changements!$C:$C,B571),""))</f>
        <v/>
      </c>
      <c r="J571" s="5" t="str">
        <f t="shared" si="41"/>
        <v/>
      </c>
      <c r="K571" s="17">
        <f t="shared" si="42"/>
        <v>0</v>
      </c>
      <c r="L571" s="17">
        <f>IF(B571="",0,COUNTIFS(Changements!$A:$A,A571,Changements!$D:$D,B571)+IF(E571="Oui",1,0))</f>
        <v>0</v>
      </c>
      <c r="M571" s="17">
        <f>IF(B571="",0,COUNTIFS(Changements!$A:$A,A571,Changements!$C:$C,B571))</f>
        <v>0</v>
      </c>
      <c r="N571" s="17">
        <f>IF(B571="",0,SUMIFS(Changements!$B:$B,Changements!$A:$A,A571,Changements!$D:$D,B571))</f>
        <v>0</v>
      </c>
      <c r="O571" s="17">
        <f>IF(B571="",0,SUMIFS(Changements!$B:$B,Changements!$A:$A,A571,Changements!$C:$C,B571)+IF(L571&gt;M571,IFERROR(INDEX(Matchs!$F$4:$F$31,MATCH(A571,Matchs!$A$4:$A$31,0)),0),0))</f>
        <v>0</v>
      </c>
      <c r="P571" s="17">
        <f t="shared" si="43"/>
        <v>0</v>
      </c>
      <c r="Q571" s="17">
        <f t="shared" si="44"/>
        <v>0</v>
      </c>
    </row>
    <row r="572" spans="1:17" ht="15" customHeight="1" x14ac:dyDescent="0.25">
      <c r="A572" s="5">
        <f t="shared" si="40"/>
        <v>24</v>
      </c>
      <c r="B572" s="5" t="str">
        <f>INDEX('Effectif Saison'!$E$4:$E$22,17)</f>
        <v>Malo KELLER</v>
      </c>
      <c r="C572" s="4"/>
      <c r="D572" s="4"/>
      <c r="E572" s="4"/>
      <c r="F572" s="17" t="str">
        <f>IF(B572="","",IF(AND(E572="Oui",COUNTIFS(Changements!$A:$A,A572,Changements!$D:$D,B572)&gt;0),"⚠ Titulaire+entrée ?",IF(ABS(L572-M572)&gt;1,"⚠ vérifier","")))</f>
        <v/>
      </c>
      <c r="G572" s="5" t="str">
        <f>IF(B572="","",IFERROR(INDEX('Effectif Saison'!$D$4:$D$51,MATCH(B572,'Effectif Saison'!$E$4:$E$51,0)),""))</f>
        <v>Équipe 1</v>
      </c>
      <c r="H572" s="17" t="str">
        <f>IF(L572=0,"",IF(E572="Oui",0,IFERROR(_xlfn.MINIFS(Changements!$B:$B,Changements!$A:$A,A572,Changements!$D:$D,B572),"")))</f>
        <v/>
      </c>
      <c r="I572" s="17" t="str">
        <f>IF(M572=0,"",IFERROR(_xlfn.MAXIFS(Changements!$B:$B,Changements!$A:$A,A572,Changements!$C:$C,B572),""))</f>
        <v/>
      </c>
      <c r="J572" s="5" t="str">
        <f t="shared" si="41"/>
        <v/>
      </c>
      <c r="K572" s="17">
        <f t="shared" si="42"/>
        <v>0</v>
      </c>
      <c r="L572" s="17">
        <f>IF(B572="",0,COUNTIFS(Changements!$A:$A,A572,Changements!$D:$D,B572)+IF(E572="Oui",1,0))</f>
        <v>0</v>
      </c>
      <c r="M572" s="17">
        <f>IF(B572="",0,COUNTIFS(Changements!$A:$A,A572,Changements!$C:$C,B572))</f>
        <v>0</v>
      </c>
      <c r="N572" s="17">
        <f>IF(B572="",0,SUMIFS(Changements!$B:$B,Changements!$A:$A,A572,Changements!$D:$D,B572))</f>
        <v>0</v>
      </c>
      <c r="O572" s="17">
        <f>IF(B572="",0,SUMIFS(Changements!$B:$B,Changements!$A:$A,A572,Changements!$C:$C,B572)+IF(L572&gt;M572,IFERROR(INDEX(Matchs!$F$4:$F$31,MATCH(A572,Matchs!$A$4:$A$31,0)),0),0))</f>
        <v>0</v>
      </c>
      <c r="P572" s="17">
        <f t="shared" si="43"/>
        <v>0</v>
      </c>
      <c r="Q572" s="17">
        <f t="shared" si="44"/>
        <v>0</v>
      </c>
    </row>
    <row r="573" spans="1:17" ht="15" customHeight="1" x14ac:dyDescent="0.25">
      <c r="A573" s="5">
        <f t="shared" si="40"/>
        <v>24</v>
      </c>
      <c r="B573" s="5" t="str">
        <f>INDEX('Effectif Saison'!$E$4:$E$22,18)</f>
        <v>Tom SCHILLER</v>
      </c>
      <c r="C573" s="4"/>
      <c r="D573" s="4"/>
      <c r="E573" s="4"/>
      <c r="F573" s="17" t="str">
        <f>IF(B573="","",IF(AND(E573="Oui",COUNTIFS(Changements!$A:$A,A573,Changements!$D:$D,B573)&gt;0),"⚠ Titulaire+entrée ?",IF(ABS(L573-M573)&gt;1,"⚠ vérifier","")))</f>
        <v/>
      </c>
      <c r="G573" s="5" t="str">
        <f>IF(B573="","",IFERROR(INDEX('Effectif Saison'!$D$4:$D$51,MATCH(B573,'Effectif Saison'!$E$4:$E$51,0)),""))</f>
        <v>Équipe 1</v>
      </c>
      <c r="H573" s="17" t="str">
        <f>IF(L573=0,"",IF(E573="Oui",0,IFERROR(_xlfn.MINIFS(Changements!$B:$B,Changements!$A:$A,A573,Changements!$D:$D,B573),"")))</f>
        <v/>
      </c>
      <c r="I573" s="17" t="str">
        <f>IF(M573=0,"",IFERROR(_xlfn.MAXIFS(Changements!$B:$B,Changements!$A:$A,A573,Changements!$C:$C,B573),""))</f>
        <v/>
      </c>
      <c r="J573" s="5" t="str">
        <f t="shared" si="41"/>
        <v/>
      </c>
      <c r="K573" s="17">
        <f t="shared" si="42"/>
        <v>0</v>
      </c>
      <c r="L573" s="17">
        <f>IF(B573="",0,COUNTIFS(Changements!$A:$A,A573,Changements!$D:$D,B573)+IF(E573="Oui",1,0))</f>
        <v>0</v>
      </c>
      <c r="M573" s="17">
        <f>IF(B573="",0,COUNTIFS(Changements!$A:$A,A573,Changements!$C:$C,B573))</f>
        <v>0</v>
      </c>
      <c r="N573" s="17">
        <f>IF(B573="",0,SUMIFS(Changements!$B:$B,Changements!$A:$A,A573,Changements!$D:$D,B573))</f>
        <v>0</v>
      </c>
      <c r="O573" s="17">
        <f>IF(B573="",0,SUMIFS(Changements!$B:$B,Changements!$A:$A,A573,Changements!$C:$C,B573)+IF(L573&gt;M573,IFERROR(INDEX(Matchs!$F$4:$F$31,MATCH(A573,Matchs!$A$4:$A$31,0)),0),0))</f>
        <v>0</v>
      </c>
      <c r="P573" s="17">
        <f t="shared" si="43"/>
        <v>0</v>
      </c>
      <c r="Q573" s="17">
        <f t="shared" si="44"/>
        <v>0</v>
      </c>
    </row>
    <row r="574" spans="1:17" ht="15" customHeight="1" x14ac:dyDescent="0.25">
      <c r="A574" s="5">
        <f t="shared" si="40"/>
        <v>24</v>
      </c>
      <c r="B574" s="5" t="str">
        <f>INDEX('Effectif Saison'!$E$4:$E$22,19)</f>
        <v>Eliot LEIBY</v>
      </c>
      <c r="C574" s="4"/>
      <c r="D574" s="4"/>
      <c r="E574" s="4"/>
      <c r="F574" s="17" t="str">
        <f>IF(B574="","",IF(AND(E574="Oui",COUNTIFS(Changements!$A:$A,A574,Changements!$D:$D,B574)&gt;0),"⚠ Titulaire+entrée ?",IF(ABS(L574-M574)&gt;1,"⚠ vérifier","")))</f>
        <v/>
      </c>
      <c r="G574" s="5" t="str">
        <f>IF(B574="","",IFERROR(INDEX('Effectif Saison'!$D$4:$D$51,MATCH(B574,'Effectif Saison'!$E$4:$E$51,0)),""))</f>
        <v>Équipe 1</v>
      </c>
      <c r="H574" s="17" t="str">
        <f>IF(L574=0,"",IF(E574="Oui",0,IFERROR(_xlfn.MINIFS(Changements!$B:$B,Changements!$A:$A,A574,Changements!$D:$D,B574),"")))</f>
        <v/>
      </c>
      <c r="I574" s="17" t="str">
        <f>IF(M574=0,"",IFERROR(_xlfn.MAXIFS(Changements!$B:$B,Changements!$A:$A,A574,Changements!$C:$C,B574),""))</f>
        <v/>
      </c>
      <c r="J574" s="5" t="str">
        <f t="shared" si="41"/>
        <v/>
      </c>
      <c r="K574" s="17">
        <f t="shared" si="42"/>
        <v>0</v>
      </c>
      <c r="L574" s="17">
        <f>IF(B574="",0,COUNTIFS(Changements!$A:$A,A574,Changements!$D:$D,B574)+IF(E574="Oui",1,0))</f>
        <v>0</v>
      </c>
      <c r="M574" s="17">
        <f>IF(B574="",0,COUNTIFS(Changements!$A:$A,A574,Changements!$C:$C,B574))</f>
        <v>0</v>
      </c>
      <c r="N574" s="17">
        <f>IF(B574="",0,SUMIFS(Changements!$B:$B,Changements!$A:$A,A574,Changements!$D:$D,B574))</f>
        <v>0</v>
      </c>
      <c r="O574" s="17">
        <f>IF(B574="",0,SUMIFS(Changements!$B:$B,Changements!$A:$A,A574,Changements!$C:$C,B574)+IF(L574&gt;M574,IFERROR(INDEX(Matchs!$F$4:$F$31,MATCH(A574,Matchs!$A$4:$A$31,0)),0),0))</f>
        <v>0</v>
      </c>
      <c r="P574" s="17">
        <f t="shared" si="43"/>
        <v>0</v>
      </c>
      <c r="Q574" s="17">
        <f t="shared" si="44"/>
        <v>0</v>
      </c>
    </row>
    <row r="575" spans="1:17" ht="15" customHeight="1" x14ac:dyDescent="0.25">
      <c r="A575" s="5">
        <f t="shared" si="40"/>
        <v>24</v>
      </c>
      <c r="B575" s="4"/>
      <c r="C575" s="4"/>
      <c r="D575" s="4"/>
      <c r="E575" s="4"/>
      <c r="F575" s="17" t="str">
        <f>IF(B575="","",IF(AND(E575="Oui",COUNTIFS(Changements!$A:$A,A575,Changements!$D:$D,B575)&gt;0),"⚠ Titulaire+entrée ?",IF(ABS(L575-M575)&gt;1,"⚠ vérifier","")))</f>
        <v/>
      </c>
      <c r="G575" s="5" t="str">
        <f>IF(B575="","",IFERROR(INDEX('Effectif Saison'!$D$4:$D$51,MATCH(B575,'Effectif Saison'!$E$4:$E$51,0)),""))</f>
        <v/>
      </c>
      <c r="H575" s="17" t="str">
        <f>IF(L575=0,"",IF(E575="Oui",0,IFERROR(_xlfn.MINIFS(Changements!$B:$B,Changements!$A:$A,A575,Changements!$D:$D,B575),"")))</f>
        <v/>
      </c>
      <c r="I575" s="17" t="str">
        <f>IF(M575=0,"",IFERROR(_xlfn.MAXIFS(Changements!$B:$B,Changements!$A:$A,A575,Changements!$C:$C,B575),""))</f>
        <v/>
      </c>
      <c r="J575" s="5" t="str">
        <f t="shared" si="41"/>
        <v/>
      </c>
      <c r="K575" s="17">
        <f t="shared" si="42"/>
        <v>0</v>
      </c>
      <c r="L575" s="17">
        <f>IF(B575="",0,COUNTIFS(Changements!$A:$A,A575,Changements!$D:$D,B575)+IF(E575="Oui",1,0))</f>
        <v>0</v>
      </c>
      <c r="M575" s="17">
        <f>IF(B575="",0,COUNTIFS(Changements!$A:$A,A575,Changements!$C:$C,B575))</f>
        <v>0</v>
      </c>
      <c r="N575" s="17">
        <f>IF(B575="",0,SUMIFS(Changements!$B:$B,Changements!$A:$A,A575,Changements!$D:$D,B575))</f>
        <v>0</v>
      </c>
      <c r="O575" s="17">
        <f>IF(B575="",0,SUMIFS(Changements!$B:$B,Changements!$A:$A,A575,Changements!$C:$C,B575)+IF(L575&gt;M575,IFERROR(INDEX(Matchs!$F$4:$F$31,MATCH(A575,Matchs!$A$4:$A$31,0)),0),0))</f>
        <v>0</v>
      </c>
      <c r="P575" s="17">
        <f t="shared" si="43"/>
        <v>0</v>
      </c>
      <c r="Q575" s="17">
        <f t="shared" si="44"/>
        <v>0</v>
      </c>
    </row>
    <row r="576" spans="1:17" ht="15" customHeight="1" x14ac:dyDescent="0.25">
      <c r="A576" s="5">
        <f t="shared" si="40"/>
        <v>24</v>
      </c>
      <c r="B576" s="4"/>
      <c r="C576" s="4"/>
      <c r="D576" s="4"/>
      <c r="E576" s="4"/>
      <c r="F576" s="17" t="str">
        <f>IF(B576="","",IF(AND(E576="Oui",COUNTIFS(Changements!$A:$A,A576,Changements!$D:$D,B576)&gt;0),"⚠ Titulaire+entrée ?",IF(ABS(L576-M576)&gt;1,"⚠ vérifier","")))</f>
        <v/>
      </c>
      <c r="G576" s="5" t="str">
        <f>IF(B576="","",IFERROR(INDEX('Effectif Saison'!$D$4:$D$51,MATCH(B576,'Effectif Saison'!$E$4:$E$51,0)),""))</f>
        <v/>
      </c>
      <c r="H576" s="17" t="str">
        <f>IF(L576=0,"",IF(E576="Oui",0,IFERROR(_xlfn.MINIFS(Changements!$B:$B,Changements!$A:$A,A576,Changements!$D:$D,B576),"")))</f>
        <v/>
      </c>
      <c r="I576" s="17" t="str">
        <f>IF(M576=0,"",IFERROR(_xlfn.MAXIFS(Changements!$B:$B,Changements!$A:$A,A576,Changements!$C:$C,B576),""))</f>
        <v/>
      </c>
      <c r="J576" s="5" t="str">
        <f t="shared" si="41"/>
        <v/>
      </c>
      <c r="K576" s="17">
        <f t="shared" si="42"/>
        <v>0</v>
      </c>
      <c r="L576" s="17">
        <f>IF(B576="",0,COUNTIFS(Changements!$A:$A,A576,Changements!$D:$D,B576)+IF(E576="Oui",1,0))</f>
        <v>0</v>
      </c>
      <c r="M576" s="17">
        <f>IF(B576="",0,COUNTIFS(Changements!$A:$A,A576,Changements!$C:$C,B576))</f>
        <v>0</v>
      </c>
      <c r="N576" s="17">
        <f>IF(B576="",0,SUMIFS(Changements!$B:$B,Changements!$A:$A,A576,Changements!$D:$D,B576))</f>
        <v>0</v>
      </c>
      <c r="O576" s="17">
        <f>IF(B576="",0,SUMIFS(Changements!$B:$B,Changements!$A:$A,A576,Changements!$C:$C,B576)+IF(L576&gt;M576,IFERROR(INDEX(Matchs!$F$4:$F$31,MATCH(A576,Matchs!$A$4:$A$31,0)),0),0))</f>
        <v>0</v>
      </c>
      <c r="P576" s="17">
        <f t="shared" si="43"/>
        <v>0</v>
      </c>
      <c r="Q576" s="17">
        <f t="shared" si="44"/>
        <v>0</v>
      </c>
    </row>
    <row r="577" spans="1:17" ht="15" customHeight="1" x14ac:dyDescent="0.25">
      <c r="A577" s="5">
        <f t="shared" si="40"/>
        <v>24</v>
      </c>
      <c r="B577" s="4"/>
      <c r="C577" s="4"/>
      <c r="D577" s="4"/>
      <c r="E577" s="4"/>
      <c r="F577" s="17" t="str">
        <f>IF(B577="","",IF(AND(E577="Oui",COUNTIFS(Changements!$A:$A,A577,Changements!$D:$D,B577)&gt;0),"⚠ Titulaire+entrée ?",IF(ABS(L577-M577)&gt;1,"⚠ vérifier","")))</f>
        <v/>
      </c>
      <c r="G577" s="5" t="str">
        <f>IF(B577="","",IFERROR(INDEX('Effectif Saison'!$D$4:$D$51,MATCH(B577,'Effectif Saison'!$E$4:$E$51,0)),""))</f>
        <v/>
      </c>
      <c r="H577" s="17" t="str">
        <f>IF(L577=0,"",IF(E577="Oui",0,IFERROR(_xlfn.MINIFS(Changements!$B:$B,Changements!$A:$A,A577,Changements!$D:$D,B577),"")))</f>
        <v/>
      </c>
      <c r="I577" s="17" t="str">
        <f>IF(M577=0,"",IFERROR(_xlfn.MAXIFS(Changements!$B:$B,Changements!$A:$A,A577,Changements!$C:$C,B577),""))</f>
        <v/>
      </c>
      <c r="J577" s="5" t="str">
        <f t="shared" si="41"/>
        <v/>
      </c>
      <c r="K577" s="17">
        <f t="shared" si="42"/>
        <v>0</v>
      </c>
      <c r="L577" s="17">
        <f>IF(B577="",0,COUNTIFS(Changements!$A:$A,A577,Changements!$D:$D,B577)+IF(E577="Oui",1,0))</f>
        <v>0</v>
      </c>
      <c r="M577" s="17">
        <f>IF(B577="",0,COUNTIFS(Changements!$A:$A,A577,Changements!$C:$C,B577))</f>
        <v>0</v>
      </c>
      <c r="N577" s="17">
        <f>IF(B577="",0,SUMIFS(Changements!$B:$B,Changements!$A:$A,A577,Changements!$D:$D,B577))</f>
        <v>0</v>
      </c>
      <c r="O577" s="17">
        <f>IF(B577="",0,SUMIFS(Changements!$B:$B,Changements!$A:$A,A577,Changements!$C:$C,B577)+IF(L577&gt;M577,IFERROR(INDEX(Matchs!$F$4:$F$31,MATCH(A577,Matchs!$A$4:$A$31,0)),0),0))</f>
        <v>0</v>
      </c>
      <c r="P577" s="17">
        <f t="shared" si="43"/>
        <v>0</v>
      </c>
      <c r="Q577" s="17">
        <f t="shared" si="44"/>
        <v>0</v>
      </c>
    </row>
    <row r="578" spans="1:17" ht="15" customHeight="1" x14ac:dyDescent="0.25">
      <c r="A578" s="5">
        <f t="shared" si="40"/>
        <v>24</v>
      </c>
      <c r="B578" s="4"/>
      <c r="C578" s="4"/>
      <c r="D578" s="4"/>
      <c r="E578" s="4"/>
      <c r="F578" s="17" t="str">
        <f>IF(B578="","",IF(AND(E578="Oui",COUNTIFS(Changements!$A:$A,A578,Changements!$D:$D,B578)&gt;0),"⚠ Titulaire+entrée ?",IF(ABS(L578-M578)&gt;1,"⚠ vérifier","")))</f>
        <v/>
      </c>
      <c r="G578" s="5" t="str">
        <f>IF(B578="","",IFERROR(INDEX('Effectif Saison'!$D$4:$D$51,MATCH(B578,'Effectif Saison'!$E$4:$E$51,0)),""))</f>
        <v/>
      </c>
      <c r="H578" s="17" t="str">
        <f>IF(L578=0,"",IF(E578="Oui",0,IFERROR(_xlfn.MINIFS(Changements!$B:$B,Changements!$A:$A,A578,Changements!$D:$D,B578),"")))</f>
        <v/>
      </c>
      <c r="I578" s="17" t="str">
        <f>IF(M578=0,"",IFERROR(_xlfn.MAXIFS(Changements!$B:$B,Changements!$A:$A,A578,Changements!$C:$C,B578),""))</f>
        <v/>
      </c>
      <c r="J578" s="5" t="str">
        <f t="shared" si="41"/>
        <v/>
      </c>
      <c r="K578" s="17">
        <f t="shared" si="42"/>
        <v>0</v>
      </c>
      <c r="L578" s="17">
        <f>IF(B578="",0,COUNTIFS(Changements!$A:$A,A578,Changements!$D:$D,B578)+IF(E578="Oui",1,0))</f>
        <v>0</v>
      </c>
      <c r="M578" s="17">
        <f>IF(B578="",0,COUNTIFS(Changements!$A:$A,A578,Changements!$C:$C,B578))</f>
        <v>0</v>
      </c>
      <c r="N578" s="17">
        <f>IF(B578="",0,SUMIFS(Changements!$B:$B,Changements!$A:$A,A578,Changements!$D:$D,B578))</f>
        <v>0</v>
      </c>
      <c r="O578" s="17">
        <f>IF(B578="",0,SUMIFS(Changements!$B:$B,Changements!$A:$A,A578,Changements!$C:$C,B578)+IF(L578&gt;M578,IFERROR(INDEX(Matchs!$F$4:$F$31,MATCH(A578,Matchs!$A$4:$A$31,0)),0),0))</f>
        <v>0</v>
      </c>
      <c r="P578" s="17">
        <f t="shared" si="43"/>
        <v>0</v>
      </c>
      <c r="Q578" s="17">
        <f t="shared" si="44"/>
        <v>0</v>
      </c>
    </row>
    <row r="579" spans="1:17" ht="15" customHeight="1" x14ac:dyDescent="0.25">
      <c r="A579" s="5">
        <f t="shared" si="40"/>
        <v>24</v>
      </c>
      <c r="B579" s="4"/>
      <c r="C579" s="4"/>
      <c r="D579" s="4"/>
      <c r="E579" s="4"/>
      <c r="F579" s="17" t="str">
        <f>IF(B579="","",IF(AND(E579="Oui",COUNTIFS(Changements!$A:$A,A579,Changements!$D:$D,B579)&gt;0),"⚠ Titulaire+entrée ?",IF(ABS(L579-M579)&gt;1,"⚠ vérifier","")))</f>
        <v/>
      </c>
      <c r="G579" s="5" t="str">
        <f>IF(B579="","",IFERROR(INDEX('Effectif Saison'!$D$4:$D$51,MATCH(B579,'Effectif Saison'!$E$4:$E$51,0)),""))</f>
        <v/>
      </c>
      <c r="H579" s="17" t="str">
        <f>IF(L579=0,"",IF(E579="Oui",0,IFERROR(_xlfn.MINIFS(Changements!$B:$B,Changements!$A:$A,A579,Changements!$D:$D,B579),"")))</f>
        <v/>
      </c>
      <c r="I579" s="17" t="str">
        <f>IF(M579=0,"",IFERROR(_xlfn.MAXIFS(Changements!$B:$B,Changements!$A:$A,A579,Changements!$C:$C,B579),""))</f>
        <v/>
      </c>
      <c r="J579" s="5" t="str">
        <f t="shared" si="41"/>
        <v/>
      </c>
      <c r="K579" s="17">
        <f t="shared" si="42"/>
        <v>0</v>
      </c>
      <c r="L579" s="17">
        <f>IF(B579="",0,COUNTIFS(Changements!$A:$A,A579,Changements!$D:$D,B579)+IF(E579="Oui",1,0))</f>
        <v>0</v>
      </c>
      <c r="M579" s="17">
        <f>IF(B579="",0,COUNTIFS(Changements!$A:$A,A579,Changements!$C:$C,B579))</f>
        <v>0</v>
      </c>
      <c r="N579" s="17">
        <f>IF(B579="",0,SUMIFS(Changements!$B:$B,Changements!$A:$A,A579,Changements!$D:$D,B579))</f>
        <v>0</v>
      </c>
      <c r="O579" s="17">
        <f>IF(B579="",0,SUMIFS(Changements!$B:$B,Changements!$A:$A,A579,Changements!$C:$C,B579)+IF(L579&gt;M579,IFERROR(INDEX(Matchs!$F$4:$F$31,MATCH(A579,Matchs!$A$4:$A$31,0)),0),0))</f>
        <v>0</v>
      </c>
      <c r="P579" s="17">
        <f t="shared" si="43"/>
        <v>0</v>
      </c>
      <c r="Q579" s="17">
        <f t="shared" si="44"/>
        <v>0</v>
      </c>
    </row>
    <row r="580" spans="1:17" ht="15" customHeight="1" x14ac:dyDescent="0.25">
      <c r="A580" s="5">
        <f t="shared" ref="A580:A643" si="45">INT((ROW()-4)/24)+1</f>
        <v>25</v>
      </c>
      <c r="B580" s="5" t="str">
        <f>INDEX('Effectif Saison'!$E$4:$E$22,1)</f>
        <v>Alan MICHON</v>
      </c>
      <c r="C580" s="4"/>
      <c r="D580" s="4"/>
      <c r="E580" s="4"/>
      <c r="F580" s="17" t="str">
        <f>IF(B580="","",IF(AND(E580="Oui",COUNTIFS(Changements!$A:$A,A580,Changements!$D:$D,B580)&gt;0),"⚠ Titulaire+entrée ?",IF(ABS(L580-M580)&gt;1,"⚠ vérifier","")))</f>
        <v/>
      </c>
      <c r="G580" s="5" t="str">
        <f>IF(B580="","",IFERROR(INDEX('Effectif Saison'!$D$4:$D$51,MATCH(B580,'Effectif Saison'!$E$4:$E$51,0)),""))</f>
        <v>Équipe 1</v>
      </c>
      <c r="H580" s="17" t="str">
        <f>IF(L580=0,"",IF(E580="Oui",0,IFERROR(_xlfn.MINIFS(Changements!$B:$B,Changements!$A:$A,A580,Changements!$D:$D,B580),"")))</f>
        <v/>
      </c>
      <c r="I580" s="17" t="str">
        <f>IF(M580=0,"",IFERROR(_xlfn.MAXIFS(Changements!$B:$B,Changements!$A:$A,A580,Changements!$C:$C,B580),""))</f>
        <v/>
      </c>
      <c r="J580" s="5" t="str">
        <f t="shared" ref="J580:J643" si="46">IF(OR(B580="",C580&lt;&gt;"Oui"),"",O580-N580)</f>
        <v/>
      </c>
      <c r="K580" s="17">
        <f t="shared" ref="K580:K643" si="47">IF(AND(B580&lt;&gt;"",ISNUMBER(J580)),1,0)</f>
        <v>0</v>
      </c>
      <c r="L580" s="17">
        <f>IF(B580="",0,COUNTIFS(Changements!$A:$A,A580,Changements!$D:$D,B580)+IF(E580="Oui",1,0))</f>
        <v>0</v>
      </c>
      <c r="M580" s="17">
        <f>IF(B580="",0,COUNTIFS(Changements!$A:$A,A580,Changements!$C:$C,B580))</f>
        <v>0</v>
      </c>
      <c r="N580" s="17">
        <f>IF(B580="",0,SUMIFS(Changements!$B:$B,Changements!$A:$A,A580,Changements!$D:$D,B580))</f>
        <v>0</v>
      </c>
      <c r="O580" s="17">
        <f>IF(B580="",0,SUMIFS(Changements!$B:$B,Changements!$A:$A,A580,Changements!$C:$C,B580)+IF(L580&gt;M580,IFERROR(INDEX(Matchs!$F$4:$F$31,MATCH(A580,Matchs!$A$4:$A$31,0)),0),0))</f>
        <v>0</v>
      </c>
      <c r="P580" s="17">
        <f t="shared" ref="P580:P643" si="48">IF(AND(B580&lt;&gt;"",C580="Oui"),1,0)</f>
        <v>0</v>
      </c>
      <c r="Q580" s="17">
        <f t="shared" ref="Q580:Q643" si="49">IF(AND(B580&lt;&gt;"",E580="Oui"),1,0)</f>
        <v>0</v>
      </c>
    </row>
    <row r="581" spans="1:17" ht="15" customHeight="1" x14ac:dyDescent="0.25">
      <c r="A581" s="5">
        <f t="shared" si="45"/>
        <v>25</v>
      </c>
      <c r="B581" s="5" t="str">
        <f>INDEX('Effectif Saison'!$E$4:$E$22,2)</f>
        <v>Jean BRUNTZ</v>
      </c>
      <c r="C581" s="4"/>
      <c r="D581" s="4"/>
      <c r="E581" s="4"/>
      <c r="F581" s="17" t="str">
        <f>IF(B581="","",IF(AND(E581="Oui",COUNTIFS(Changements!$A:$A,A581,Changements!$D:$D,B581)&gt;0),"⚠ Titulaire+entrée ?",IF(ABS(L581-M581)&gt;1,"⚠ vérifier","")))</f>
        <v/>
      </c>
      <c r="G581" s="5" t="str">
        <f>IF(B581="","",IFERROR(INDEX('Effectif Saison'!$D$4:$D$51,MATCH(B581,'Effectif Saison'!$E$4:$E$51,0)),""))</f>
        <v>Équipe 1</v>
      </c>
      <c r="H581" s="17" t="str">
        <f>IF(L581=0,"",IF(E581="Oui",0,IFERROR(_xlfn.MINIFS(Changements!$B:$B,Changements!$A:$A,A581,Changements!$D:$D,B581),"")))</f>
        <v/>
      </c>
      <c r="I581" s="17" t="str">
        <f>IF(M581=0,"",IFERROR(_xlfn.MAXIFS(Changements!$B:$B,Changements!$A:$A,A581,Changements!$C:$C,B581),""))</f>
        <v/>
      </c>
      <c r="J581" s="5" t="str">
        <f t="shared" si="46"/>
        <v/>
      </c>
      <c r="K581" s="17">
        <f t="shared" si="47"/>
        <v>0</v>
      </c>
      <c r="L581" s="17">
        <f>IF(B581="",0,COUNTIFS(Changements!$A:$A,A581,Changements!$D:$D,B581)+IF(E581="Oui",1,0))</f>
        <v>0</v>
      </c>
      <c r="M581" s="17">
        <f>IF(B581="",0,COUNTIFS(Changements!$A:$A,A581,Changements!$C:$C,B581))</f>
        <v>0</v>
      </c>
      <c r="N581" s="17">
        <f>IF(B581="",0,SUMIFS(Changements!$B:$B,Changements!$A:$A,A581,Changements!$D:$D,B581))</f>
        <v>0</v>
      </c>
      <c r="O581" s="17">
        <f>IF(B581="",0,SUMIFS(Changements!$B:$B,Changements!$A:$A,A581,Changements!$C:$C,B581)+IF(L581&gt;M581,IFERROR(INDEX(Matchs!$F$4:$F$31,MATCH(A581,Matchs!$A$4:$A$31,0)),0),0))</f>
        <v>0</v>
      </c>
      <c r="P581" s="17">
        <f t="shared" si="48"/>
        <v>0</v>
      </c>
      <c r="Q581" s="17">
        <f t="shared" si="49"/>
        <v>0</v>
      </c>
    </row>
    <row r="582" spans="1:17" ht="15" customHeight="1" x14ac:dyDescent="0.25">
      <c r="A582" s="5">
        <f t="shared" si="45"/>
        <v>25</v>
      </c>
      <c r="B582" s="5" t="str">
        <f>INDEX('Effectif Saison'!$E$4:$E$22,3)</f>
        <v>Marouane SBK</v>
      </c>
      <c r="C582" s="4"/>
      <c r="D582" s="4"/>
      <c r="E582" s="4"/>
      <c r="F582" s="17" t="str">
        <f>IF(B582="","",IF(AND(E582="Oui",COUNTIFS(Changements!$A:$A,A582,Changements!$D:$D,B582)&gt;0),"⚠ Titulaire+entrée ?",IF(ABS(L582-M582)&gt;1,"⚠ vérifier","")))</f>
        <v/>
      </c>
      <c r="G582" s="5" t="str">
        <f>IF(B582="","",IFERROR(INDEX('Effectif Saison'!$D$4:$D$51,MATCH(B582,'Effectif Saison'!$E$4:$E$51,0)),""))</f>
        <v>Équipe 1</v>
      </c>
      <c r="H582" s="17" t="str">
        <f>IF(L582=0,"",IF(E582="Oui",0,IFERROR(_xlfn.MINIFS(Changements!$B:$B,Changements!$A:$A,A582,Changements!$D:$D,B582),"")))</f>
        <v/>
      </c>
      <c r="I582" s="17" t="str">
        <f>IF(M582=0,"",IFERROR(_xlfn.MAXIFS(Changements!$B:$B,Changements!$A:$A,A582,Changements!$C:$C,B582),""))</f>
        <v/>
      </c>
      <c r="J582" s="5" t="str">
        <f t="shared" si="46"/>
        <v/>
      </c>
      <c r="K582" s="17">
        <f t="shared" si="47"/>
        <v>0</v>
      </c>
      <c r="L582" s="17">
        <f>IF(B582="",0,COUNTIFS(Changements!$A:$A,A582,Changements!$D:$D,B582)+IF(E582="Oui",1,0))</f>
        <v>0</v>
      </c>
      <c r="M582" s="17">
        <f>IF(B582="",0,COUNTIFS(Changements!$A:$A,A582,Changements!$C:$C,B582))</f>
        <v>0</v>
      </c>
      <c r="N582" s="17">
        <f>IF(B582="",0,SUMIFS(Changements!$B:$B,Changements!$A:$A,A582,Changements!$D:$D,B582))</f>
        <v>0</v>
      </c>
      <c r="O582" s="17">
        <f>IF(B582="",0,SUMIFS(Changements!$B:$B,Changements!$A:$A,A582,Changements!$C:$C,B582)+IF(L582&gt;M582,IFERROR(INDEX(Matchs!$F$4:$F$31,MATCH(A582,Matchs!$A$4:$A$31,0)),0),0))</f>
        <v>0</v>
      </c>
      <c r="P582" s="17">
        <f t="shared" si="48"/>
        <v>0</v>
      </c>
      <c r="Q582" s="17">
        <f t="shared" si="49"/>
        <v>0</v>
      </c>
    </row>
    <row r="583" spans="1:17" ht="15" customHeight="1" x14ac:dyDescent="0.25">
      <c r="A583" s="5">
        <f t="shared" si="45"/>
        <v>25</v>
      </c>
      <c r="B583" s="5" t="str">
        <f>INDEX('Effectif Saison'!$E$4:$E$22,4)</f>
        <v>Noé BIHL</v>
      </c>
      <c r="C583" s="4"/>
      <c r="D583" s="4"/>
      <c r="E583" s="4"/>
      <c r="F583" s="17" t="str">
        <f>IF(B583="","",IF(AND(E583="Oui",COUNTIFS(Changements!$A:$A,A583,Changements!$D:$D,B583)&gt;0),"⚠ Titulaire+entrée ?",IF(ABS(L583-M583)&gt;1,"⚠ vérifier","")))</f>
        <v/>
      </c>
      <c r="G583" s="5" t="str">
        <f>IF(B583="","",IFERROR(INDEX('Effectif Saison'!$D$4:$D$51,MATCH(B583,'Effectif Saison'!$E$4:$E$51,0)),""))</f>
        <v>Équipe 1</v>
      </c>
      <c r="H583" s="17" t="str">
        <f>IF(L583=0,"",IF(E583="Oui",0,IFERROR(_xlfn.MINIFS(Changements!$B:$B,Changements!$A:$A,A583,Changements!$D:$D,B583),"")))</f>
        <v/>
      </c>
      <c r="I583" s="17" t="str">
        <f>IF(M583=0,"",IFERROR(_xlfn.MAXIFS(Changements!$B:$B,Changements!$A:$A,A583,Changements!$C:$C,B583),""))</f>
        <v/>
      </c>
      <c r="J583" s="5" t="str">
        <f t="shared" si="46"/>
        <v/>
      </c>
      <c r="K583" s="17">
        <f t="shared" si="47"/>
        <v>0</v>
      </c>
      <c r="L583" s="17">
        <f>IF(B583="",0,COUNTIFS(Changements!$A:$A,A583,Changements!$D:$D,B583)+IF(E583="Oui",1,0))</f>
        <v>0</v>
      </c>
      <c r="M583" s="17">
        <f>IF(B583="",0,COUNTIFS(Changements!$A:$A,A583,Changements!$C:$C,B583))</f>
        <v>0</v>
      </c>
      <c r="N583" s="17">
        <f>IF(B583="",0,SUMIFS(Changements!$B:$B,Changements!$A:$A,A583,Changements!$D:$D,B583))</f>
        <v>0</v>
      </c>
      <c r="O583" s="17">
        <f>IF(B583="",0,SUMIFS(Changements!$B:$B,Changements!$A:$A,A583,Changements!$C:$C,B583)+IF(L583&gt;M583,IFERROR(INDEX(Matchs!$F$4:$F$31,MATCH(A583,Matchs!$A$4:$A$31,0)),0),0))</f>
        <v>0</v>
      </c>
      <c r="P583" s="17">
        <f t="shared" si="48"/>
        <v>0</v>
      </c>
      <c r="Q583" s="17">
        <f t="shared" si="49"/>
        <v>0</v>
      </c>
    </row>
    <row r="584" spans="1:17" ht="15" customHeight="1" x14ac:dyDescent="0.25">
      <c r="A584" s="5">
        <f t="shared" si="45"/>
        <v>25</v>
      </c>
      <c r="B584" s="5" t="str">
        <f>INDEX('Effectif Saison'!$E$4:$E$22,5)</f>
        <v>Luca COLAIANNI</v>
      </c>
      <c r="C584" s="4"/>
      <c r="D584" s="4"/>
      <c r="E584" s="4"/>
      <c r="F584" s="17" t="str">
        <f>IF(B584="","",IF(AND(E584="Oui",COUNTIFS(Changements!$A:$A,A584,Changements!$D:$D,B584)&gt;0),"⚠ Titulaire+entrée ?",IF(ABS(L584-M584)&gt;1,"⚠ vérifier","")))</f>
        <v/>
      </c>
      <c r="G584" s="5" t="str">
        <f>IF(B584="","",IFERROR(INDEX('Effectif Saison'!$D$4:$D$51,MATCH(B584,'Effectif Saison'!$E$4:$E$51,0)),""))</f>
        <v>Équipe 1</v>
      </c>
      <c r="H584" s="17" t="str">
        <f>IF(L584=0,"",IF(E584="Oui",0,IFERROR(_xlfn.MINIFS(Changements!$B:$B,Changements!$A:$A,A584,Changements!$D:$D,B584),"")))</f>
        <v/>
      </c>
      <c r="I584" s="17" t="str">
        <f>IF(M584=0,"",IFERROR(_xlfn.MAXIFS(Changements!$B:$B,Changements!$A:$A,A584,Changements!$C:$C,B584),""))</f>
        <v/>
      </c>
      <c r="J584" s="5" t="str">
        <f t="shared" si="46"/>
        <v/>
      </c>
      <c r="K584" s="17">
        <f t="shared" si="47"/>
        <v>0</v>
      </c>
      <c r="L584" s="17">
        <f>IF(B584="",0,COUNTIFS(Changements!$A:$A,A584,Changements!$D:$D,B584)+IF(E584="Oui",1,0))</f>
        <v>0</v>
      </c>
      <c r="M584" s="17">
        <f>IF(B584="",0,COUNTIFS(Changements!$A:$A,A584,Changements!$C:$C,B584))</f>
        <v>0</v>
      </c>
      <c r="N584" s="17">
        <f>IF(B584="",0,SUMIFS(Changements!$B:$B,Changements!$A:$A,A584,Changements!$D:$D,B584))</f>
        <v>0</v>
      </c>
      <c r="O584" s="17">
        <f>IF(B584="",0,SUMIFS(Changements!$B:$B,Changements!$A:$A,A584,Changements!$C:$C,B584)+IF(L584&gt;M584,IFERROR(INDEX(Matchs!$F$4:$F$31,MATCH(A584,Matchs!$A$4:$A$31,0)),0),0))</f>
        <v>0</v>
      </c>
      <c r="P584" s="17">
        <f t="shared" si="48"/>
        <v>0</v>
      </c>
      <c r="Q584" s="17">
        <f t="shared" si="49"/>
        <v>0</v>
      </c>
    </row>
    <row r="585" spans="1:17" ht="15" customHeight="1" x14ac:dyDescent="0.25">
      <c r="A585" s="5">
        <f t="shared" si="45"/>
        <v>25</v>
      </c>
      <c r="B585" s="5" t="str">
        <f>INDEX('Effectif Saison'!$E$4:$E$22,6)</f>
        <v>Atilla ER</v>
      </c>
      <c r="C585" s="4"/>
      <c r="D585" s="4"/>
      <c r="E585" s="4"/>
      <c r="F585" s="17" t="str">
        <f>IF(B585="","",IF(AND(E585="Oui",COUNTIFS(Changements!$A:$A,A585,Changements!$D:$D,B585)&gt;0),"⚠ Titulaire+entrée ?",IF(ABS(L585-M585)&gt;1,"⚠ vérifier","")))</f>
        <v/>
      </c>
      <c r="G585" s="5" t="str">
        <f>IF(B585="","",IFERROR(INDEX('Effectif Saison'!$D$4:$D$51,MATCH(B585,'Effectif Saison'!$E$4:$E$51,0)),""))</f>
        <v>Équipe 1</v>
      </c>
      <c r="H585" s="17" t="str">
        <f>IF(L585=0,"",IF(E585="Oui",0,IFERROR(_xlfn.MINIFS(Changements!$B:$B,Changements!$A:$A,A585,Changements!$D:$D,B585),"")))</f>
        <v/>
      </c>
      <c r="I585" s="17" t="str">
        <f>IF(M585=0,"",IFERROR(_xlfn.MAXIFS(Changements!$B:$B,Changements!$A:$A,A585,Changements!$C:$C,B585),""))</f>
        <v/>
      </c>
      <c r="J585" s="5" t="str">
        <f t="shared" si="46"/>
        <v/>
      </c>
      <c r="K585" s="17">
        <f t="shared" si="47"/>
        <v>0</v>
      </c>
      <c r="L585" s="17">
        <f>IF(B585="",0,COUNTIFS(Changements!$A:$A,A585,Changements!$D:$D,B585)+IF(E585="Oui",1,0))</f>
        <v>0</v>
      </c>
      <c r="M585" s="17">
        <f>IF(B585="",0,COUNTIFS(Changements!$A:$A,A585,Changements!$C:$C,B585))</f>
        <v>0</v>
      </c>
      <c r="N585" s="17">
        <f>IF(B585="",0,SUMIFS(Changements!$B:$B,Changements!$A:$A,A585,Changements!$D:$D,B585))</f>
        <v>0</v>
      </c>
      <c r="O585" s="17">
        <f>IF(B585="",0,SUMIFS(Changements!$B:$B,Changements!$A:$A,A585,Changements!$C:$C,B585)+IF(L585&gt;M585,IFERROR(INDEX(Matchs!$F$4:$F$31,MATCH(A585,Matchs!$A$4:$A$31,0)),0),0))</f>
        <v>0</v>
      </c>
      <c r="P585" s="17">
        <f t="shared" si="48"/>
        <v>0</v>
      </c>
      <c r="Q585" s="17">
        <f t="shared" si="49"/>
        <v>0</v>
      </c>
    </row>
    <row r="586" spans="1:17" ht="15" customHeight="1" x14ac:dyDescent="0.25">
      <c r="A586" s="5">
        <f t="shared" si="45"/>
        <v>25</v>
      </c>
      <c r="B586" s="5" t="str">
        <f>INDEX('Effectif Saison'!$E$4:$E$22,7)</f>
        <v>Lucas BUHR</v>
      </c>
      <c r="C586" s="4"/>
      <c r="D586" s="4"/>
      <c r="E586" s="4"/>
      <c r="F586" s="17" t="str">
        <f>IF(B586="","",IF(AND(E586="Oui",COUNTIFS(Changements!$A:$A,A586,Changements!$D:$D,B586)&gt;0),"⚠ Titulaire+entrée ?",IF(ABS(L586-M586)&gt;1,"⚠ vérifier","")))</f>
        <v/>
      </c>
      <c r="G586" s="5" t="str">
        <f>IF(B586="","",IFERROR(INDEX('Effectif Saison'!$D$4:$D$51,MATCH(B586,'Effectif Saison'!$E$4:$E$51,0)),""))</f>
        <v>Équipe 1</v>
      </c>
      <c r="H586" s="17" t="str">
        <f>IF(L586=0,"",IF(E586="Oui",0,IFERROR(_xlfn.MINIFS(Changements!$B:$B,Changements!$A:$A,A586,Changements!$D:$D,B586),"")))</f>
        <v/>
      </c>
      <c r="I586" s="17" t="str">
        <f>IF(M586=0,"",IFERROR(_xlfn.MAXIFS(Changements!$B:$B,Changements!$A:$A,A586,Changements!$C:$C,B586),""))</f>
        <v/>
      </c>
      <c r="J586" s="5" t="str">
        <f t="shared" si="46"/>
        <v/>
      </c>
      <c r="K586" s="17">
        <f t="shared" si="47"/>
        <v>0</v>
      </c>
      <c r="L586" s="17">
        <f>IF(B586="",0,COUNTIFS(Changements!$A:$A,A586,Changements!$D:$D,B586)+IF(E586="Oui",1,0))</f>
        <v>0</v>
      </c>
      <c r="M586" s="17">
        <f>IF(B586="",0,COUNTIFS(Changements!$A:$A,A586,Changements!$C:$C,B586))</f>
        <v>0</v>
      </c>
      <c r="N586" s="17">
        <f>IF(B586="",0,SUMIFS(Changements!$B:$B,Changements!$A:$A,A586,Changements!$D:$D,B586))</f>
        <v>0</v>
      </c>
      <c r="O586" s="17">
        <f>IF(B586="",0,SUMIFS(Changements!$B:$B,Changements!$A:$A,A586,Changements!$C:$C,B586)+IF(L586&gt;M586,IFERROR(INDEX(Matchs!$F$4:$F$31,MATCH(A586,Matchs!$A$4:$A$31,0)),0),0))</f>
        <v>0</v>
      </c>
      <c r="P586" s="17">
        <f t="shared" si="48"/>
        <v>0</v>
      </c>
      <c r="Q586" s="17">
        <f t="shared" si="49"/>
        <v>0</v>
      </c>
    </row>
    <row r="587" spans="1:17" ht="15" customHeight="1" x14ac:dyDescent="0.25">
      <c r="A587" s="5">
        <f t="shared" si="45"/>
        <v>25</v>
      </c>
      <c r="B587" s="5" t="str">
        <f>INDEX('Effectif Saison'!$E$4:$E$22,8)</f>
        <v>Yanis HOUX</v>
      </c>
      <c r="C587" s="4"/>
      <c r="D587" s="4"/>
      <c r="E587" s="4"/>
      <c r="F587" s="17" t="str">
        <f>IF(B587="","",IF(AND(E587="Oui",COUNTIFS(Changements!$A:$A,A587,Changements!$D:$D,B587)&gt;0),"⚠ Titulaire+entrée ?",IF(ABS(L587-M587)&gt;1,"⚠ vérifier","")))</f>
        <v/>
      </c>
      <c r="G587" s="5" t="str">
        <f>IF(B587="","",IFERROR(INDEX('Effectif Saison'!$D$4:$D$51,MATCH(B587,'Effectif Saison'!$E$4:$E$51,0)),""))</f>
        <v>Équipe 1</v>
      </c>
      <c r="H587" s="17" t="str">
        <f>IF(L587=0,"",IF(E587="Oui",0,IFERROR(_xlfn.MINIFS(Changements!$B:$B,Changements!$A:$A,A587,Changements!$D:$D,B587),"")))</f>
        <v/>
      </c>
      <c r="I587" s="17" t="str">
        <f>IF(M587=0,"",IFERROR(_xlfn.MAXIFS(Changements!$B:$B,Changements!$A:$A,A587,Changements!$C:$C,B587),""))</f>
        <v/>
      </c>
      <c r="J587" s="5" t="str">
        <f t="shared" si="46"/>
        <v/>
      </c>
      <c r="K587" s="17">
        <f t="shared" si="47"/>
        <v>0</v>
      </c>
      <c r="L587" s="17">
        <f>IF(B587="",0,COUNTIFS(Changements!$A:$A,A587,Changements!$D:$D,B587)+IF(E587="Oui",1,0))</f>
        <v>0</v>
      </c>
      <c r="M587" s="17">
        <f>IF(B587="",0,COUNTIFS(Changements!$A:$A,A587,Changements!$C:$C,B587))</f>
        <v>0</v>
      </c>
      <c r="N587" s="17">
        <f>IF(B587="",0,SUMIFS(Changements!$B:$B,Changements!$A:$A,A587,Changements!$D:$D,B587))</f>
        <v>0</v>
      </c>
      <c r="O587" s="17">
        <f>IF(B587="",0,SUMIFS(Changements!$B:$B,Changements!$A:$A,A587,Changements!$C:$C,B587)+IF(L587&gt;M587,IFERROR(INDEX(Matchs!$F$4:$F$31,MATCH(A587,Matchs!$A$4:$A$31,0)),0),0))</f>
        <v>0</v>
      </c>
      <c r="P587" s="17">
        <f t="shared" si="48"/>
        <v>0</v>
      </c>
      <c r="Q587" s="17">
        <f t="shared" si="49"/>
        <v>0</v>
      </c>
    </row>
    <row r="588" spans="1:17" ht="15" customHeight="1" x14ac:dyDescent="0.25">
      <c r="A588" s="5">
        <f t="shared" si="45"/>
        <v>25</v>
      </c>
      <c r="B588" s="5" t="str">
        <f>INDEX('Effectif Saison'!$E$4:$E$22,9)</f>
        <v>Tino COLAIANNI</v>
      </c>
      <c r="C588" s="4"/>
      <c r="D588" s="4"/>
      <c r="E588" s="4"/>
      <c r="F588" s="17" t="str">
        <f>IF(B588="","",IF(AND(E588="Oui",COUNTIFS(Changements!$A:$A,A588,Changements!$D:$D,B588)&gt;0),"⚠ Titulaire+entrée ?",IF(ABS(L588-M588)&gt;1,"⚠ vérifier","")))</f>
        <v/>
      </c>
      <c r="G588" s="5" t="str">
        <f>IF(B588="","",IFERROR(INDEX('Effectif Saison'!$D$4:$D$51,MATCH(B588,'Effectif Saison'!$E$4:$E$51,0)),""))</f>
        <v>Équipe 1</v>
      </c>
      <c r="H588" s="17" t="str">
        <f>IF(L588=0,"",IF(E588="Oui",0,IFERROR(_xlfn.MINIFS(Changements!$B:$B,Changements!$A:$A,A588,Changements!$D:$D,B588),"")))</f>
        <v/>
      </c>
      <c r="I588" s="17" t="str">
        <f>IF(M588=0,"",IFERROR(_xlfn.MAXIFS(Changements!$B:$B,Changements!$A:$A,A588,Changements!$C:$C,B588),""))</f>
        <v/>
      </c>
      <c r="J588" s="5" t="str">
        <f t="shared" si="46"/>
        <v/>
      </c>
      <c r="K588" s="17">
        <f t="shared" si="47"/>
        <v>0</v>
      </c>
      <c r="L588" s="17">
        <f>IF(B588="",0,COUNTIFS(Changements!$A:$A,A588,Changements!$D:$D,B588)+IF(E588="Oui",1,0))</f>
        <v>0</v>
      </c>
      <c r="M588" s="17">
        <f>IF(B588="",0,COUNTIFS(Changements!$A:$A,A588,Changements!$C:$C,B588))</f>
        <v>0</v>
      </c>
      <c r="N588" s="17">
        <f>IF(B588="",0,SUMIFS(Changements!$B:$B,Changements!$A:$A,A588,Changements!$D:$D,B588))</f>
        <v>0</v>
      </c>
      <c r="O588" s="17">
        <f>IF(B588="",0,SUMIFS(Changements!$B:$B,Changements!$A:$A,A588,Changements!$C:$C,B588)+IF(L588&gt;M588,IFERROR(INDEX(Matchs!$F$4:$F$31,MATCH(A588,Matchs!$A$4:$A$31,0)),0),0))</f>
        <v>0</v>
      </c>
      <c r="P588" s="17">
        <f t="shared" si="48"/>
        <v>0</v>
      </c>
      <c r="Q588" s="17">
        <f t="shared" si="49"/>
        <v>0</v>
      </c>
    </row>
    <row r="589" spans="1:17" ht="15" customHeight="1" x14ac:dyDescent="0.25">
      <c r="A589" s="5">
        <f t="shared" si="45"/>
        <v>25</v>
      </c>
      <c r="B589" s="5" t="str">
        <f>INDEX('Effectif Saison'!$E$4:$E$22,10)</f>
        <v>Achille KELLERKNECHT</v>
      </c>
      <c r="C589" s="4"/>
      <c r="D589" s="4"/>
      <c r="E589" s="4"/>
      <c r="F589" s="17" t="str">
        <f>IF(B589="","",IF(AND(E589="Oui",COUNTIFS(Changements!$A:$A,A589,Changements!$D:$D,B589)&gt;0),"⚠ Titulaire+entrée ?",IF(ABS(L589-M589)&gt;1,"⚠ vérifier","")))</f>
        <v/>
      </c>
      <c r="G589" s="5" t="str">
        <f>IF(B589="","",IFERROR(INDEX('Effectif Saison'!$D$4:$D$51,MATCH(B589,'Effectif Saison'!$E$4:$E$51,0)),""))</f>
        <v>Équipe 1</v>
      </c>
      <c r="H589" s="17" t="str">
        <f>IF(L589=0,"",IF(E589="Oui",0,IFERROR(_xlfn.MINIFS(Changements!$B:$B,Changements!$A:$A,A589,Changements!$D:$D,B589),"")))</f>
        <v/>
      </c>
      <c r="I589" s="17" t="str">
        <f>IF(M589=0,"",IFERROR(_xlfn.MAXIFS(Changements!$B:$B,Changements!$A:$A,A589,Changements!$C:$C,B589),""))</f>
        <v/>
      </c>
      <c r="J589" s="5" t="str">
        <f t="shared" si="46"/>
        <v/>
      </c>
      <c r="K589" s="17">
        <f t="shared" si="47"/>
        <v>0</v>
      </c>
      <c r="L589" s="17">
        <f>IF(B589="",0,COUNTIFS(Changements!$A:$A,A589,Changements!$D:$D,B589)+IF(E589="Oui",1,0))</f>
        <v>0</v>
      </c>
      <c r="M589" s="17">
        <f>IF(B589="",0,COUNTIFS(Changements!$A:$A,A589,Changements!$C:$C,B589))</f>
        <v>0</v>
      </c>
      <c r="N589" s="17">
        <f>IF(B589="",0,SUMIFS(Changements!$B:$B,Changements!$A:$A,A589,Changements!$D:$D,B589))</f>
        <v>0</v>
      </c>
      <c r="O589" s="17">
        <f>IF(B589="",0,SUMIFS(Changements!$B:$B,Changements!$A:$A,A589,Changements!$C:$C,B589)+IF(L589&gt;M589,IFERROR(INDEX(Matchs!$F$4:$F$31,MATCH(A589,Matchs!$A$4:$A$31,0)),0),0))</f>
        <v>0</v>
      </c>
      <c r="P589" s="17">
        <f t="shared" si="48"/>
        <v>0</v>
      </c>
      <c r="Q589" s="17">
        <f t="shared" si="49"/>
        <v>0</v>
      </c>
    </row>
    <row r="590" spans="1:17" ht="15" customHeight="1" x14ac:dyDescent="0.25">
      <c r="A590" s="5">
        <f t="shared" si="45"/>
        <v>25</v>
      </c>
      <c r="B590" s="5" t="str">
        <f>INDEX('Effectif Saison'!$E$4:$E$22,11)</f>
        <v>Charly LEPERT</v>
      </c>
      <c r="C590" s="4"/>
      <c r="D590" s="4"/>
      <c r="E590" s="4"/>
      <c r="F590" s="17" t="str">
        <f>IF(B590="","",IF(AND(E590="Oui",COUNTIFS(Changements!$A:$A,A590,Changements!$D:$D,B590)&gt;0),"⚠ Titulaire+entrée ?",IF(ABS(L590-M590)&gt;1,"⚠ vérifier","")))</f>
        <v/>
      </c>
      <c r="G590" s="5" t="str">
        <f>IF(B590="","",IFERROR(INDEX('Effectif Saison'!$D$4:$D$51,MATCH(B590,'Effectif Saison'!$E$4:$E$51,0)),""))</f>
        <v>Équipe 1</v>
      </c>
      <c r="H590" s="17" t="str">
        <f>IF(L590=0,"",IF(E590="Oui",0,IFERROR(_xlfn.MINIFS(Changements!$B:$B,Changements!$A:$A,A590,Changements!$D:$D,B590),"")))</f>
        <v/>
      </c>
      <c r="I590" s="17" t="str">
        <f>IF(M590=0,"",IFERROR(_xlfn.MAXIFS(Changements!$B:$B,Changements!$A:$A,A590,Changements!$C:$C,B590),""))</f>
        <v/>
      </c>
      <c r="J590" s="5" t="str">
        <f t="shared" si="46"/>
        <v/>
      </c>
      <c r="K590" s="17">
        <f t="shared" si="47"/>
        <v>0</v>
      </c>
      <c r="L590" s="17">
        <f>IF(B590="",0,COUNTIFS(Changements!$A:$A,A590,Changements!$D:$D,B590)+IF(E590="Oui",1,0))</f>
        <v>0</v>
      </c>
      <c r="M590" s="17">
        <f>IF(B590="",0,COUNTIFS(Changements!$A:$A,A590,Changements!$C:$C,B590))</f>
        <v>0</v>
      </c>
      <c r="N590" s="17">
        <f>IF(B590="",0,SUMIFS(Changements!$B:$B,Changements!$A:$A,A590,Changements!$D:$D,B590))</f>
        <v>0</v>
      </c>
      <c r="O590" s="17">
        <f>IF(B590="",0,SUMIFS(Changements!$B:$B,Changements!$A:$A,A590,Changements!$C:$C,B590)+IF(L590&gt;M590,IFERROR(INDEX(Matchs!$F$4:$F$31,MATCH(A590,Matchs!$A$4:$A$31,0)),0),0))</f>
        <v>0</v>
      </c>
      <c r="P590" s="17">
        <f t="shared" si="48"/>
        <v>0</v>
      </c>
      <c r="Q590" s="17">
        <f t="shared" si="49"/>
        <v>0</v>
      </c>
    </row>
    <row r="591" spans="1:17" ht="15" customHeight="1" x14ac:dyDescent="0.25">
      <c r="A591" s="5">
        <f t="shared" si="45"/>
        <v>25</v>
      </c>
      <c r="B591" s="5" t="str">
        <f>INDEX('Effectif Saison'!$E$4:$E$22,12)</f>
        <v>Basile STANGRET</v>
      </c>
      <c r="C591" s="4"/>
      <c r="D591" s="4"/>
      <c r="E591" s="4"/>
      <c r="F591" s="17" t="str">
        <f>IF(B591="","",IF(AND(E591="Oui",COUNTIFS(Changements!$A:$A,A591,Changements!$D:$D,B591)&gt;0),"⚠ Titulaire+entrée ?",IF(ABS(L591-M591)&gt;1,"⚠ vérifier","")))</f>
        <v/>
      </c>
      <c r="G591" s="5" t="str">
        <f>IF(B591="","",IFERROR(INDEX('Effectif Saison'!$D$4:$D$51,MATCH(B591,'Effectif Saison'!$E$4:$E$51,0)),""))</f>
        <v>Équipe 1</v>
      </c>
      <c r="H591" s="17" t="str">
        <f>IF(L591=0,"",IF(E591="Oui",0,IFERROR(_xlfn.MINIFS(Changements!$B:$B,Changements!$A:$A,A591,Changements!$D:$D,B591),"")))</f>
        <v/>
      </c>
      <c r="I591" s="17" t="str">
        <f>IF(M591=0,"",IFERROR(_xlfn.MAXIFS(Changements!$B:$B,Changements!$A:$A,A591,Changements!$C:$C,B591),""))</f>
        <v/>
      </c>
      <c r="J591" s="5" t="str">
        <f t="shared" si="46"/>
        <v/>
      </c>
      <c r="K591" s="17">
        <f t="shared" si="47"/>
        <v>0</v>
      </c>
      <c r="L591" s="17">
        <f>IF(B591="",0,COUNTIFS(Changements!$A:$A,A591,Changements!$D:$D,B591)+IF(E591="Oui",1,0))</f>
        <v>0</v>
      </c>
      <c r="M591" s="17">
        <f>IF(B591="",0,COUNTIFS(Changements!$A:$A,A591,Changements!$C:$C,B591))</f>
        <v>0</v>
      </c>
      <c r="N591" s="17">
        <f>IF(B591="",0,SUMIFS(Changements!$B:$B,Changements!$A:$A,A591,Changements!$D:$D,B591))</f>
        <v>0</v>
      </c>
      <c r="O591" s="17">
        <f>IF(B591="",0,SUMIFS(Changements!$B:$B,Changements!$A:$A,A591,Changements!$C:$C,B591)+IF(L591&gt;M591,IFERROR(INDEX(Matchs!$F$4:$F$31,MATCH(A591,Matchs!$A$4:$A$31,0)),0),0))</f>
        <v>0</v>
      </c>
      <c r="P591" s="17">
        <f t="shared" si="48"/>
        <v>0</v>
      </c>
      <c r="Q591" s="17">
        <f t="shared" si="49"/>
        <v>0</v>
      </c>
    </row>
    <row r="592" spans="1:17" ht="15" customHeight="1" x14ac:dyDescent="0.25">
      <c r="A592" s="5">
        <f t="shared" si="45"/>
        <v>25</v>
      </c>
      <c r="B592" s="5" t="str">
        <f>INDEX('Effectif Saison'!$E$4:$E$22,13)</f>
        <v>Maxence KELLER</v>
      </c>
      <c r="C592" s="4"/>
      <c r="D592" s="4"/>
      <c r="E592" s="4"/>
      <c r="F592" s="17" t="str">
        <f>IF(B592="","",IF(AND(E592="Oui",COUNTIFS(Changements!$A:$A,A592,Changements!$D:$D,B592)&gt;0),"⚠ Titulaire+entrée ?",IF(ABS(L592-M592)&gt;1,"⚠ vérifier","")))</f>
        <v/>
      </c>
      <c r="G592" s="5" t="str">
        <f>IF(B592="","",IFERROR(INDEX('Effectif Saison'!$D$4:$D$51,MATCH(B592,'Effectif Saison'!$E$4:$E$51,0)),""))</f>
        <v>Équipe 1</v>
      </c>
      <c r="H592" s="17" t="str">
        <f>IF(L592=0,"",IF(E592="Oui",0,IFERROR(_xlfn.MINIFS(Changements!$B:$B,Changements!$A:$A,A592,Changements!$D:$D,B592),"")))</f>
        <v/>
      </c>
      <c r="I592" s="17" t="str">
        <f>IF(M592=0,"",IFERROR(_xlfn.MAXIFS(Changements!$B:$B,Changements!$A:$A,A592,Changements!$C:$C,B592),""))</f>
        <v/>
      </c>
      <c r="J592" s="5" t="str">
        <f t="shared" si="46"/>
        <v/>
      </c>
      <c r="K592" s="17">
        <f t="shared" si="47"/>
        <v>0</v>
      </c>
      <c r="L592" s="17">
        <f>IF(B592="",0,COUNTIFS(Changements!$A:$A,A592,Changements!$D:$D,B592)+IF(E592="Oui",1,0))</f>
        <v>0</v>
      </c>
      <c r="M592" s="17">
        <f>IF(B592="",0,COUNTIFS(Changements!$A:$A,A592,Changements!$C:$C,B592))</f>
        <v>0</v>
      </c>
      <c r="N592" s="17">
        <f>IF(B592="",0,SUMIFS(Changements!$B:$B,Changements!$A:$A,A592,Changements!$D:$D,B592))</f>
        <v>0</v>
      </c>
      <c r="O592" s="17">
        <f>IF(B592="",0,SUMIFS(Changements!$B:$B,Changements!$A:$A,A592,Changements!$C:$C,B592)+IF(L592&gt;M592,IFERROR(INDEX(Matchs!$F$4:$F$31,MATCH(A592,Matchs!$A$4:$A$31,0)),0),0))</f>
        <v>0</v>
      </c>
      <c r="P592" s="17">
        <f t="shared" si="48"/>
        <v>0</v>
      </c>
      <c r="Q592" s="17">
        <f t="shared" si="49"/>
        <v>0</v>
      </c>
    </row>
    <row r="593" spans="1:17" ht="15" customHeight="1" x14ac:dyDescent="0.25">
      <c r="A593" s="5">
        <f t="shared" si="45"/>
        <v>25</v>
      </c>
      <c r="B593" s="5" t="str">
        <f>INDEX('Effectif Saison'!$E$4:$E$22,14)</f>
        <v>Evan SCHMITT</v>
      </c>
      <c r="C593" s="4"/>
      <c r="D593" s="4"/>
      <c r="E593" s="4"/>
      <c r="F593" s="17" t="str">
        <f>IF(B593="","",IF(AND(E593="Oui",COUNTIFS(Changements!$A:$A,A593,Changements!$D:$D,B593)&gt;0),"⚠ Titulaire+entrée ?",IF(ABS(L593-M593)&gt;1,"⚠ vérifier","")))</f>
        <v/>
      </c>
      <c r="G593" s="5" t="str">
        <f>IF(B593="","",IFERROR(INDEX('Effectif Saison'!$D$4:$D$51,MATCH(B593,'Effectif Saison'!$E$4:$E$51,0)),""))</f>
        <v>Équipe 1</v>
      </c>
      <c r="H593" s="17" t="str">
        <f>IF(L593=0,"",IF(E593="Oui",0,IFERROR(_xlfn.MINIFS(Changements!$B:$B,Changements!$A:$A,A593,Changements!$D:$D,B593),"")))</f>
        <v/>
      </c>
      <c r="I593" s="17" t="str">
        <f>IF(M593=0,"",IFERROR(_xlfn.MAXIFS(Changements!$B:$B,Changements!$A:$A,A593,Changements!$C:$C,B593),""))</f>
        <v/>
      </c>
      <c r="J593" s="5" t="str">
        <f t="shared" si="46"/>
        <v/>
      </c>
      <c r="K593" s="17">
        <f t="shared" si="47"/>
        <v>0</v>
      </c>
      <c r="L593" s="17">
        <f>IF(B593="",0,COUNTIFS(Changements!$A:$A,A593,Changements!$D:$D,B593)+IF(E593="Oui",1,0))</f>
        <v>0</v>
      </c>
      <c r="M593" s="17">
        <f>IF(B593="",0,COUNTIFS(Changements!$A:$A,A593,Changements!$C:$C,B593))</f>
        <v>0</v>
      </c>
      <c r="N593" s="17">
        <f>IF(B593="",0,SUMIFS(Changements!$B:$B,Changements!$A:$A,A593,Changements!$D:$D,B593))</f>
        <v>0</v>
      </c>
      <c r="O593" s="17">
        <f>IF(B593="",0,SUMIFS(Changements!$B:$B,Changements!$A:$A,A593,Changements!$C:$C,B593)+IF(L593&gt;M593,IFERROR(INDEX(Matchs!$F$4:$F$31,MATCH(A593,Matchs!$A$4:$A$31,0)),0),0))</f>
        <v>0</v>
      </c>
      <c r="P593" s="17">
        <f t="shared" si="48"/>
        <v>0</v>
      </c>
      <c r="Q593" s="17">
        <f t="shared" si="49"/>
        <v>0</v>
      </c>
    </row>
    <row r="594" spans="1:17" ht="15" customHeight="1" x14ac:dyDescent="0.25">
      <c r="A594" s="5">
        <f t="shared" si="45"/>
        <v>25</v>
      </c>
      <c r="B594" s="5" t="str">
        <f>INDEX('Effectif Saison'!$E$4:$E$22,15)</f>
        <v>William SIMON</v>
      </c>
      <c r="C594" s="4"/>
      <c r="D594" s="4"/>
      <c r="E594" s="4"/>
      <c r="F594" s="17" t="str">
        <f>IF(B594="","",IF(AND(E594="Oui",COUNTIFS(Changements!$A:$A,A594,Changements!$D:$D,B594)&gt;0),"⚠ Titulaire+entrée ?",IF(ABS(L594-M594)&gt;1,"⚠ vérifier","")))</f>
        <v/>
      </c>
      <c r="G594" s="5" t="str">
        <f>IF(B594="","",IFERROR(INDEX('Effectif Saison'!$D$4:$D$51,MATCH(B594,'Effectif Saison'!$E$4:$E$51,0)),""))</f>
        <v>Équipe 1</v>
      </c>
      <c r="H594" s="17" t="str">
        <f>IF(L594=0,"",IF(E594="Oui",0,IFERROR(_xlfn.MINIFS(Changements!$B:$B,Changements!$A:$A,A594,Changements!$D:$D,B594),"")))</f>
        <v/>
      </c>
      <c r="I594" s="17" t="str">
        <f>IF(M594=0,"",IFERROR(_xlfn.MAXIFS(Changements!$B:$B,Changements!$A:$A,A594,Changements!$C:$C,B594),""))</f>
        <v/>
      </c>
      <c r="J594" s="5" t="str">
        <f t="shared" si="46"/>
        <v/>
      </c>
      <c r="K594" s="17">
        <f t="shared" si="47"/>
        <v>0</v>
      </c>
      <c r="L594" s="17">
        <f>IF(B594="",0,COUNTIFS(Changements!$A:$A,A594,Changements!$D:$D,B594)+IF(E594="Oui",1,0))</f>
        <v>0</v>
      </c>
      <c r="M594" s="17">
        <f>IF(B594="",0,COUNTIFS(Changements!$A:$A,A594,Changements!$C:$C,B594))</f>
        <v>0</v>
      </c>
      <c r="N594" s="17">
        <f>IF(B594="",0,SUMIFS(Changements!$B:$B,Changements!$A:$A,A594,Changements!$D:$D,B594))</f>
        <v>0</v>
      </c>
      <c r="O594" s="17">
        <f>IF(B594="",0,SUMIFS(Changements!$B:$B,Changements!$A:$A,A594,Changements!$C:$C,B594)+IF(L594&gt;M594,IFERROR(INDEX(Matchs!$F$4:$F$31,MATCH(A594,Matchs!$A$4:$A$31,0)),0),0))</f>
        <v>0</v>
      </c>
      <c r="P594" s="17">
        <f t="shared" si="48"/>
        <v>0</v>
      </c>
      <c r="Q594" s="17">
        <f t="shared" si="49"/>
        <v>0</v>
      </c>
    </row>
    <row r="595" spans="1:17" ht="15" customHeight="1" x14ac:dyDescent="0.25">
      <c r="A595" s="5">
        <f t="shared" si="45"/>
        <v>25</v>
      </c>
      <c r="B595" s="5" t="str">
        <f>INDEX('Effectif Saison'!$E$4:$E$22,16)</f>
        <v>Lenny LEPPER</v>
      </c>
      <c r="C595" s="4"/>
      <c r="D595" s="4"/>
      <c r="E595" s="4"/>
      <c r="F595" s="17" t="str">
        <f>IF(B595="","",IF(AND(E595="Oui",COUNTIFS(Changements!$A:$A,A595,Changements!$D:$D,B595)&gt;0),"⚠ Titulaire+entrée ?",IF(ABS(L595-M595)&gt;1,"⚠ vérifier","")))</f>
        <v/>
      </c>
      <c r="G595" s="5" t="str">
        <f>IF(B595="","",IFERROR(INDEX('Effectif Saison'!$D$4:$D$51,MATCH(B595,'Effectif Saison'!$E$4:$E$51,0)),""))</f>
        <v>Équipe 1</v>
      </c>
      <c r="H595" s="17" t="str">
        <f>IF(L595=0,"",IF(E595="Oui",0,IFERROR(_xlfn.MINIFS(Changements!$B:$B,Changements!$A:$A,A595,Changements!$D:$D,B595),"")))</f>
        <v/>
      </c>
      <c r="I595" s="17" t="str">
        <f>IF(M595=0,"",IFERROR(_xlfn.MAXIFS(Changements!$B:$B,Changements!$A:$A,A595,Changements!$C:$C,B595),""))</f>
        <v/>
      </c>
      <c r="J595" s="5" t="str">
        <f t="shared" si="46"/>
        <v/>
      </c>
      <c r="K595" s="17">
        <f t="shared" si="47"/>
        <v>0</v>
      </c>
      <c r="L595" s="17">
        <f>IF(B595="",0,COUNTIFS(Changements!$A:$A,A595,Changements!$D:$D,B595)+IF(E595="Oui",1,0))</f>
        <v>0</v>
      </c>
      <c r="M595" s="17">
        <f>IF(B595="",0,COUNTIFS(Changements!$A:$A,A595,Changements!$C:$C,B595))</f>
        <v>0</v>
      </c>
      <c r="N595" s="17">
        <f>IF(B595="",0,SUMIFS(Changements!$B:$B,Changements!$A:$A,A595,Changements!$D:$D,B595))</f>
        <v>0</v>
      </c>
      <c r="O595" s="17">
        <f>IF(B595="",0,SUMIFS(Changements!$B:$B,Changements!$A:$A,A595,Changements!$C:$C,B595)+IF(L595&gt;M595,IFERROR(INDEX(Matchs!$F$4:$F$31,MATCH(A595,Matchs!$A$4:$A$31,0)),0),0))</f>
        <v>0</v>
      </c>
      <c r="P595" s="17">
        <f t="shared" si="48"/>
        <v>0</v>
      </c>
      <c r="Q595" s="17">
        <f t="shared" si="49"/>
        <v>0</v>
      </c>
    </row>
    <row r="596" spans="1:17" ht="15" customHeight="1" x14ac:dyDescent="0.25">
      <c r="A596" s="5">
        <f t="shared" si="45"/>
        <v>25</v>
      </c>
      <c r="B596" s="5" t="str">
        <f>INDEX('Effectif Saison'!$E$4:$E$22,17)</f>
        <v>Malo KELLER</v>
      </c>
      <c r="C596" s="4"/>
      <c r="D596" s="4"/>
      <c r="E596" s="4"/>
      <c r="F596" s="17" t="str">
        <f>IF(B596="","",IF(AND(E596="Oui",COUNTIFS(Changements!$A:$A,A596,Changements!$D:$D,B596)&gt;0),"⚠ Titulaire+entrée ?",IF(ABS(L596-M596)&gt;1,"⚠ vérifier","")))</f>
        <v/>
      </c>
      <c r="G596" s="5" t="str">
        <f>IF(B596="","",IFERROR(INDEX('Effectif Saison'!$D$4:$D$51,MATCH(B596,'Effectif Saison'!$E$4:$E$51,0)),""))</f>
        <v>Équipe 1</v>
      </c>
      <c r="H596" s="17" t="str">
        <f>IF(L596=0,"",IF(E596="Oui",0,IFERROR(_xlfn.MINIFS(Changements!$B:$B,Changements!$A:$A,A596,Changements!$D:$D,B596),"")))</f>
        <v/>
      </c>
      <c r="I596" s="17" t="str">
        <f>IF(M596=0,"",IFERROR(_xlfn.MAXIFS(Changements!$B:$B,Changements!$A:$A,A596,Changements!$C:$C,B596),""))</f>
        <v/>
      </c>
      <c r="J596" s="5" t="str">
        <f t="shared" si="46"/>
        <v/>
      </c>
      <c r="K596" s="17">
        <f t="shared" si="47"/>
        <v>0</v>
      </c>
      <c r="L596" s="17">
        <f>IF(B596="",0,COUNTIFS(Changements!$A:$A,A596,Changements!$D:$D,B596)+IF(E596="Oui",1,0))</f>
        <v>0</v>
      </c>
      <c r="M596" s="17">
        <f>IF(B596="",0,COUNTIFS(Changements!$A:$A,A596,Changements!$C:$C,B596))</f>
        <v>0</v>
      </c>
      <c r="N596" s="17">
        <f>IF(B596="",0,SUMIFS(Changements!$B:$B,Changements!$A:$A,A596,Changements!$D:$D,B596))</f>
        <v>0</v>
      </c>
      <c r="O596" s="17">
        <f>IF(B596="",0,SUMIFS(Changements!$B:$B,Changements!$A:$A,A596,Changements!$C:$C,B596)+IF(L596&gt;M596,IFERROR(INDEX(Matchs!$F$4:$F$31,MATCH(A596,Matchs!$A$4:$A$31,0)),0),0))</f>
        <v>0</v>
      </c>
      <c r="P596" s="17">
        <f t="shared" si="48"/>
        <v>0</v>
      </c>
      <c r="Q596" s="17">
        <f t="shared" si="49"/>
        <v>0</v>
      </c>
    </row>
    <row r="597" spans="1:17" ht="15" customHeight="1" x14ac:dyDescent="0.25">
      <c r="A597" s="5">
        <f t="shared" si="45"/>
        <v>25</v>
      </c>
      <c r="B597" s="5" t="str">
        <f>INDEX('Effectif Saison'!$E$4:$E$22,18)</f>
        <v>Tom SCHILLER</v>
      </c>
      <c r="C597" s="4"/>
      <c r="D597" s="4"/>
      <c r="E597" s="4"/>
      <c r="F597" s="17" t="str">
        <f>IF(B597="","",IF(AND(E597="Oui",COUNTIFS(Changements!$A:$A,A597,Changements!$D:$D,B597)&gt;0),"⚠ Titulaire+entrée ?",IF(ABS(L597-M597)&gt;1,"⚠ vérifier","")))</f>
        <v/>
      </c>
      <c r="G597" s="5" t="str">
        <f>IF(B597="","",IFERROR(INDEX('Effectif Saison'!$D$4:$D$51,MATCH(B597,'Effectif Saison'!$E$4:$E$51,0)),""))</f>
        <v>Équipe 1</v>
      </c>
      <c r="H597" s="17" t="str">
        <f>IF(L597=0,"",IF(E597="Oui",0,IFERROR(_xlfn.MINIFS(Changements!$B:$B,Changements!$A:$A,A597,Changements!$D:$D,B597),"")))</f>
        <v/>
      </c>
      <c r="I597" s="17" t="str">
        <f>IF(M597=0,"",IFERROR(_xlfn.MAXIFS(Changements!$B:$B,Changements!$A:$A,A597,Changements!$C:$C,B597),""))</f>
        <v/>
      </c>
      <c r="J597" s="5" t="str">
        <f t="shared" si="46"/>
        <v/>
      </c>
      <c r="K597" s="17">
        <f t="shared" si="47"/>
        <v>0</v>
      </c>
      <c r="L597" s="17">
        <f>IF(B597="",0,COUNTIFS(Changements!$A:$A,A597,Changements!$D:$D,B597)+IF(E597="Oui",1,0))</f>
        <v>0</v>
      </c>
      <c r="M597" s="17">
        <f>IF(B597="",0,COUNTIFS(Changements!$A:$A,A597,Changements!$C:$C,B597))</f>
        <v>0</v>
      </c>
      <c r="N597" s="17">
        <f>IF(B597="",0,SUMIFS(Changements!$B:$B,Changements!$A:$A,A597,Changements!$D:$D,B597))</f>
        <v>0</v>
      </c>
      <c r="O597" s="17">
        <f>IF(B597="",0,SUMIFS(Changements!$B:$B,Changements!$A:$A,A597,Changements!$C:$C,B597)+IF(L597&gt;M597,IFERROR(INDEX(Matchs!$F$4:$F$31,MATCH(A597,Matchs!$A$4:$A$31,0)),0),0))</f>
        <v>0</v>
      </c>
      <c r="P597" s="17">
        <f t="shared" si="48"/>
        <v>0</v>
      </c>
      <c r="Q597" s="17">
        <f t="shared" si="49"/>
        <v>0</v>
      </c>
    </row>
    <row r="598" spans="1:17" ht="15" customHeight="1" x14ac:dyDescent="0.25">
      <c r="A598" s="5">
        <f t="shared" si="45"/>
        <v>25</v>
      </c>
      <c r="B598" s="5" t="str">
        <f>INDEX('Effectif Saison'!$E$4:$E$22,19)</f>
        <v>Eliot LEIBY</v>
      </c>
      <c r="C598" s="4"/>
      <c r="D598" s="4"/>
      <c r="E598" s="4"/>
      <c r="F598" s="17" t="str">
        <f>IF(B598="","",IF(AND(E598="Oui",COUNTIFS(Changements!$A:$A,A598,Changements!$D:$D,B598)&gt;0),"⚠ Titulaire+entrée ?",IF(ABS(L598-M598)&gt;1,"⚠ vérifier","")))</f>
        <v/>
      </c>
      <c r="G598" s="5" t="str">
        <f>IF(B598="","",IFERROR(INDEX('Effectif Saison'!$D$4:$D$51,MATCH(B598,'Effectif Saison'!$E$4:$E$51,0)),""))</f>
        <v>Équipe 1</v>
      </c>
      <c r="H598" s="17" t="str">
        <f>IF(L598=0,"",IF(E598="Oui",0,IFERROR(_xlfn.MINIFS(Changements!$B:$B,Changements!$A:$A,A598,Changements!$D:$D,B598),"")))</f>
        <v/>
      </c>
      <c r="I598" s="17" t="str">
        <f>IF(M598=0,"",IFERROR(_xlfn.MAXIFS(Changements!$B:$B,Changements!$A:$A,A598,Changements!$C:$C,B598),""))</f>
        <v/>
      </c>
      <c r="J598" s="5" t="str">
        <f t="shared" si="46"/>
        <v/>
      </c>
      <c r="K598" s="17">
        <f t="shared" si="47"/>
        <v>0</v>
      </c>
      <c r="L598" s="17">
        <f>IF(B598="",0,COUNTIFS(Changements!$A:$A,A598,Changements!$D:$D,B598)+IF(E598="Oui",1,0))</f>
        <v>0</v>
      </c>
      <c r="M598" s="17">
        <f>IF(B598="",0,COUNTIFS(Changements!$A:$A,A598,Changements!$C:$C,B598))</f>
        <v>0</v>
      </c>
      <c r="N598" s="17">
        <f>IF(B598="",0,SUMIFS(Changements!$B:$B,Changements!$A:$A,A598,Changements!$D:$D,B598))</f>
        <v>0</v>
      </c>
      <c r="O598" s="17">
        <f>IF(B598="",0,SUMIFS(Changements!$B:$B,Changements!$A:$A,A598,Changements!$C:$C,B598)+IF(L598&gt;M598,IFERROR(INDEX(Matchs!$F$4:$F$31,MATCH(A598,Matchs!$A$4:$A$31,0)),0),0))</f>
        <v>0</v>
      </c>
      <c r="P598" s="17">
        <f t="shared" si="48"/>
        <v>0</v>
      </c>
      <c r="Q598" s="17">
        <f t="shared" si="49"/>
        <v>0</v>
      </c>
    </row>
    <row r="599" spans="1:17" ht="15" customHeight="1" x14ac:dyDescent="0.25">
      <c r="A599" s="5">
        <f t="shared" si="45"/>
        <v>25</v>
      </c>
      <c r="B599" s="4"/>
      <c r="C599" s="4"/>
      <c r="D599" s="4"/>
      <c r="E599" s="4"/>
      <c r="F599" s="17" t="str">
        <f>IF(B599="","",IF(AND(E599="Oui",COUNTIFS(Changements!$A:$A,A599,Changements!$D:$D,B599)&gt;0),"⚠ Titulaire+entrée ?",IF(ABS(L599-M599)&gt;1,"⚠ vérifier","")))</f>
        <v/>
      </c>
      <c r="G599" s="5" t="str">
        <f>IF(B599="","",IFERROR(INDEX('Effectif Saison'!$D$4:$D$51,MATCH(B599,'Effectif Saison'!$E$4:$E$51,0)),""))</f>
        <v/>
      </c>
      <c r="H599" s="17" t="str">
        <f>IF(L599=0,"",IF(E599="Oui",0,IFERROR(_xlfn.MINIFS(Changements!$B:$B,Changements!$A:$A,A599,Changements!$D:$D,B599),"")))</f>
        <v/>
      </c>
      <c r="I599" s="17" t="str">
        <f>IF(M599=0,"",IFERROR(_xlfn.MAXIFS(Changements!$B:$B,Changements!$A:$A,A599,Changements!$C:$C,B599),""))</f>
        <v/>
      </c>
      <c r="J599" s="5" t="str">
        <f t="shared" si="46"/>
        <v/>
      </c>
      <c r="K599" s="17">
        <f t="shared" si="47"/>
        <v>0</v>
      </c>
      <c r="L599" s="17">
        <f>IF(B599="",0,COUNTIFS(Changements!$A:$A,A599,Changements!$D:$D,B599)+IF(E599="Oui",1,0))</f>
        <v>0</v>
      </c>
      <c r="M599" s="17">
        <f>IF(B599="",0,COUNTIFS(Changements!$A:$A,A599,Changements!$C:$C,B599))</f>
        <v>0</v>
      </c>
      <c r="N599" s="17">
        <f>IF(B599="",0,SUMIFS(Changements!$B:$B,Changements!$A:$A,A599,Changements!$D:$D,B599))</f>
        <v>0</v>
      </c>
      <c r="O599" s="17">
        <f>IF(B599="",0,SUMIFS(Changements!$B:$B,Changements!$A:$A,A599,Changements!$C:$C,B599)+IF(L599&gt;M599,IFERROR(INDEX(Matchs!$F$4:$F$31,MATCH(A599,Matchs!$A$4:$A$31,0)),0),0))</f>
        <v>0</v>
      </c>
      <c r="P599" s="17">
        <f t="shared" si="48"/>
        <v>0</v>
      </c>
      <c r="Q599" s="17">
        <f t="shared" si="49"/>
        <v>0</v>
      </c>
    </row>
    <row r="600" spans="1:17" ht="15" customHeight="1" x14ac:dyDescent="0.25">
      <c r="A600" s="5">
        <f t="shared" si="45"/>
        <v>25</v>
      </c>
      <c r="B600" s="4"/>
      <c r="C600" s="4"/>
      <c r="D600" s="4"/>
      <c r="E600" s="4"/>
      <c r="F600" s="17" t="str">
        <f>IF(B600="","",IF(AND(E600="Oui",COUNTIFS(Changements!$A:$A,A600,Changements!$D:$D,B600)&gt;0),"⚠ Titulaire+entrée ?",IF(ABS(L600-M600)&gt;1,"⚠ vérifier","")))</f>
        <v/>
      </c>
      <c r="G600" s="5" t="str">
        <f>IF(B600="","",IFERROR(INDEX('Effectif Saison'!$D$4:$D$51,MATCH(B600,'Effectif Saison'!$E$4:$E$51,0)),""))</f>
        <v/>
      </c>
      <c r="H600" s="17" t="str">
        <f>IF(L600=0,"",IF(E600="Oui",0,IFERROR(_xlfn.MINIFS(Changements!$B:$B,Changements!$A:$A,A600,Changements!$D:$D,B600),"")))</f>
        <v/>
      </c>
      <c r="I600" s="17" t="str">
        <f>IF(M600=0,"",IFERROR(_xlfn.MAXIFS(Changements!$B:$B,Changements!$A:$A,A600,Changements!$C:$C,B600),""))</f>
        <v/>
      </c>
      <c r="J600" s="5" t="str">
        <f t="shared" si="46"/>
        <v/>
      </c>
      <c r="K600" s="17">
        <f t="shared" si="47"/>
        <v>0</v>
      </c>
      <c r="L600" s="17">
        <f>IF(B600="",0,COUNTIFS(Changements!$A:$A,A600,Changements!$D:$D,B600)+IF(E600="Oui",1,0))</f>
        <v>0</v>
      </c>
      <c r="M600" s="17">
        <f>IF(B600="",0,COUNTIFS(Changements!$A:$A,A600,Changements!$C:$C,B600))</f>
        <v>0</v>
      </c>
      <c r="N600" s="17">
        <f>IF(B600="",0,SUMIFS(Changements!$B:$B,Changements!$A:$A,A600,Changements!$D:$D,B600))</f>
        <v>0</v>
      </c>
      <c r="O600" s="17">
        <f>IF(B600="",0,SUMIFS(Changements!$B:$B,Changements!$A:$A,A600,Changements!$C:$C,B600)+IF(L600&gt;M600,IFERROR(INDEX(Matchs!$F$4:$F$31,MATCH(A600,Matchs!$A$4:$A$31,0)),0),0))</f>
        <v>0</v>
      </c>
      <c r="P600" s="17">
        <f t="shared" si="48"/>
        <v>0</v>
      </c>
      <c r="Q600" s="17">
        <f t="shared" si="49"/>
        <v>0</v>
      </c>
    </row>
    <row r="601" spans="1:17" ht="15" customHeight="1" x14ac:dyDescent="0.25">
      <c r="A601" s="5">
        <f t="shared" si="45"/>
        <v>25</v>
      </c>
      <c r="B601" s="4"/>
      <c r="C601" s="4"/>
      <c r="D601" s="4"/>
      <c r="E601" s="4"/>
      <c r="F601" s="17" t="str">
        <f>IF(B601="","",IF(AND(E601="Oui",COUNTIFS(Changements!$A:$A,A601,Changements!$D:$D,B601)&gt;0),"⚠ Titulaire+entrée ?",IF(ABS(L601-M601)&gt;1,"⚠ vérifier","")))</f>
        <v/>
      </c>
      <c r="G601" s="5" t="str">
        <f>IF(B601="","",IFERROR(INDEX('Effectif Saison'!$D$4:$D$51,MATCH(B601,'Effectif Saison'!$E$4:$E$51,0)),""))</f>
        <v/>
      </c>
      <c r="H601" s="17" t="str">
        <f>IF(L601=0,"",IF(E601="Oui",0,IFERROR(_xlfn.MINIFS(Changements!$B:$B,Changements!$A:$A,A601,Changements!$D:$D,B601),"")))</f>
        <v/>
      </c>
      <c r="I601" s="17" t="str">
        <f>IF(M601=0,"",IFERROR(_xlfn.MAXIFS(Changements!$B:$B,Changements!$A:$A,A601,Changements!$C:$C,B601),""))</f>
        <v/>
      </c>
      <c r="J601" s="5" t="str">
        <f t="shared" si="46"/>
        <v/>
      </c>
      <c r="K601" s="17">
        <f t="shared" si="47"/>
        <v>0</v>
      </c>
      <c r="L601" s="17">
        <f>IF(B601="",0,COUNTIFS(Changements!$A:$A,A601,Changements!$D:$D,B601)+IF(E601="Oui",1,0))</f>
        <v>0</v>
      </c>
      <c r="M601" s="17">
        <f>IF(B601="",0,COUNTIFS(Changements!$A:$A,A601,Changements!$C:$C,B601))</f>
        <v>0</v>
      </c>
      <c r="N601" s="17">
        <f>IF(B601="",0,SUMIFS(Changements!$B:$B,Changements!$A:$A,A601,Changements!$D:$D,B601))</f>
        <v>0</v>
      </c>
      <c r="O601" s="17">
        <f>IF(B601="",0,SUMIFS(Changements!$B:$B,Changements!$A:$A,A601,Changements!$C:$C,B601)+IF(L601&gt;M601,IFERROR(INDEX(Matchs!$F$4:$F$31,MATCH(A601,Matchs!$A$4:$A$31,0)),0),0))</f>
        <v>0</v>
      </c>
      <c r="P601" s="17">
        <f t="shared" si="48"/>
        <v>0</v>
      </c>
      <c r="Q601" s="17">
        <f t="shared" si="49"/>
        <v>0</v>
      </c>
    </row>
    <row r="602" spans="1:17" ht="15" customHeight="1" x14ac:dyDescent="0.25">
      <c r="A602" s="5">
        <f t="shared" si="45"/>
        <v>25</v>
      </c>
      <c r="B602" s="4"/>
      <c r="C602" s="4"/>
      <c r="D602" s="4"/>
      <c r="E602" s="4"/>
      <c r="F602" s="17" t="str">
        <f>IF(B602="","",IF(AND(E602="Oui",COUNTIFS(Changements!$A:$A,A602,Changements!$D:$D,B602)&gt;0),"⚠ Titulaire+entrée ?",IF(ABS(L602-M602)&gt;1,"⚠ vérifier","")))</f>
        <v/>
      </c>
      <c r="G602" s="5" t="str">
        <f>IF(B602="","",IFERROR(INDEX('Effectif Saison'!$D$4:$D$51,MATCH(B602,'Effectif Saison'!$E$4:$E$51,0)),""))</f>
        <v/>
      </c>
      <c r="H602" s="17" t="str">
        <f>IF(L602=0,"",IF(E602="Oui",0,IFERROR(_xlfn.MINIFS(Changements!$B:$B,Changements!$A:$A,A602,Changements!$D:$D,B602),"")))</f>
        <v/>
      </c>
      <c r="I602" s="17" t="str">
        <f>IF(M602=0,"",IFERROR(_xlfn.MAXIFS(Changements!$B:$B,Changements!$A:$A,A602,Changements!$C:$C,B602),""))</f>
        <v/>
      </c>
      <c r="J602" s="5" t="str">
        <f t="shared" si="46"/>
        <v/>
      </c>
      <c r="K602" s="17">
        <f t="shared" si="47"/>
        <v>0</v>
      </c>
      <c r="L602" s="17">
        <f>IF(B602="",0,COUNTIFS(Changements!$A:$A,A602,Changements!$D:$D,B602)+IF(E602="Oui",1,0))</f>
        <v>0</v>
      </c>
      <c r="M602" s="17">
        <f>IF(B602="",0,COUNTIFS(Changements!$A:$A,A602,Changements!$C:$C,B602))</f>
        <v>0</v>
      </c>
      <c r="N602" s="17">
        <f>IF(B602="",0,SUMIFS(Changements!$B:$B,Changements!$A:$A,A602,Changements!$D:$D,B602))</f>
        <v>0</v>
      </c>
      <c r="O602" s="17">
        <f>IF(B602="",0,SUMIFS(Changements!$B:$B,Changements!$A:$A,A602,Changements!$C:$C,B602)+IF(L602&gt;M602,IFERROR(INDEX(Matchs!$F$4:$F$31,MATCH(A602,Matchs!$A$4:$A$31,0)),0),0))</f>
        <v>0</v>
      </c>
      <c r="P602" s="17">
        <f t="shared" si="48"/>
        <v>0</v>
      </c>
      <c r="Q602" s="17">
        <f t="shared" si="49"/>
        <v>0</v>
      </c>
    </row>
    <row r="603" spans="1:17" ht="15" customHeight="1" x14ac:dyDescent="0.25">
      <c r="A603" s="5">
        <f t="shared" si="45"/>
        <v>25</v>
      </c>
      <c r="B603" s="4"/>
      <c r="C603" s="4"/>
      <c r="D603" s="4"/>
      <c r="E603" s="4"/>
      <c r="F603" s="17" t="str">
        <f>IF(B603="","",IF(AND(E603="Oui",COUNTIFS(Changements!$A:$A,A603,Changements!$D:$D,B603)&gt;0),"⚠ Titulaire+entrée ?",IF(ABS(L603-M603)&gt;1,"⚠ vérifier","")))</f>
        <v/>
      </c>
      <c r="G603" s="5" t="str">
        <f>IF(B603="","",IFERROR(INDEX('Effectif Saison'!$D$4:$D$51,MATCH(B603,'Effectif Saison'!$E$4:$E$51,0)),""))</f>
        <v/>
      </c>
      <c r="H603" s="17" t="str">
        <f>IF(L603=0,"",IF(E603="Oui",0,IFERROR(_xlfn.MINIFS(Changements!$B:$B,Changements!$A:$A,A603,Changements!$D:$D,B603),"")))</f>
        <v/>
      </c>
      <c r="I603" s="17" t="str">
        <f>IF(M603=0,"",IFERROR(_xlfn.MAXIFS(Changements!$B:$B,Changements!$A:$A,A603,Changements!$C:$C,B603),""))</f>
        <v/>
      </c>
      <c r="J603" s="5" t="str">
        <f t="shared" si="46"/>
        <v/>
      </c>
      <c r="K603" s="17">
        <f t="shared" si="47"/>
        <v>0</v>
      </c>
      <c r="L603" s="17">
        <f>IF(B603="",0,COUNTIFS(Changements!$A:$A,A603,Changements!$D:$D,B603)+IF(E603="Oui",1,0))</f>
        <v>0</v>
      </c>
      <c r="M603" s="17">
        <f>IF(B603="",0,COUNTIFS(Changements!$A:$A,A603,Changements!$C:$C,B603))</f>
        <v>0</v>
      </c>
      <c r="N603" s="17">
        <f>IF(B603="",0,SUMIFS(Changements!$B:$B,Changements!$A:$A,A603,Changements!$D:$D,B603))</f>
        <v>0</v>
      </c>
      <c r="O603" s="17">
        <f>IF(B603="",0,SUMIFS(Changements!$B:$B,Changements!$A:$A,A603,Changements!$C:$C,B603)+IF(L603&gt;M603,IFERROR(INDEX(Matchs!$F$4:$F$31,MATCH(A603,Matchs!$A$4:$A$31,0)),0),0))</f>
        <v>0</v>
      </c>
      <c r="P603" s="17">
        <f t="shared" si="48"/>
        <v>0</v>
      </c>
      <c r="Q603" s="17">
        <f t="shared" si="49"/>
        <v>0</v>
      </c>
    </row>
    <row r="604" spans="1:17" ht="15" customHeight="1" x14ac:dyDescent="0.25">
      <c r="A604" s="5">
        <f t="shared" si="45"/>
        <v>26</v>
      </c>
      <c r="B604" s="5" t="str">
        <f>INDEX('Effectif Saison'!$E$4:$E$22,1)</f>
        <v>Alan MICHON</v>
      </c>
      <c r="C604" s="4"/>
      <c r="D604" s="4"/>
      <c r="E604" s="4"/>
      <c r="F604" s="17" t="str">
        <f>IF(B604="","",IF(AND(E604="Oui",COUNTIFS(Changements!$A:$A,A604,Changements!$D:$D,B604)&gt;0),"⚠ Titulaire+entrée ?",IF(ABS(L604-M604)&gt;1,"⚠ vérifier","")))</f>
        <v/>
      </c>
      <c r="G604" s="5" t="str">
        <f>IF(B604="","",IFERROR(INDEX('Effectif Saison'!$D$4:$D$51,MATCH(B604,'Effectif Saison'!$E$4:$E$51,0)),""))</f>
        <v>Équipe 1</v>
      </c>
      <c r="H604" s="17" t="str">
        <f>IF(L604=0,"",IF(E604="Oui",0,IFERROR(_xlfn.MINIFS(Changements!$B:$B,Changements!$A:$A,A604,Changements!$D:$D,B604),"")))</f>
        <v/>
      </c>
      <c r="I604" s="17" t="str">
        <f>IF(M604=0,"",IFERROR(_xlfn.MAXIFS(Changements!$B:$B,Changements!$A:$A,A604,Changements!$C:$C,B604),""))</f>
        <v/>
      </c>
      <c r="J604" s="5" t="str">
        <f t="shared" si="46"/>
        <v/>
      </c>
      <c r="K604" s="17">
        <f t="shared" si="47"/>
        <v>0</v>
      </c>
      <c r="L604" s="17">
        <f>IF(B604="",0,COUNTIFS(Changements!$A:$A,A604,Changements!$D:$D,B604)+IF(E604="Oui",1,0))</f>
        <v>0</v>
      </c>
      <c r="M604" s="17">
        <f>IF(B604="",0,COUNTIFS(Changements!$A:$A,A604,Changements!$C:$C,B604))</f>
        <v>0</v>
      </c>
      <c r="N604" s="17">
        <f>IF(B604="",0,SUMIFS(Changements!$B:$B,Changements!$A:$A,A604,Changements!$D:$D,B604))</f>
        <v>0</v>
      </c>
      <c r="O604" s="17">
        <f>IF(B604="",0,SUMIFS(Changements!$B:$B,Changements!$A:$A,A604,Changements!$C:$C,B604)+IF(L604&gt;M604,IFERROR(INDEX(Matchs!$F$4:$F$31,MATCH(A604,Matchs!$A$4:$A$31,0)),0),0))</f>
        <v>0</v>
      </c>
      <c r="P604" s="17">
        <f t="shared" si="48"/>
        <v>0</v>
      </c>
      <c r="Q604" s="17">
        <f t="shared" si="49"/>
        <v>0</v>
      </c>
    </row>
    <row r="605" spans="1:17" ht="15" customHeight="1" x14ac:dyDescent="0.25">
      <c r="A605" s="5">
        <f t="shared" si="45"/>
        <v>26</v>
      </c>
      <c r="B605" s="5" t="str">
        <f>INDEX('Effectif Saison'!$E$4:$E$22,2)</f>
        <v>Jean BRUNTZ</v>
      </c>
      <c r="C605" s="4"/>
      <c r="D605" s="4"/>
      <c r="E605" s="4"/>
      <c r="F605" s="17" t="str">
        <f>IF(B605="","",IF(AND(E605="Oui",COUNTIFS(Changements!$A:$A,A605,Changements!$D:$D,B605)&gt;0),"⚠ Titulaire+entrée ?",IF(ABS(L605-M605)&gt;1,"⚠ vérifier","")))</f>
        <v/>
      </c>
      <c r="G605" s="5" t="str">
        <f>IF(B605="","",IFERROR(INDEX('Effectif Saison'!$D$4:$D$51,MATCH(B605,'Effectif Saison'!$E$4:$E$51,0)),""))</f>
        <v>Équipe 1</v>
      </c>
      <c r="H605" s="17" t="str">
        <f>IF(L605=0,"",IF(E605="Oui",0,IFERROR(_xlfn.MINIFS(Changements!$B:$B,Changements!$A:$A,A605,Changements!$D:$D,B605),"")))</f>
        <v/>
      </c>
      <c r="I605" s="17" t="str">
        <f>IF(M605=0,"",IFERROR(_xlfn.MAXIFS(Changements!$B:$B,Changements!$A:$A,A605,Changements!$C:$C,B605),""))</f>
        <v/>
      </c>
      <c r="J605" s="5" t="str">
        <f t="shared" si="46"/>
        <v/>
      </c>
      <c r="K605" s="17">
        <f t="shared" si="47"/>
        <v>0</v>
      </c>
      <c r="L605" s="17">
        <f>IF(B605="",0,COUNTIFS(Changements!$A:$A,A605,Changements!$D:$D,B605)+IF(E605="Oui",1,0))</f>
        <v>0</v>
      </c>
      <c r="M605" s="17">
        <f>IF(B605="",0,COUNTIFS(Changements!$A:$A,A605,Changements!$C:$C,B605))</f>
        <v>0</v>
      </c>
      <c r="N605" s="17">
        <f>IF(B605="",0,SUMIFS(Changements!$B:$B,Changements!$A:$A,A605,Changements!$D:$D,B605))</f>
        <v>0</v>
      </c>
      <c r="O605" s="17">
        <f>IF(B605="",0,SUMIFS(Changements!$B:$B,Changements!$A:$A,A605,Changements!$C:$C,B605)+IF(L605&gt;M605,IFERROR(INDEX(Matchs!$F$4:$F$31,MATCH(A605,Matchs!$A$4:$A$31,0)),0),0))</f>
        <v>0</v>
      </c>
      <c r="P605" s="17">
        <f t="shared" si="48"/>
        <v>0</v>
      </c>
      <c r="Q605" s="17">
        <f t="shared" si="49"/>
        <v>0</v>
      </c>
    </row>
    <row r="606" spans="1:17" ht="15" customHeight="1" x14ac:dyDescent="0.25">
      <c r="A606" s="5">
        <f t="shared" si="45"/>
        <v>26</v>
      </c>
      <c r="B606" s="5" t="str">
        <f>INDEX('Effectif Saison'!$E$4:$E$22,3)</f>
        <v>Marouane SBK</v>
      </c>
      <c r="C606" s="4"/>
      <c r="D606" s="4"/>
      <c r="E606" s="4"/>
      <c r="F606" s="17" t="str">
        <f>IF(B606="","",IF(AND(E606="Oui",COUNTIFS(Changements!$A:$A,A606,Changements!$D:$D,B606)&gt;0),"⚠ Titulaire+entrée ?",IF(ABS(L606-M606)&gt;1,"⚠ vérifier","")))</f>
        <v/>
      </c>
      <c r="G606" s="5" t="str">
        <f>IF(B606="","",IFERROR(INDEX('Effectif Saison'!$D$4:$D$51,MATCH(B606,'Effectif Saison'!$E$4:$E$51,0)),""))</f>
        <v>Équipe 1</v>
      </c>
      <c r="H606" s="17" t="str">
        <f>IF(L606=0,"",IF(E606="Oui",0,IFERROR(_xlfn.MINIFS(Changements!$B:$B,Changements!$A:$A,A606,Changements!$D:$D,B606),"")))</f>
        <v/>
      </c>
      <c r="I606" s="17" t="str">
        <f>IF(M606=0,"",IFERROR(_xlfn.MAXIFS(Changements!$B:$B,Changements!$A:$A,A606,Changements!$C:$C,B606),""))</f>
        <v/>
      </c>
      <c r="J606" s="5" t="str">
        <f t="shared" si="46"/>
        <v/>
      </c>
      <c r="K606" s="17">
        <f t="shared" si="47"/>
        <v>0</v>
      </c>
      <c r="L606" s="17">
        <f>IF(B606="",0,COUNTIFS(Changements!$A:$A,A606,Changements!$D:$D,B606)+IF(E606="Oui",1,0))</f>
        <v>0</v>
      </c>
      <c r="M606" s="17">
        <f>IF(B606="",0,COUNTIFS(Changements!$A:$A,A606,Changements!$C:$C,B606))</f>
        <v>0</v>
      </c>
      <c r="N606" s="17">
        <f>IF(B606="",0,SUMIFS(Changements!$B:$B,Changements!$A:$A,A606,Changements!$D:$D,B606))</f>
        <v>0</v>
      </c>
      <c r="O606" s="17">
        <f>IF(B606="",0,SUMIFS(Changements!$B:$B,Changements!$A:$A,A606,Changements!$C:$C,B606)+IF(L606&gt;M606,IFERROR(INDEX(Matchs!$F$4:$F$31,MATCH(A606,Matchs!$A$4:$A$31,0)),0),0))</f>
        <v>0</v>
      </c>
      <c r="P606" s="17">
        <f t="shared" si="48"/>
        <v>0</v>
      </c>
      <c r="Q606" s="17">
        <f t="shared" si="49"/>
        <v>0</v>
      </c>
    </row>
    <row r="607" spans="1:17" ht="15" customHeight="1" x14ac:dyDescent="0.25">
      <c r="A607" s="5">
        <f t="shared" si="45"/>
        <v>26</v>
      </c>
      <c r="B607" s="5" t="str">
        <f>INDEX('Effectif Saison'!$E$4:$E$22,4)</f>
        <v>Noé BIHL</v>
      </c>
      <c r="C607" s="4"/>
      <c r="D607" s="4"/>
      <c r="E607" s="4"/>
      <c r="F607" s="17" t="str">
        <f>IF(B607="","",IF(AND(E607="Oui",COUNTIFS(Changements!$A:$A,A607,Changements!$D:$D,B607)&gt;0),"⚠ Titulaire+entrée ?",IF(ABS(L607-M607)&gt;1,"⚠ vérifier","")))</f>
        <v/>
      </c>
      <c r="G607" s="5" t="str">
        <f>IF(B607="","",IFERROR(INDEX('Effectif Saison'!$D$4:$D$51,MATCH(B607,'Effectif Saison'!$E$4:$E$51,0)),""))</f>
        <v>Équipe 1</v>
      </c>
      <c r="H607" s="17" t="str">
        <f>IF(L607=0,"",IF(E607="Oui",0,IFERROR(_xlfn.MINIFS(Changements!$B:$B,Changements!$A:$A,A607,Changements!$D:$D,B607),"")))</f>
        <v/>
      </c>
      <c r="I607" s="17" t="str">
        <f>IF(M607=0,"",IFERROR(_xlfn.MAXIFS(Changements!$B:$B,Changements!$A:$A,A607,Changements!$C:$C,B607),""))</f>
        <v/>
      </c>
      <c r="J607" s="5" t="str">
        <f t="shared" si="46"/>
        <v/>
      </c>
      <c r="K607" s="17">
        <f t="shared" si="47"/>
        <v>0</v>
      </c>
      <c r="L607" s="17">
        <f>IF(B607="",0,COUNTIFS(Changements!$A:$A,A607,Changements!$D:$D,B607)+IF(E607="Oui",1,0))</f>
        <v>0</v>
      </c>
      <c r="M607" s="17">
        <f>IF(B607="",0,COUNTIFS(Changements!$A:$A,A607,Changements!$C:$C,B607))</f>
        <v>0</v>
      </c>
      <c r="N607" s="17">
        <f>IF(B607="",0,SUMIFS(Changements!$B:$B,Changements!$A:$A,A607,Changements!$D:$D,B607))</f>
        <v>0</v>
      </c>
      <c r="O607" s="17">
        <f>IF(B607="",0,SUMIFS(Changements!$B:$B,Changements!$A:$A,A607,Changements!$C:$C,B607)+IF(L607&gt;M607,IFERROR(INDEX(Matchs!$F$4:$F$31,MATCH(A607,Matchs!$A$4:$A$31,0)),0),0))</f>
        <v>0</v>
      </c>
      <c r="P607" s="17">
        <f t="shared" si="48"/>
        <v>0</v>
      </c>
      <c r="Q607" s="17">
        <f t="shared" si="49"/>
        <v>0</v>
      </c>
    </row>
    <row r="608" spans="1:17" ht="15" customHeight="1" x14ac:dyDescent="0.25">
      <c r="A608" s="5">
        <f t="shared" si="45"/>
        <v>26</v>
      </c>
      <c r="B608" s="5" t="str">
        <f>INDEX('Effectif Saison'!$E$4:$E$22,5)</f>
        <v>Luca COLAIANNI</v>
      </c>
      <c r="C608" s="4"/>
      <c r="D608" s="4"/>
      <c r="E608" s="4"/>
      <c r="F608" s="17" t="str">
        <f>IF(B608="","",IF(AND(E608="Oui",COUNTIFS(Changements!$A:$A,A608,Changements!$D:$D,B608)&gt;0),"⚠ Titulaire+entrée ?",IF(ABS(L608-M608)&gt;1,"⚠ vérifier","")))</f>
        <v/>
      </c>
      <c r="G608" s="5" t="str">
        <f>IF(B608="","",IFERROR(INDEX('Effectif Saison'!$D$4:$D$51,MATCH(B608,'Effectif Saison'!$E$4:$E$51,0)),""))</f>
        <v>Équipe 1</v>
      </c>
      <c r="H608" s="17" t="str">
        <f>IF(L608=0,"",IF(E608="Oui",0,IFERROR(_xlfn.MINIFS(Changements!$B:$B,Changements!$A:$A,A608,Changements!$D:$D,B608),"")))</f>
        <v/>
      </c>
      <c r="I608" s="17" t="str">
        <f>IF(M608=0,"",IFERROR(_xlfn.MAXIFS(Changements!$B:$B,Changements!$A:$A,A608,Changements!$C:$C,B608),""))</f>
        <v/>
      </c>
      <c r="J608" s="5" t="str">
        <f t="shared" si="46"/>
        <v/>
      </c>
      <c r="K608" s="17">
        <f t="shared" si="47"/>
        <v>0</v>
      </c>
      <c r="L608" s="17">
        <f>IF(B608="",0,COUNTIFS(Changements!$A:$A,A608,Changements!$D:$D,B608)+IF(E608="Oui",1,0))</f>
        <v>0</v>
      </c>
      <c r="M608" s="17">
        <f>IF(B608="",0,COUNTIFS(Changements!$A:$A,A608,Changements!$C:$C,B608))</f>
        <v>0</v>
      </c>
      <c r="N608" s="17">
        <f>IF(B608="",0,SUMIFS(Changements!$B:$B,Changements!$A:$A,A608,Changements!$D:$D,B608))</f>
        <v>0</v>
      </c>
      <c r="O608" s="17">
        <f>IF(B608="",0,SUMIFS(Changements!$B:$B,Changements!$A:$A,A608,Changements!$C:$C,B608)+IF(L608&gt;M608,IFERROR(INDEX(Matchs!$F$4:$F$31,MATCH(A608,Matchs!$A$4:$A$31,0)),0),0))</f>
        <v>0</v>
      </c>
      <c r="P608" s="17">
        <f t="shared" si="48"/>
        <v>0</v>
      </c>
      <c r="Q608" s="17">
        <f t="shared" si="49"/>
        <v>0</v>
      </c>
    </row>
    <row r="609" spans="1:17" ht="15" customHeight="1" x14ac:dyDescent="0.25">
      <c r="A609" s="5">
        <f t="shared" si="45"/>
        <v>26</v>
      </c>
      <c r="B609" s="5" t="str">
        <f>INDEX('Effectif Saison'!$E$4:$E$22,6)</f>
        <v>Atilla ER</v>
      </c>
      <c r="C609" s="4"/>
      <c r="D609" s="4"/>
      <c r="E609" s="4"/>
      <c r="F609" s="17" t="str">
        <f>IF(B609="","",IF(AND(E609="Oui",COUNTIFS(Changements!$A:$A,A609,Changements!$D:$D,B609)&gt;0),"⚠ Titulaire+entrée ?",IF(ABS(L609-M609)&gt;1,"⚠ vérifier","")))</f>
        <v/>
      </c>
      <c r="G609" s="5" t="str">
        <f>IF(B609="","",IFERROR(INDEX('Effectif Saison'!$D$4:$D$51,MATCH(B609,'Effectif Saison'!$E$4:$E$51,0)),""))</f>
        <v>Équipe 1</v>
      </c>
      <c r="H609" s="17" t="str">
        <f>IF(L609=0,"",IF(E609="Oui",0,IFERROR(_xlfn.MINIFS(Changements!$B:$B,Changements!$A:$A,A609,Changements!$D:$D,B609),"")))</f>
        <v/>
      </c>
      <c r="I609" s="17" t="str">
        <f>IF(M609=0,"",IFERROR(_xlfn.MAXIFS(Changements!$B:$B,Changements!$A:$A,A609,Changements!$C:$C,B609),""))</f>
        <v/>
      </c>
      <c r="J609" s="5" t="str">
        <f t="shared" si="46"/>
        <v/>
      </c>
      <c r="K609" s="17">
        <f t="shared" si="47"/>
        <v>0</v>
      </c>
      <c r="L609" s="17">
        <f>IF(B609="",0,COUNTIFS(Changements!$A:$A,A609,Changements!$D:$D,B609)+IF(E609="Oui",1,0))</f>
        <v>0</v>
      </c>
      <c r="M609" s="17">
        <f>IF(B609="",0,COUNTIFS(Changements!$A:$A,A609,Changements!$C:$C,B609))</f>
        <v>0</v>
      </c>
      <c r="N609" s="17">
        <f>IF(B609="",0,SUMIFS(Changements!$B:$B,Changements!$A:$A,A609,Changements!$D:$D,B609))</f>
        <v>0</v>
      </c>
      <c r="O609" s="17">
        <f>IF(B609="",0,SUMIFS(Changements!$B:$B,Changements!$A:$A,A609,Changements!$C:$C,B609)+IF(L609&gt;M609,IFERROR(INDEX(Matchs!$F$4:$F$31,MATCH(A609,Matchs!$A$4:$A$31,0)),0),0))</f>
        <v>0</v>
      </c>
      <c r="P609" s="17">
        <f t="shared" si="48"/>
        <v>0</v>
      </c>
      <c r="Q609" s="17">
        <f t="shared" si="49"/>
        <v>0</v>
      </c>
    </row>
    <row r="610" spans="1:17" ht="15" customHeight="1" x14ac:dyDescent="0.25">
      <c r="A610" s="5">
        <f t="shared" si="45"/>
        <v>26</v>
      </c>
      <c r="B610" s="5" t="str">
        <f>INDEX('Effectif Saison'!$E$4:$E$22,7)</f>
        <v>Lucas BUHR</v>
      </c>
      <c r="C610" s="4"/>
      <c r="D610" s="4"/>
      <c r="E610" s="4"/>
      <c r="F610" s="17" t="str">
        <f>IF(B610="","",IF(AND(E610="Oui",COUNTIFS(Changements!$A:$A,A610,Changements!$D:$D,B610)&gt;0),"⚠ Titulaire+entrée ?",IF(ABS(L610-M610)&gt;1,"⚠ vérifier","")))</f>
        <v/>
      </c>
      <c r="G610" s="5" t="str">
        <f>IF(B610="","",IFERROR(INDEX('Effectif Saison'!$D$4:$D$51,MATCH(B610,'Effectif Saison'!$E$4:$E$51,0)),""))</f>
        <v>Équipe 1</v>
      </c>
      <c r="H610" s="17" t="str">
        <f>IF(L610=0,"",IF(E610="Oui",0,IFERROR(_xlfn.MINIFS(Changements!$B:$B,Changements!$A:$A,A610,Changements!$D:$D,B610),"")))</f>
        <v/>
      </c>
      <c r="I610" s="17" t="str">
        <f>IF(M610=0,"",IFERROR(_xlfn.MAXIFS(Changements!$B:$B,Changements!$A:$A,A610,Changements!$C:$C,B610),""))</f>
        <v/>
      </c>
      <c r="J610" s="5" t="str">
        <f t="shared" si="46"/>
        <v/>
      </c>
      <c r="K610" s="17">
        <f t="shared" si="47"/>
        <v>0</v>
      </c>
      <c r="L610" s="17">
        <f>IF(B610="",0,COUNTIFS(Changements!$A:$A,A610,Changements!$D:$D,B610)+IF(E610="Oui",1,0))</f>
        <v>0</v>
      </c>
      <c r="M610" s="17">
        <f>IF(B610="",0,COUNTIFS(Changements!$A:$A,A610,Changements!$C:$C,B610))</f>
        <v>0</v>
      </c>
      <c r="N610" s="17">
        <f>IF(B610="",0,SUMIFS(Changements!$B:$B,Changements!$A:$A,A610,Changements!$D:$D,B610))</f>
        <v>0</v>
      </c>
      <c r="O610" s="17">
        <f>IF(B610="",0,SUMIFS(Changements!$B:$B,Changements!$A:$A,A610,Changements!$C:$C,B610)+IF(L610&gt;M610,IFERROR(INDEX(Matchs!$F$4:$F$31,MATCH(A610,Matchs!$A$4:$A$31,0)),0),0))</f>
        <v>0</v>
      </c>
      <c r="P610" s="17">
        <f t="shared" si="48"/>
        <v>0</v>
      </c>
      <c r="Q610" s="17">
        <f t="shared" si="49"/>
        <v>0</v>
      </c>
    </row>
    <row r="611" spans="1:17" ht="15" customHeight="1" x14ac:dyDescent="0.25">
      <c r="A611" s="5">
        <f t="shared" si="45"/>
        <v>26</v>
      </c>
      <c r="B611" s="5" t="str">
        <f>INDEX('Effectif Saison'!$E$4:$E$22,8)</f>
        <v>Yanis HOUX</v>
      </c>
      <c r="C611" s="4"/>
      <c r="D611" s="4"/>
      <c r="E611" s="4"/>
      <c r="F611" s="17" t="str">
        <f>IF(B611="","",IF(AND(E611="Oui",COUNTIFS(Changements!$A:$A,A611,Changements!$D:$D,B611)&gt;0),"⚠ Titulaire+entrée ?",IF(ABS(L611-M611)&gt;1,"⚠ vérifier","")))</f>
        <v/>
      </c>
      <c r="G611" s="5" t="str">
        <f>IF(B611="","",IFERROR(INDEX('Effectif Saison'!$D$4:$D$51,MATCH(B611,'Effectif Saison'!$E$4:$E$51,0)),""))</f>
        <v>Équipe 1</v>
      </c>
      <c r="H611" s="17" t="str">
        <f>IF(L611=0,"",IF(E611="Oui",0,IFERROR(_xlfn.MINIFS(Changements!$B:$B,Changements!$A:$A,A611,Changements!$D:$D,B611),"")))</f>
        <v/>
      </c>
      <c r="I611" s="17" t="str">
        <f>IF(M611=0,"",IFERROR(_xlfn.MAXIFS(Changements!$B:$B,Changements!$A:$A,A611,Changements!$C:$C,B611),""))</f>
        <v/>
      </c>
      <c r="J611" s="5" t="str">
        <f t="shared" si="46"/>
        <v/>
      </c>
      <c r="K611" s="17">
        <f t="shared" si="47"/>
        <v>0</v>
      </c>
      <c r="L611" s="17">
        <f>IF(B611="",0,COUNTIFS(Changements!$A:$A,A611,Changements!$D:$D,B611)+IF(E611="Oui",1,0))</f>
        <v>0</v>
      </c>
      <c r="M611" s="17">
        <f>IF(B611="",0,COUNTIFS(Changements!$A:$A,A611,Changements!$C:$C,B611))</f>
        <v>0</v>
      </c>
      <c r="N611" s="17">
        <f>IF(B611="",0,SUMIFS(Changements!$B:$B,Changements!$A:$A,A611,Changements!$D:$D,B611))</f>
        <v>0</v>
      </c>
      <c r="O611" s="17">
        <f>IF(B611="",0,SUMIFS(Changements!$B:$B,Changements!$A:$A,A611,Changements!$C:$C,B611)+IF(L611&gt;M611,IFERROR(INDEX(Matchs!$F$4:$F$31,MATCH(A611,Matchs!$A$4:$A$31,0)),0),0))</f>
        <v>0</v>
      </c>
      <c r="P611" s="17">
        <f t="shared" si="48"/>
        <v>0</v>
      </c>
      <c r="Q611" s="17">
        <f t="shared" si="49"/>
        <v>0</v>
      </c>
    </row>
    <row r="612" spans="1:17" ht="15" customHeight="1" x14ac:dyDescent="0.25">
      <c r="A612" s="5">
        <f t="shared" si="45"/>
        <v>26</v>
      </c>
      <c r="B612" s="5" t="str">
        <f>INDEX('Effectif Saison'!$E$4:$E$22,9)</f>
        <v>Tino COLAIANNI</v>
      </c>
      <c r="C612" s="4"/>
      <c r="D612" s="4"/>
      <c r="E612" s="4"/>
      <c r="F612" s="17" t="str">
        <f>IF(B612="","",IF(AND(E612="Oui",COUNTIFS(Changements!$A:$A,A612,Changements!$D:$D,B612)&gt;0),"⚠ Titulaire+entrée ?",IF(ABS(L612-M612)&gt;1,"⚠ vérifier","")))</f>
        <v/>
      </c>
      <c r="G612" s="5" t="str">
        <f>IF(B612="","",IFERROR(INDEX('Effectif Saison'!$D$4:$D$51,MATCH(B612,'Effectif Saison'!$E$4:$E$51,0)),""))</f>
        <v>Équipe 1</v>
      </c>
      <c r="H612" s="17" t="str">
        <f>IF(L612=0,"",IF(E612="Oui",0,IFERROR(_xlfn.MINIFS(Changements!$B:$B,Changements!$A:$A,A612,Changements!$D:$D,B612),"")))</f>
        <v/>
      </c>
      <c r="I612" s="17" t="str">
        <f>IF(M612=0,"",IFERROR(_xlfn.MAXIFS(Changements!$B:$B,Changements!$A:$A,A612,Changements!$C:$C,B612),""))</f>
        <v/>
      </c>
      <c r="J612" s="5" t="str">
        <f t="shared" si="46"/>
        <v/>
      </c>
      <c r="K612" s="17">
        <f t="shared" si="47"/>
        <v>0</v>
      </c>
      <c r="L612" s="17">
        <f>IF(B612="",0,COUNTIFS(Changements!$A:$A,A612,Changements!$D:$D,B612)+IF(E612="Oui",1,0))</f>
        <v>0</v>
      </c>
      <c r="M612" s="17">
        <f>IF(B612="",0,COUNTIFS(Changements!$A:$A,A612,Changements!$C:$C,B612))</f>
        <v>0</v>
      </c>
      <c r="N612" s="17">
        <f>IF(B612="",0,SUMIFS(Changements!$B:$B,Changements!$A:$A,A612,Changements!$D:$D,B612))</f>
        <v>0</v>
      </c>
      <c r="O612" s="17">
        <f>IF(B612="",0,SUMIFS(Changements!$B:$B,Changements!$A:$A,A612,Changements!$C:$C,B612)+IF(L612&gt;M612,IFERROR(INDEX(Matchs!$F$4:$F$31,MATCH(A612,Matchs!$A$4:$A$31,0)),0),0))</f>
        <v>0</v>
      </c>
      <c r="P612" s="17">
        <f t="shared" si="48"/>
        <v>0</v>
      </c>
      <c r="Q612" s="17">
        <f t="shared" si="49"/>
        <v>0</v>
      </c>
    </row>
    <row r="613" spans="1:17" ht="15" customHeight="1" x14ac:dyDescent="0.25">
      <c r="A613" s="5">
        <f t="shared" si="45"/>
        <v>26</v>
      </c>
      <c r="B613" s="5" t="str">
        <f>INDEX('Effectif Saison'!$E$4:$E$22,10)</f>
        <v>Achille KELLERKNECHT</v>
      </c>
      <c r="C613" s="4"/>
      <c r="D613" s="4"/>
      <c r="E613" s="4"/>
      <c r="F613" s="17" t="str">
        <f>IF(B613="","",IF(AND(E613="Oui",COUNTIFS(Changements!$A:$A,A613,Changements!$D:$D,B613)&gt;0),"⚠ Titulaire+entrée ?",IF(ABS(L613-M613)&gt;1,"⚠ vérifier","")))</f>
        <v/>
      </c>
      <c r="G613" s="5" t="str">
        <f>IF(B613="","",IFERROR(INDEX('Effectif Saison'!$D$4:$D$51,MATCH(B613,'Effectif Saison'!$E$4:$E$51,0)),""))</f>
        <v>Équipe 1</v>
      </c>
      <c r="H613" s="17" t="str">
        <f>IF(L613=0,"",IF(E613="Oui",0,IFERROR(_xlfn.MINIFS(Changements!$B:$B,Changements!$A:$A,A613,Changements!$D:$D,B613),"")))</f>
        <v/>
      </c>
      <c r="I613" s="17" t="str">
        <f>IF(M613=0,"",IFERROR(_xlfn.MAXIFS(Changements!$B:$B,Changements!$A:$A,A613,Changements!$C:$C,B613),""))</f>
        <v/>
      </c>
      <c r="J613" s="5" t="str">
        <f t="shared" si="46"/>
        <v/>
      </c>
      <c r="K613" s="17">
        <f t="shared" si="47"/>
        <v>0</v>
      </c>
      <c r="L613" s="17">
        <f>IF(B613="",0,COUNTIFS(Changements!$A:$A,A613,Changements!$D:$D,B613)+IF(E613="Oui",1,0))</f>
        <v>0</v>
      </c>
      <c r="M613" s="17">
        <f>IF(B613="",0,COUNTIFS(Changements!$A:$A,A613,Changements!$C:$C,B613))</f>
        <v>0</v>
      </c>
      <c r="N613" s="17">
        <f>IF(B613="",0,SUMIFS(Changements!$B:$B,Changements!$A:$A,A613,Changements!$D:$D,B613))</f>
        <v>0</v>
      </c>
      <c r="O613" s="17">
        <f>IF(B613="",0,SUMIFS(Changements!$B:$B,Changements!$A:$A,A613,Changements!$C:$C,B613)+IF(L613&gt;M613,IFERROR(INDEX(Matchs!$F$4:$F$31,MATCH(A613,Matchs!$A$4:$A$31,0)),0),0))</f>
        <v>0</v>
      </c>
      <c r="P613" s="17">
        <f t="shared" si="48"/>
        <v>0</v>
      </c>
      <c r="Q613" s="17">
        <f t="shared" si="49"/>
        <v>0</v>
      </c>
    </row>
    <row r="614" spans="1:17" ht="15" customHeight="1" x14ac:dyDescent="0.25">
      <c r="A614" s="5">
        <f t="shared" si="45"/>
        <v>26</v>
      </c>
      <c r="B614" s="5" t="str">
        <f>INDEX('Effectif Saison'!$E$4:$E$22,11)</f>
        <v>Charly LEPERT</v>
      </c>
      <c r="C614" s="4"/>
      <c r="D614" s="4"/>
      <c r="E614" s="4"/>
      <c r="F614" s="17" t="str">
        <f>IF(B614="","",IF(AND(E614="Oui",COUNTIFS(Changements!$A:$A,A614,Changements!$D:$D,B614)&gt;0),"⚠ Titulaire+entrée ?",IF(ABS(L614-M614)&gt;1,"⚠ vérifier","")))</f>
        <v/>
      </c>
      <c r="G614" s="5" t="str">
        <f>IF(B614="","",IFERROR(INDEX('Effectif Saison'!$D$4:$D$51,MATCH(B614,'Effectif Saison'!$E$4:$E$51,0)),""))</f>
        <v>Équipe 1</v>
      </c>
      <c r="H614" s="17" t="str">
        <f>IF(L614=0,"",IF(E614="Oui",0,IFERROR(_xlfn.MINIFS(Changements!$B:$B,Changements!$A:$A,A614,Changements!$D:$D,B614),"")))</f>
        <v/>
      </c>
      <c r="I614" s="17" t="str">
        <f>IF(M614=0,"",IFERROR(_xlfn.MAXIFS(Changements!$B:$B,Changements!$A:$A,A614,Changements!$C:$C,B614),""))</f>
        <v/>
      </c>
      <c r="J614" s="5" t="str">
        <f t="shared" si="46"/>
        <v/>
      </c>
      <c r="K614" s="17">
        <f t="shared" si="47"/>
        <v>0</v>
      </c>
      <c r="L614" s="17">
        <f>IF(B614="",0,COUNTIFS(Changements!$A:$A,A614,Changements!$D:$D,B614)+IF(E614="Oui",1,0))</f>
        <v>0</v>
      </c>
      <c r="M614" s="17">
        <f>IF(B614="",0,COUNTIFS(Changements!$A:$A,A614,Changements!$C:$C,B614))</f>
        <v>0</v>
      </c>
      <c r="N614" s="17">
        <f>IF(B614="",0,SUMIFS(Changements!$B:$B,Changements!$A:$A,A614,Changements!$D:$D,B614))</f>
        <v>0</v>
      </c>
      <c r="O614" s="17">
        <f>IF(B614="",0,SUMIFS(Changements!$B:$B,Changements!$A:$A,A614,Changements!$C:$C,B614)+IF(L614&gt;M614,IFERROR(INDEX(Matchs!$F$4:$F$31,MATCH(A614,Matchs!$A$4:$A$31,0)),0),0))</f>
        <v>0</v>
      </c>
      <c r="P614" s="17">
        <f t="shared" si="48"/>
        <v>0</v>
      </c>
      <c r="Q614" s="17">
        <f t="shared" si="49"/>
        <v>0</v>
      </c>
    </row>
    <row r="615" spans="1:17" ht="15" customHeight="1" x14ac:dyDescent="0.25">
      <c r="A615" s="5">
        <f t="shared" si="45"/>
        <v>26</v>
      </c>
      <c r="B615" s="5" t="str">
        <f>INDEX('Effectif Saison'!$E$4:$E$22,12)</f>
        <v>Basile STANGRET</v>
      </c>
      <c r="C615" s="4"/>
      <c r="D615" s="4"/>
      <c r="E615" s="4"/>
      <c r="F615" s="17" t="str">
        <f>IF(B615="","",IF(AND(E615="Oui",COUNTIFS(Changements!$A:$A,A615,Changements!$D:$D,B615)&gt;0),"⚠ Titulaire+entrée ?",IF(ABS(L615-M615)&gt;1,"⚠ vérifier","")))</f>
        <v/>
      </c>
      <c r="G615" s="5" t="str">
        <f>IF(B615="","",IFERROR(INDEX('Effectif Saison'!$D$4:$D$51,MATCH(B615,'Effectif Saison'!$E$4:$E$51,0)),""))</f>
        <v>Équipe 1</v>
      </c>
      <c r="H615" s="17" t="str">
        <f>IF(L615=0,"",IF(E615="Oui",0,IFERROR(_xlfn.MINIFS(Changements!$B:$B,Changements!$A:$A,A615,Changements!$D:$D,B615),"")))</f>
        <v/>
      </c>
      <c r="I615" s="17" t="str">
        <f>IF(M615=0,"",IFERROR(_xlfn.MAXIFS(Changements!$B:$B,Changements!$A:$A,A615,Changements!$C:$C,B615),""))</f>
        <v/>
      </c>
      <c r="J615" s="5" t="str">
        <f t="shared" si="46"/>
        <v/>
      </c>
      <c r="K615" s="17">
        <f t="shared" si="47"/>
        <v>0</v>
      </c>
      <c r="L615" s="17">
        <f>IF(B615="",0,COUNTIFS(Changements!$A:$A,A615,Changements!$D:$D,B615)+IF(E615="Oui",1,0))</f>
        <v>0</v>
      </c>
      <c r="M615" s="17">
        <f>IF(B615="",0,COUNTIFS(Changements!$A:$A,A615,Changements!$C:$C,B615))</f>
        <v>0</v>
      </c>
      <c r="N615" s="17">
        <f>IF(B615="",0,SUMIFS(Changements!$B:$B,Changements!$A:$A,A615,Changements!$D:$D,B615))</f>
        <v>0</v>
      </c>
      <c r="O615" s="17">
        <f>IF(B615="",0,SUMIFS(Changements!$B:$B,Changements!$A:$A,A615,Changements!$C:$C,B615)+IF(L615&gt;M615,IFERROR(INDEX(Matchs!$F$4:$F$31,MATCH(A615,Matchs!$A$4:$A$31,0)),0),0))</f>
        <v>0</v>
      </c>
      <c r="P615" s="17">
        <f t="shared" si="48"/>
        <v>0</v>
      </c>
      <c r="Q615" s="17">
        <f t="shared" si="49"/>
        <v>0</v>
      </c>
    </row>
    <row r="616" spans="1:17" ht="15" customHeight="1" x14ac:dyDescent="0.25">
      <c r="A616" s="5">
        <f t="shared" si="45"/>
        <v>26</v>
      </c>
      <c r="B616" s="5" t="str">
        <f>INDEX('Effectif Saison'!$E$4:$E$22,13)</f>
        <v>Maxence KELLER</v>
      </c>
      <c r="C616" s="4"/>
      <c r="D616" s="4"/>
      <c r="E616" s="4"/>
      <c r="F616" s="17" t="str">
        <f>IF(B616="","",IF(AND(E616="Oui",COUNTIFS(Changements!$A:$A,A616,Changements!$D:$D,B616)&gt;0),"⚠ Titulaire+entrée ?",IF(ABS(L616-M616)&gt;1,"⚠ vérifier","")))</f>
        <v/>
      </c>
      <c r="G616" s="5" t="str">
        <f>IF(B616="","",IFERROR(INDEX('Effectif Saison'!$D$4:$D$51,MATCH(B616,'Effectif Saison'!$E$4:$E$51,0)),""))</f>
        <v>Équipe 1</v>
      </c>
      <c r="H616" s="17" t="str">
        <f>IF(L616=0,"",IF(E616="Oui",0,IFERROR(_xlfn.MINIFS(Changements!$B:$B,Changements!$A:$A,A616,Changements!$D:$D,B616),"")))</f>
        <v/>
      </c>
      <c r="I616" s="17" t="str">
        <f>IF(M616=0,"",IFERROR(_xlfn.MAXIFS(Changements!$B:$B,Changements!$A:$A,A616,Changements!$C:$C,B616),""))</f>
        <v/>
      </c>
      <c r="J616" s="5" t="str">
        <f t="shared" si="46"/>
        <v/>
      </c>
      <c r="K616" s="17">
        <f t="shared" si="47"/>
        <v>0</v>
      </c>
      <c r="L616" s="17">
        <f>IF(B616="",0,COUNTIFS(Changements!$A:$A,A616,Changements!$D:$D,B616)+IF(E616="Oui",1,0))</f>
        <v>0</v>
      </c>
      <c r="M616" s="17">
        <f>IF(B616="",0,COUNTIFS(Changements!$A:$A,A616,Changements!$C:$C,B616))</f>
        <v>0</v>
      </c>
      <c r="N616" s="17">
        <f>IF(B616="",0,SUMIFS(Changements!$B:$B,Changements!$A:$A,A616,Changements!$D:$D,B616))</f>
        <v>0</v>
      </c>
      <c r="O616" s="17">
        <f>IF(B616="",0,SUMIFS(Changements!$B:$B,Changements!$A:$A,A616,Changements!$C:$C,B616)+IF(L616&gt;M616,IFERROR(INDEX(Matchs!$F$4:$F$31,MATCH(A616,Matchs!$A$4:$A$31,0)),0),0))</f>
        <v>0</v>
      </c>
      <c r="P616" s="17">
        <f t="shared" si="48"/>
        <v>0</v>
      </c>
      <c r="Q616" s="17">
        <f t="shared" si="49"/>
        <v>0</v>
      </c>
    </row>
    <row r="617" spans="1:17" ht="15" customHeight="1" x14ac:dyDescent="0.25">
      <c r="A617" s="5">
        <f t="shared" si="45"/>
        <v>26</v>
      </c>
      <c r="B617" s="5" t="str">
        <f>INDEX('Effectif Saison'!$E$4:$E$22,14)</f>
        <v>Evan SCHMITT</v>
      </c>
      <c r="C617" s="4"/>
      <c r="D617" s="4"/>
      <c r="E617" s="4"/>
      <c r="F617" s="17" t="str">
        <f>IF(B617="","",IF(AND(E617="Oui",COUNTIFS(Changements!$A:$A,A617,Changements!$D:$D,B617)&gt;0),"⚠ Titulaire+entrée ?",IF(ABS(L617-M617)&gt;1,"⚠ vérifier","")))</f>
        <v/>
      </c>
      <c r="G617" s="5" t="str">
        <f>IF(B617="","",IFERROR(INDEX('Effectif Saison'!$D$4:$D$51,MATCH(B617,'Effectif Saison'!$E$4:$E$51,0)),""))</f>
        <v>Équipe 1</v>
      </c>
      <c r="H617" s="17" t="str">
        <f>IF(L617=0,"",IF(E617="Oui",0,IFERROR(_xlfn.MINIFS(Changements!$B:$B,Changements!$A:$A,A617,Changements!$D:$D,B617),"")))</f>
        <v/>
      </c>
      <c r="I617" s="17" t="str">
        <f>IF(M617=0,"",IFERROR(_xlfn.MAXIFS(Changements!$B:$B,Changements!$A:$A,A617,Changements!$C:$C,B617),""))</f>
        <v/>
      </c>
      <c r="J617" s="5" t="str">
        <f t="shared" si="46"/>
        <v/>
      </c>
      <c r="K617" s="17">
        <f t="shared" si="47"/>
        <v>0</v>
      </c>
      <c r="L617" s="17">
        <f>IF(B617="",0,COUNTIFS(Changements!$A:$A,A617,Changements!$D:$D,B617)+IF(E617="Oui",1,0))</f>
        <v>0</v>
      </c>
      <c r="M617" s="17">
        <f>IF(B617="",0,COUNTIFS(Changements!$A:$A,A617,Changements!$C:$C,B617))</f>
        <v>0</v>
      </c>
      <c r="N617" s="17">
        <f>IF(B617="",0,SUMIFS(Changements!$B:$B,Changements!$A:$A,A617,Changements!$D:$D,B617))</f>
        <v>0</v>
      </c>
      <c r="O617" s="17">
        <f>IF(B617="",0,SUMIFS(Changements!$B:$B,Changements!$A:$A,A617,Changements!$C:$C,B617)+IF(L617&gt;M617,IFERROR(INDEX(Matchs!$F$4:$F$31,MATCH(A617,Matchs!$A$4:$A$31,0)),0),0))</f>
        <v>0</v>
      </c>
      <c r="P617" s="17">
        <f t="shared" si="48"/>
        <v>0</v>
      </c>
      <c r="Q617" s="17">
        <f t="shared" si="49"/>
        <v>0</v>
      </c>
    </row>
    <row r="618" spans="1:17" ht="15" customHeight="1" x14ac:dyDescent="0.25">
      <c r="A618" s="5">
        <f t="shared" si="45"/>
        <v>26</v>
      </c>
      <c r="B618" s="5" t="str">
        <f>INDEX('Effectif Saison'!$E$4:$E$22,15)</f>
        <v>William SIMON</v>
      </c>
      <c r="C618" s="4"/>
      <c r="D618" s="4"/>
      <c r="E618" s="4"/>
      <c r="F618" s="17" t="str">
        <f>IF(B618="","",IF(AND(E618="Oui",COUNTIFS(Changements!$A:$A,A618,Changements!$D:$D,B618)&gt;0),"⚠ Titulaire+entrée ?",IF(ABS(L618-M618)&gt;1,"⚠ vérifier","")))</f>
        <v/>
      </c>
      <c r="G618" s="5" t="str">
        <f>IF(B618="","",IFERROR(INDEX('Effectif Saison'!$D$4:$D$51,MATCH(B618,'Effectif Saison'!$E$4:$E$51,0)),""))</f>
        <v>Équipe 1</v>
      </c>
      <c r="H618" s="17" t="str">
        <f>IF(L618=0,"",IF(E618="Oui",0,IFERROR(_xlfn.MINIFS(Changements!$B:$B,Changements!$A:$A,A618,Changements!$D:$D,B618),"")))</f>
        <v/>
      </c>
      <c r="I618" s="17" t="str">
        <f>IF(M618=0,"",IFERROR(_xlfn.MAXIFS(Changements!$B:$B,Changements!$A:$A,A618,Changements!$C:$C,B618),""))</f>
        <v/>
      </c>
      <c r="J618" s="5" t="str">
        <f t="shared" si="46"/>
        <v/>
      </c>
      <c r="K618" s="17">
        <f t="shared" si="47"/>
        <v>0</v>
      </c>
      <c r="L618" s="17">
        <f>IF(B618="",0,COUNTIFS(Changements!$A:$A,A618,Changements!$D:$D,B618)+IF(E618="Oui",1,0))</f>
        <v>0</v>
      </c>
      <c r="M618" s="17">
        <f>IF(B618="",0,COUNTIFS(Changements!$A:$A,A618,Changements!$C:$C,B618))</f>
        <v>0</v>
      </c>
      <c r="N618" s="17">
        <f>IF(B618="",0,SUMIFS(Changements!$B:$B,Changements!$A:$A,A618,Changements!$D:$D,B618))</f>
        <v>0</v>
      </c>
      <c r="O618" s="17">
        <f>IF(B618="",0,SUMIFS(Changements!$B:$B,Changements!$A:$A,A618,Changements!$C:$C,B618)+IF(L618&gt;M618,IFERROR(INDEX(Matchs!$F$4:$F$31,MATCH(A618,Matchs!$A$4:$A$31,0)),0),0))</f>
        <v>0</v>
      </c>
      <c r="P618" s="17">
        <f t="shared" si="48"/>
        <v>0</v>
      </c>
      <c r="Q618" s="17">
        <f t="shared" si="49"/>
        <v>0</v>
      </c>
    </row>
    <row r="619" spans="1:17" ht="15" customHeight="1" x14ac:dyDescent="0.25">
      <c r="A619" s="5">
        <f t="shared" si="45"/>
        <v>26</v>
      </c>
      <c r="B619" s="5" t="str">
        <f>INDEX('Effectif Saison'!$E$4:$E$22,16)</f>
        <v>Lenny LEPPER</v>
      </c>
      <c r="C619" s="4"/>
      <c r="D619" s="4"/>
      <c r="E619" s="4"/>
      <c r="F619" s="17" t="str">
        <f>IF(B619="","",IF(AND(E619="Oui",COUNTIFS(Changements!$A:$A,A619,Changements!$D:$D,B619)&gt;0),"⚠ Titulaire+entrée ?",IF(ABS(L619-M619)&gt;1,"⚠ vérifier","")))</f>
        <v/>
      </c>
      <c r="G619" s="5" t="str">
        <f>IF(B619="","",IFERROR(INDEX('Effectif Saison'!$D$4:$D$51,MATCH(B619,'Effectif Saison'!$E$4:$E$51,0)),""))</f>
        <v>Équipe 1</v>
      </c>
      <c r="H619" s="17" t="str">
        <f>IF(L619=0,"",IF(E619="Oui",0,IFERROR(_xlfn.MINIFS(Changements!$B:$B,Changements!$A:$A,A619,Changements!$D:$D,B619),"")))</f>
        <v/>
      </c>
      <c r="I619" s="17" t="str">
        <f>IF(M619=0,"",IFERROR(_xlfn.MAXIFS(Changements!$B:$B,Changements!$A:$A,A619,Changements!$C:$C,B619),""))</f>
        <v/>
      </c>
      <c r="J619" s="5" t="str">
        <f t="shared" si="46"/>
        <v/>
      </c>
      <c r="K619" s="17">
        <f t="shared" si="47"/>
        <v>0</v>
      </c>
      <c r="L619" s="17">
        <f>IF(B619="",0,COUNTIFS(Changements!$A:$A,A619,Changements!$D:$D,B619)+IF(E619="Oui",1,0))</f>
        <v>0</v>
      </c>
      <c r="M619" s="17">
        <f>IF(B619="",0,COUNTIFS(Changements!$A:$A,A619,Changements!$C:$C,B619))</f>
        <v>0</v>
      </c>
      <c r="N619" s="17">
        <f>IF(B619="",0,SUMIFS(Changements!$B:$B,Changements!$A:$A,A619,Changements!$D:$D,B619))</f>
        <v>0</v>
      </c>
      <c r="O619" s="17">
        <f>IF(B619="",0,SUMIFS(Changements!$B:$B,Changements!$A:$A,A619,Changements!$C:$C,B619)+IF(L619&gt;M619,IFERROR(INDEX(Matchs!$F$4:$F$31,MATCH(A619,Matchs!$A$4:$A$31,0)),0),0))</f>
        <v>0</v>
      </c>
      <c r="P619" s="17">
        <f t="shared" si="48"/>
        <v>0</v>
      </c>
      <c r="Q619" s="17">
        <f t="shared" si="49"/>
        <v>0</v>
      </c>
    </row>
    <row r="620" spans="1:17" ht="15" customHeight="1" x14ac:dyDescent="0.25">
      <c r="A620" s="5">
        <f t="shared" si="45"/>
        <v>26</v>
      </c>
      <c r="B620" s="5" t="str">
        <f>INDEX('Effectif Saison'!$E$4:$E$22,17)</f>
        <v>Malo KELLER</v>
      </c>
      <c r="C620" s="4"/>
      <c r="D620" s="4"/>
      <c r="E620" s="4"/>
      <c r="F620" s="17" t="str">
        <f>IF(B620="","",IF(AND(E620="Oui",COUNTIFS(Changements!$A:$A,A620,Changements!$D:$D,B620)&gt;0),"⚠ Titulaire+entrée ?",IF(ABS(L620-M620)&gt;1,"⚠ vérifier","")))</f>
        <v/>
      </c>
      <c r="G620" s="5" t="str">
        <f>IF(B620="","",IFERROR(INDEX('Effectif Saison'!$D$4:$D$51,MATCH(B620,'Effectif Saison'!$E$4:$E$51,0)),""))</f>
        <v>Équipe 1</v>
      </c>
      <c r="H620" s="17" t="str">
        <f>IF(L620=0,"",IF(E620="Oui",0,IFERROR(_xlfn.MINIFS(Changements!$B:$B,Changements!$A:$A,A620,Changements!$D:$D,B620),"")))</f>
        <v/>
      </c>
      <c r="I620" s="17" t="str">
        <f>IF(M620=0,"",IFERROR(_xlfn.MAXIFS(Changements!$B:$B,Changements!$A:$A,A620,Changements!$C:$C,B620),""))</f>
        <v/>
      </c>
      <c r="J620" s="5" t="str">
        <f t="shared" si="46"/>
        <v/>
      </c>
      <c r="K620" s="17">
        <f t="shared" si="47"/>
        <v>0</v>
      </c>
      <c r="L620" s="17">
        <f>IF(B620="",0,COUNTIFS(Changements!$A:$A,A620,Changements!$D:$D,B620)+IF(E620="Oui",1,0))</f>
        <v>0</v>
      </c>
      <c r="M620" s="17">
        <f>IF(B620="",0,COUNTIFS(Changements!$A:$A,A620,Changements!$C:$C,B620))</f>
        <v>0</v>
      </c>
      <c r="N620" s="17">
        <f>IF(B620="",0,SUMIFS(Changements!$B:$B,Changements!$A:$A,A620,Changements!$D:$D,B620))</f>
        <v>0</v>
      </c>
      <c r="O620" s="17">
        <f>IF(B620="",0,SUMIFS(Changements!$B:$B,Changements!$A:$A,A620,Changements!$C:$C,B620)+IF(L620&gt;M620,IFERROR(INDEX(Matchs!$F$4:$F$31,MATCH(A620,Matchs!$A$4:$A$31,0)),0),0))</f>
        <v>0</v>
      </c>
      <c r="P620" s="17">
        <f t="shared" si="48"/>
        <v>0</v>
      </c>
      <c r="Q620" s="17">
        <f t="shared" si="49"/>
        <v>0</v>
      </c>
    </row>
    <row r="621" spans="1:17" ht="15" customHeight="1" x14ac:dyDescent="0.25">
      <c r="A621" s="5">
        <f t="shared" si="45"/>
        <v>26</v>
      </c>
      <c r="B621" s="5" t="str">
        <f>INDEX('Effectif Saison'!$E$4:$E$22,18)</f>
        <v>Tom SCHILLER</v>
      </c>
      <c r="C621" s="4"/>
      <c r="D621" s="4"/>
      <c r="E621" s="4"/>
      <c r="F621" s="17" t="str">
        <f>IF(B621="","",IF(AND(E621="Oui",COUNTIFS(Changements!$A:$A,A621,Changements!$D:$D,B621)&gt;0),"⚠ Titulaire+entrée ?",IF(ABS(L621-M621)&gt;1,"⚠ vérifier","")))</f>
        <v/>
      </c>
      <c r="G621" s="5" t="str">
        <f>IF(B621="","",IFERROR(INDEX('Effectif Saison'!$D$4:$D$51,MATCH(B621,'Effectif Saison'!$E$4:$E$51,0)),""))</f>
        <v>Équipe 1</v>
      </c>
      <c r="H621" s="17" t="str">
        <f>IF(L621=0,"",IF(E621="Oui",0,IFERROR(_xlfn.MINIFS(Changements!$B:$B,Changements!$A:$A,A621,Changements!$D:$D,B621),"")))</f>
        <v/>
      </c>
      <c r="I621" s="17" t="str">
        <f>IF(M621=0,"",IFERROR(_xlfn.MAXIFS(Changements!$B:$B,Changements!$A:$A,A621,Changements!$C:$C,B621),""))</f>
        <v/>
      </c>
      <c r="J621" s="5" t="str">
        <f t="shared" si="46"/>
        <v/>
      </c>
      <c r="K621" s="17">
        <f t="shared" si="47"/>
        <v>0</v>
      </c>
      <c r="L621" s="17">
        <f>IF(B621="",0,COUNTIFS(Changements!$A:$A,A621,Changements!$D:$D,B621)+IF(E621="Oui",1,0))</f>
        <v>0</v>
      </c>
      <c r="M621" s="17">
        <f>IF(B621="",0,COUNTIFS(Changements!$A:$A,A621,Changements!$C:$C,B621))</f>
        <v>0</v>
      </c>
      <c r="N621" s="17">
        <f>IF(B621="",0,SUMIFS(Changements!$B:$B,Changements!$A:$A,A621,Changements!$D:$D,B621))</f>
        <v>0</v>
      </c>
      <c r="O621" s="17">
        <f>IF(B621="",0,SUMIFS(Changements!$B:$B,Changements!$A:$A,A621,Changements!$C:$C,B621)+IF(L621&gt;M621,IFERROR(INDEX(Matchs!$F$4:$F$31,MATCH(A621,Matchs!$A$4:$A$31,0)),0),0))</f>
        <v>0</v>
      </c>
      <c r="P621" s="17">
        <f t="shared" si="48"/>
        <v>0</v>
      </c>
      <c r="Q621" s="17">
        <f t="shared" si="49"/>
        <v>0</v>
      </c>
    </row>
    <row r="622" spans="1:17" ht="15" customHeight="1" x14ac:dyDescent="0.25">
      <c r="A622" s="5">
        <f t="shared" si="45"/>
        <v>26</v>
      </c>
      <c r="B622" s="5" t="str">
        <f>INDEX('Effectif Saison'!$E$4:$E$22,19)</f>
        <v>Eliot LEIBY</v>
      </c>
      <c r="C622" s="4"/>
      <c r="D622" s="4"/>
      <c r="E622" s="4"/>
      <c r="F622" s="17" t="str">
        <f>IF(B622="","",IF(AND(E622="Oui",COUNTIFS(Changements!$A:$A,A622,Changements!$D:$D,B622)&gt;0),"⚠ Titulaire+entrée ?",IF(ABS(L622-M622)&gt;1,"⚠ vérifier","")))</f>
        <v/>
      </c>
      <c r="G622" s="5" t="str">
        <f>IF(B622="","",IFERROR(INDEX('Effectif Saison'!$D$4:$D$51,MATCH(B622,'Effectif Saison'!$E$4:$E$51,0)),""))</f>
        <v>Équipe 1</v>
      </c>
      <c r="H622" s="17" t="str">
        <f>IF(L622=0,"",IF(E622="Oui",0,IFERROR(_xlfn.MINIFS(Changements!$B:$B,Changements!$A:$A,A622,Changements!$D:$D,B622),"")))</f>
        <v/>
      </c>
      <c r="I622" s="17" t="str">
        <f>IF(M622=0,"",IFERROR(_xlfn.MAXIFS(Changements!$B:$B,Changements!$A:$A,A622,Changements!$C:$C,B622),""))</f>
        <v/>
      </c>
      <c r="J622" s="5" t="str">
        <f t="shared" si="46"/>
        <v/>
      </c>
      <c r="K622" s="17">
        <f t="shared" si="47"/>
        <v>0</v>
      </c>
      <c r="L622" s="17">
        <f>IF(B622="",0,COUNTIFS(Changements!$A:$A,A622,Changements!$D:$D,B622)+IF(E622="Oui",1,0))</f>
        <v>0</v>
      </c>
      <c r="M622" s="17">
        <f>IF(B622="",0,COUNTIFS(Changements!$A:$A,A622,Changements!$C:$C,B622))</f>
        <v>0</v>
      </c>
      <c r="N622" s="17">
        <f>IF(B622="",0,SUMIFS(Changements!$B:$B,Changements!$A:$A,A622,Changements!$D:$D,B622))</f>
        <v>0</v>
      </c>
      <c r="O622" s="17">
        <f>IF(B622="",0,SUMIFS(Changements!$B:$B,Changements!$A:$A,A622,Changements!$C:$C,B622)+IF(L622&gt;M622,IFERROR(INDEX(Matchs!$F$4:$F$31,MATCH(A622,Matchs!$A$4:$A$31,0)),0),0))</f>
        <v>0</v>
      </c>
      <c r="P622" s="17">
        <f t="shared" si="48"/>
        <v>0</v>
      </c>
      <c r="Q622" s="17">
        <f t="shared" si="49"/>
        <v>0</v>
      </c>
    </row>
    <row r="623" spans="1:17" ht="15" customHeight="1" x14ac:dyDescent="0.25">
      <c r="A623" s="5">
        <f t="shared" si="45"/>
        <v>26</v>
      </c>
      <c r="B623" s="4"/>
      <c r="C623" s="4"/>
      <c r="D623" s="4"/>
      <c r="E623" s="4"/>
      <c r="F623" s="17" t="str">
        <f>IF(B623="","",IF(AND(E623="Oui",COUNTIFS(Changements!$A:$A,A623,Changements!$D:$D,B623)&gt;0),"⚠ Titulaire+entrée ?",IF(ABS(L623-M623)&gt;1,"⚠ vérifier","")))</f>
        <v/>
      </c>
      <c r="G623" s="5" t="str">
        <f>IF(B623="","",IFERROR(INDEX('Effectif Saison'!$D$4:$D$51,MATCH(B623,'Effectif Saison'!$E$4:$E$51,0)),""))</f>
        <v/>
      </c>
      <c r="H623" s="17" t="str">
        <f>IF(L623=0,"",IF(E623="Oui",0,IFERROR(_xlfn.MINIFS(Changements!$B:$B,Changements!$A:$A,A623,Changements!$D:$D,B623),"")))</f>
        <v/>
      </c>
      <c r="I623" s="17" t="str">
        <f>IF(M623=0,"",IFERROR(_xlfn.MAXIFS(Changements!$B:$B,Changements!$A:$A,A623,Changements!$C:$C,B623),""))</f>
        <v/>
      </c>
      <c r="J623" s="5" t="str">
        <f t="shared" si="46"/>
        <v/>
      </c>
      <c r="K623" s="17">
        <f t="shared" si="47"/>
        <v>0</v>
      </c>
      <c r="L623" s="17">
        <f>IF(B623="",0,COUNTIFS(Changements!$A:$A,A623,Changements!$D:$D,B623)+IF(E623="Oui",1,0))</f>
        <v>0</v>
      </c>
      <c r="M623" s="17">
        <f>IF(B623="",0,COUNTIFS(Changements!$A:$A,A623,Changements!$C:$C,B623))</f>
        <v>0</v>
      </c>
      <c r="N623" s="17">
        <f>IF(B623="",0,SUMIFS(Changements!$B:$B,Changements!$A:$A,A623,Changements!$D:$D,B623))</f>
        <v>0</v>
      </c>
      <c r="O623" s="17">
        <f>IF(B623="",0,SUMIFS(Changements!$B:$B,Changements!$A:$A,A623,Changements!$C:$C,B623)+IF(L623&gt;M623,IFERROR(INDEX(Matchs!$F$4:$F$31,MATCH(A623,Matchs!$A$4:$A$31,0)),0),0))</f>
        <v>0</v>
      </c>
      <c r="P623" s="17">
        <f t="shared" si="48"/>
        <v>0</v>
      </c>
      <c r="Q623" s="17">
        <f t="shared" si="49"/>
        <v>0</v>
      </c>
    </row>
    <row r="624" spans="1:17" ht="15" customHeight="1" x14ac:dyDescent="0.25">
      <c r="A624" s="5">
        <f t="shared" si="45"/>
        <v>26</v>
      </c>
      <c r="B624" s="4"/>
      <c r="C624" s="4"/>
      <c r="D624" s="4"/>
      <c r="E624" s="4"/>
      <c r="F624" s="17" t="str">
        <f>IF(B624="","",IF(AND(E624="Oui",COUNTIFS(Changements!$A:$A,A624,Changements!$D:$D,B624)&gt;0),"⚠ Titulaire+entrée ?",IF(ABS(L624-M624)&gt;1,"⚠ vérifier","")))</f>
        <v/>
      </c>
      <c r="G624" s="5" t="str">
        <f>IF(B624="","",IFERROR(INDEX('Effectif Saison'!$D$4:$D$51,MATCH(B624,'Effectif Saison'!$E$4:$E$51,0)),""))</f>
        <v/>
      </c>
      <c r="H624" s="17" t="str">
        <f>IF(L624=0,"",IF(E624="Oui",0,IFERROR(_xlfn.MINIFS(Changements!$B:$B,Changements!$A:$A,A624,Changements!$D:$D,B624),"")))</f>
        <v/>
      </c>
      <c r="I624" s="17" t="str">
        <f>IF(M624=0,"",IFERROR(_xlfn.MAXIFS(Changements!$B:$B,Changements!$A:$A,A624,Changements!$C:$C,B624),""))</f>
        <v/>
      </c>
      <c r="J624" s="5" t="str">
        <f t="shared" si="46"/>
        <v/>
      </c>
      <c r="K624" s="17">
        <f t="shared" si="47"/>
        <v>0</v>
      </c>
      <c r="L624" s="17">
        <f>IF(B624="",0,COUNTIFS(Changements!$A:$A,A624,Changements!$D:$D,B624)+IF(E624="Oui",1,0))</f>
        <v>0</v>
      </c>
      <c r="M624" s="17">
        <f>IF(B624="",0,COUNTIFS(Changements!$A:$A,A624,Changements!$C:$C,B624))</f>
        <v>0</v>
      </c>
      <c r="N624" s="17">
        <f>IF(B624="",0,SUMIFS(Changements!$B:$B,Changements!$A:$A,A624,Changements!$D:$D,B624))</f>
        <v>0</v>
      </c>
      <c r="O624" s="17">
        <f>IF(B624="",0,SUMIFS(Changements!$B:$B,Changements!$A:$A,A624,Changements!$C:$C,B624)+IF(L624&gt;M624,IFERROR(INDEX(Matchs!$F$4:$F$31,MATCH(A624,Matchs!$A$4:$A$31,0)),0),0))</f>
        <v>0</v>
      </c>
      <c r="P624" s="17">
        <f t="shared" si="48"/>
        <v>0</v>
      </c>
      <c r="Q624" s="17">
        <f t="shared" si="49"/>
        <v>0</v>
      </c>
    </row>
    <row r="625" spans="1:17" ht="15" customHeight="1" x14ac:dyDescent="0.25">
      <c r="A625" s="5">
        <f t="shared" si="45"/>
        <v>26</v>
      </c>
      <c r="B625" s="4"/>
      <c r="C625" s="4"/>
      <c r="D625" s="4"/>
      <c r="E625" s="4"/>
      <c r="F625" s="17" t="str">
        <f>IF(B625="","",IF(AND(E625="Oui",COUNTIFS(Changements!$A:$A,A625,Changements!$D:$D,B625)&gt;0),"⚠ Titulaire+entrée ?",IF(ABS(L625-M625)&gt;1,"⚠ vérifier","")))</f>
        <v/>
      </c>
      <c r="G625" s="5" t="str">
        <f>IF(B625="","",IFERROR(INDEX('Effectif Saison'!$D$4:$D$51,MATCH(B625,'Effectif Saison'!$E$4:$E$51,0)),""))</f>
        <v/>
      </c>
      <c r="H625" s="17" t="str">
        <f>IF(L625=0,"",IF(E625="Oui",0,IFERROR(_xlfn.MINIFS(Changements!$B:$B,Changements!$A:$A,A625,Changements!$D:$D,B625),"")))</f>
        <v/>
      </c>
      <c r="I625" s="17" t="str">
        <f>IF(M625=0,"",IFERROR(_xlfn.MAXIFS(Changements!$B:$B,Changements!$A:$A,A625,Changements!$C:$C,B625),""))</f>
        <v/>
      </c>
      <c r="J625" s="5" t="str">
        <f t="shared" si="46"/>
        <v/>
      </c>
      <c r="K625" s="17">
        <f t="shared" si="47"/>
        <v>0</v>
      </c>
      <c r="L625" s="17">
        <f>IF(B625="",0,COUNTIFS(Changements!$A:$A,A625,Changements!$D:$D,B625)+IF(E625="Oui",1,0))</f>
        <v>0</v>
      </c>
      <c r="M625" s="17">
        <f>IF(B625="",0,COUNTIFS(Changements!$A:$A,A625,Changements!$C:$C,B625))</f>
        <v>0</v>
      </c>
      <c r="N625" s="17">
        <f>IF(B625="",0,SUMIFS(Changements!$B:$B,Changements!$A:$A,A625,Changements!$D:$D,B625))</f>
        <v>0</v>
      </c>
      <c r="O625" s="17">
        <f>IF(B625="",0,SUMIFS(Changements!$B:$B,Changements!$A:$A,A625,Changements!$C:$C,B625)+IF(L625&gt;M625,IFERROR(INDEX(Matchs!$F$4:$F$31,MATCH(A625,Matchs!$A$4:$A$31,0)),0),0))</f>
        <v>0</v>
      </c>
      <c r="P625" s="17">
        <f t="shared" si="48"/>
        <v>0</v>
      </c>
      <c r="Q625" s="17">
        <f t="shared" si="49"/>
        <v>0</v>
      </c>
    </row>
    <row r="626" spans="1:17" ht="15" customHeight="1" x14ac:dyDescent="0.25">
      <c r="A626" s="5">
        <f t="shared" si="45"/>
        <v>26</v>
      </c>
      <c r="B626" s="4"/>
      <c r="C626" s="4"/>
      <c r="D626" s="4"/>
      <c r="E626" s="4"/>
      <c r="F626" s="17" t="str">
        <f>IF(B626="","",IF(AND(E626="Oui",COUNTIFS(Changements!$A:$A,A626,Changements!$D:$D,B626)&gt;0),"⚠ Titulaire+entrée ?",IF(ABS(L626-M626)&gt;1,"⚠ vérifier","")))</f>
        <v/>
      </c>
      <c r="G626" s="5" t="str">
        <f>IF(B626="","",IFERROR(INDEX('Effectif Saison'!$D$4:$D$51,MATCH(B626,'Effectif Saison'!$E$4:$E$51,0)),""))</f>
        <v/>
      </c>
      <c r="H626" s="17" t="str">
        <f>IF(L626=0,"",IF(E626="Oui",0,IFERROR(_xlfn.MINIFS(Changements!$B:$B,Changements!$A:$A,A626,Changements!$D:$D,B626),"")))</f>
        <v/>
      </c>
      <c r="I626" s="17" t="str">
        <f>IF(M626=0,"",IFERROR(_xlfn.MAXIFS(Changements!$B:$B,Changements!$A:$A,A626,Changements!$C:$C,B626),""))</f>
        <v/>
      </c>
      <c r="J626" s="5" t="str">
        <f t="shared" si="46"/>
        <v/>
      </c>
      <c r="K626" s="17">
        <f t="shared" si="47"/>
        <v>0</v>
      </c>
      <c r="L626" s="17">
        <f>IF(B626="",0,COUNTIFS(Changements!$A:$A,A626,Changements!$D:$D,B626)+IF(E626="Oui",1,0))</f>
        <v>0</v>
      </c>
      <c r="M626" s="17">
        <f>IF(B626="",0,COUNTIFS(Changements!$A:$A,A626,Changements!$C:$C,B626))</f>
        <v>0</v>
      </c>
      <c r="N626" s="17">
        <f>IF(B626="",0,SUMIFS(Changements!$B:$B,Changements!$A:$A,A626,Changements!$D:$D,B626))</f>
        <v>0</v>
      </c>
      <c r="O626" s="17">
        <f>IF(B626="",0,SUMIFS(Changements!$B:$B,Changements!$A:$A,A626,Changements!$C:$C,B626)+IF(L626&gt;M626,IFERROR(INDEX(Matchs!$F$4:$F$31,MATCH(A626,Matchs!$A$4:$A$31,0)),0),0))</f>
        <v>0</v>
      </c>
      <c r="P626" s="17">
        <f t="shared" si="48"/>
        <v>0</v>
      </c>
      <c r="Q626" s="17">
        <f t="shared" si="49"/>
        <v>0</v>
      </c>
    </row>
    <row r="627" spans="1:17" ht="15" customHeight="1" x14ac:dyDescent="0.25">
      <c r="A627" s="5">
        <f t="shared" si="45"/>
        <v>26</v>
      </c>
      <c r="B627" s="4"/>
      <c r="C627" s="4"/>
      <c r="D627" s="4"/>
      <c r="E627" s="4"/>
      <c r="F627" s="17" t="str">
        <f>IF(B627="","",IF(AND(E627="Oui",COUNTIFS(Changements!$A:$A,A627,Changements!$D:$D,B627)&gt;0),"⚠ Titulaire+entrée ?",IF(ABS(L627-M627)&gt;1,"⚠ vérifier","")))</f>
        <v/>
      </c>
      <c r="G627" s="5" t="str">
        <f>IF(B627="","",IFERROR(INDEX('Effectif Saison'!$D$4:$D$51,MATCH(B627,'Effectif Saison'!$E$4:$E$51,0)),""))</f>
        <v/>
      </c>
      <c r="H627" s="17" t="str">
        <f>IF(L627=0,"",IF(E627="Oui",0,IFERROR(_xlfn.MINIFS(Changements!$B:$B,Changements!$A:$A,A627,Changements!$D:$D,B627),"")))</f>
        <v/>
      </c>
      <c r="I627" s="17" t="str">
        <f>IF(M627=0,"",IFERROR(_xlfn.MAXIFS(Changements!$B:$B,Changements!$A:$A,A627,Changements!$C:$C,B627),""))</f>
        <v/>
      </c>
      <c r="J627" s="5" t="str">
        <f t="shared" si="46"/>
        <v/>
      </c>
      <c r="K627" s="17">
        <f t="shared" si="47"/>
        <v>0</v>
      </c>
      <c r="L627" s="17">
        <f>IF(B627="",0,COUNTIFS(Changements!$A:$A,A627,Changements!$D:$D,B627)+IF(E627="Oui",1,0))</f>
        <v>0</v>
      </c>
      <c r="M627" s="17">
        <f>IF(B627="",0,COUNTIFS(Changements!$A:$A,A627,Changements!$C:$C,B627))</f>
        <v>0</v>
      </c>
      <c r="N627" s="17">
        <f>IF(B627="",0,SUMIFS(Changements!$B:$B,Changements!$A:$A,A627,Changements!$D:$D,B627))</f>
        <v>0</v>
      </c>
      <c r="O627" s="17">
        <f>IF(B627="",0,SUMIFS(Changements!$B:$B,Changements!$A:$A,A627,Changements!$C:$C,B627)+IF(L627&gt;M627,IFERROR(INDEX(Matchs!$F$4:$F$31,MATCH(A627,Matchs!$A$4:$A$31,0)),0),0))</f>
        <v>0</v>
      </c>
      <c r="P627" s="17">
        <f t="shared" si="48"/>
        <v>0</v>
      </c>
      <c r="Q627" s="17">
        <f t="shared" si="49"/>
        <v>0</v>
      </c>
    </row>
    <row r="628" spans="1:17" ht="15" customHeight="1" x14ac:dyDescent="0.25">
      <c r="A628" s="5">
        <f t="shared" si="45"/>
        <v>27</v>
      </c>
      <c r="B628" s="5" t="str">
        <f>INDEX('Effectif Saison'!$E$4:$E$22,1)</f>
        <v>Alan MICHON</v>
      </c>
      <c r="C628" s="4"/>
      <c r="D628" s="4"/>
      <c r="E628" s="4"/>
      <c r="F628" s="17" t="str">
        <f>IF(B628="","",IF(AND(E628="Oui",COUNTIFS(Changements!$A:$A,A628,Changements!$D:$D,B628)&gt;0),"⚠ Titulaire+entrée ?",IF(ABS(L628-M628)&gt;1,"⚠ vérifier","")))</f>
        <v/>
      </c>
      <c r="G628" s="5" t="str">
        <f>IF(B628="","",IFERROR(INDEX('Effectif Saison'!$D$4:$D$51,MATCH(B628,'Effectif Saison'!$E$4:$E$51,0)),""))</f>
        <v>Équipe 1</v>
      </c>
      <c r="H628" s="17" t="str">
        <f>IF(L628=0,"",IF(E628="Oui",0,IFERROR(_xlfn.MINIFS(Changements!$B:$B,Changements!$A:$A,A628,Changements!$D:$D,B628),"")))</f>
        <v/>
      </c>
      <c r="I628" s="17" t="str">
        <f>IF(M628=0,"",IFERROR(_xlfn.MAXIFS(Changements!$B:$B,Changements!$A:$A,A628,Changements!$C:$C,B628),""))</f>
        <v/>
      </c>
      <c r="J628" s="5" t="str">
        <f t="shared" si="46"/>
        <v/>
      </c>
      <c r="K628" s="17">
        <f t="shared" si="47"/>
        <v>0</v>
      </c>
      <c r="L628" s="17">
        <f>IF(B628="",0,COUNTIFS(Changements!$A:$A,A628,Changements!$D:$D,B628)+IF(E628="Oui",1,0))</f>
        <v>0</v>
      </c>
      <c r="M628" s="17">
        <f>IF(B628="",0,COUNTIFS(Changements!$A:$A,A628,Changements!$C:$C,B628))</f>
        <v>0</v>
      </c>
      <c r="N628" s="17">
        <f>IF(B628="",0,SUMIFS(Changements!$B:$B,Changements!$A:$A,A628,Changements!$D:$D,B628))</f>
        <v>0</v>
      </c>
      <c r="O628" s="17">
        <f>IF(B628="",0,SUMIFS(Changements!$B:$B,Changements!$A:$A,A628,Changements!$C:$C,B628)+IF(L628&gt;M628,IFERROR(INDEX(Matchs!$F$4:$F$31,MATCH(A628,Matchs!$A$4:$A$31,0)),0),0))</f>
        <v>0</v>
      </c>
      <c r="P628" s="17">
        <f t="shared" si="48"/>
        <v>0</v>
      </c>
      <c r="Q628" s="17">
        <f t="shared" si="49"/>
        <v>0</v>
      </c>
    </row>
    <row r="629" spans="1:17" ht="15" customHeight="1" x14ac:dyDescent="0.25">
      <c r="A629" s="5">
        <f t="shared" si="45"/>
        <v>27</v>
      </c>
      <c r="B629" s="5" t="str">
        <f>INDEX('Effectif Saison'!$E$4:$E$22,2)</f>
        <v>Jean BRUNTZ</v>
      </c>
      <c r="C629" s="4"/>
      <c r="D629" s="4"/>
      <c r="E629" s="4"/>
      <c r="F629" s="17" t="str">
        <f>IF(B629="","",IF(AND(E629="Oui",COUNTIFS(Changements!$A:$A,A629,Changements!$D:$D,B629)&gt;0),"⚠ Titulaire+entrée ?",IF(ABS(L629-M629)&gt;1,"⚠ vérifier","")))</f>
        <v/>
      </c>
      <c r="G629" s="5" t="str">
        <f>IF(B629="","",IFERROR(INDEX('Effectif Saison'!$D$4:$D$51,MATCH(B629,'Effectif Saison'!$E$4:$E$51,0)),""))</f>
        <v>Équipe 1</v>
      </c>
      <c r="H629" s="17" t="str">
        <f>IF(L629=0,"",IF(E629="Oui",0,IFERROR(_xlfn.MINIFS(Changements!$B:$B,Changements!$A:$A,A629,Changements!$D:$D,B629),"")))</f>
        <v/>
      </c>
      <c r="I629" s="17" t="str">
        <f>IF(M629=0,"",IFERROR(_xlfn.MAXIFS(Changements!$B:$B,Changements!$A:$A,A629,Changements!$C:$C,B629),""))</f>
        <v/>
      </c>
      <c r="J629" s="5" t="str">
        <f t="shared" si="46"/>
        <v/>
      </c>
      <c r="K629" s="17">
        <f t="shared" si="47"/>
        <v>0</v>
      </c>
      <c r="L629" s="17">
        <f>IF(B629="",0,COUNTIFS(Changements!$A:$A,A629,Changements!$D:$D,B629)+IF(E629="Oui",1,0))</f>
        <v>0</v>
      </c>
      <c r="M629" s="17">
        <f>IF(B629="",0,COUNTIFS(Changements!$A:$A,A629,Changements!$C:$C,B629))</f>
        <v>0</v>
      </c>
      <c r="N629" s="17">
        <f>IF(B629="",0,SUMIFS(Changements!$B:$B,Changements!$A:$A,A629,Changements!$D:$D,B629))</f>
        <v>0</v>
      </c>
      <c r="O629" s="17">
        <f>IF(B629="",0,SUMIFS(Changements!$B:$B,Changements!$A:$A,A629,Changements!$C:$C,B629)+IF(L629&gt;M629,IFERROR(INDEX(Matchs!$F$4:$F$31,MATCH(A629,Matchs!$A$4:$A$31,0)),0),0))</f>
        <v>0</v>
      </c>
      <c r="P629" s="17">
        <f t="shared" si="48"/>
        <v>0</v>
      </c>
      <c r="Q629" s="17">
        <f t="shared" si="49"/>
        <v>0</v>
      </c>
    </row>
    <row r="630" spans="1:17" ht="15" customHeight="1" x14ac:dyDescent="0.25">
      <c r="A630" s="5">
        <f t="shared" si="45"/>
        <v>27</v>
      </c>
      <c r="B630" s="5" t="str">
        <f>INDEX('Effectif Saison'!$E$4:$E$22,3)</f>
        <v>Marouane SBK</v>
      </c>
      <c r="C630" s="4"/>
      <c r="D630" s="4"/>
      <c r="E630" s="4"/>
      <c r="F630" s="17" t="str">
        <f>IF(B630="","",IF(AND(E630="Oui",COUNTIFS(Changements!$A:$A,A630,Changements!$D:$D,B630)&gt;0),"⚠ Titulaire+entrée ?",IF(ABS(L630-M630)&gt;1,"⚠ vérifier","")))</f>
        <v/>
      </c>
      <c r="G630" s="5" t="str">
        <f>IF(B630="","",IFERROR(INDEX('Effectif Saison'!$D$4:$D$51,MATCH(B630,'Effectif Saison'!$E$4:$E$51,0)),""))</f>
        <v>Équipe 1</v>
      </c>
      <c r="H630" s="17" t="str">
        <f>IF(L630=0,"",IF(E630="Oui",0,IFERROR(_xlfn.MINIFS(Changements!$B:$B,Changements!$A:$A,A630,Changements!$D:$D,B630),"")))</f>
        <v/>
      </c>
      <c r="I630" s="17" t="str">
        <f>IF(M630=0,"",IFERROR(_xlfn.MAXIFS(Changements!$B:$B,Changements!$A:$A,A630,Changements!$C:$C,B630),""))</f>
        <v/>
      </c>
      <c r="J630" s="5" t="str">
        <f t="shared" si="46"/>
        <v/>
      </c>
      <c r="K630" s="17">
        <f t="shared" si="47"/>
        <v>0</v>
      </c>
      <c r="L630" s="17">
        <f>IF(B630="",0,COUNTIFS(Changements!$A:$A,A630,Changements!$D:$D,B630)+IF(E630="Oui",1,0))</f>
        <v>0</v>
      </c>
      <c r="M630" s="17">
        <f>IF(B630="",0,COUNTIFS(Changements!$A:$A,A630,Changements!$C:$C,B630))</f>
        <v>0</v>
      </c>
      <c r="N630" s="17">
        <f>IF(B630="",0,SUMIFS(Changements!$B:$B,Changements!$A:$A,A630,Changements!$D:$D,B630))</f>
        <v>0</v>
      </c>
      <c r="O630" s="17">
        <f>IF(B630="",0,SUMIFS(Changements!$B:$B,Changements!$A:$A,A630,Changements!$C:$C,B630)+IF(L630&gt;M630,IFERROR(INDEX(Matchs!$F$4:$F$31,MATCH(A630,Matchs!$A$4:$A$31,0)),0),0))</f>
        <v>0</v>
      </c>
      <c r="P630" s="17">
        <f t="shared" si="48"/>
        <v>0</v>
      </c>
      <c r="Q630" s="17">
        <f t="shared" si="49"/>
        <v>0</v>
      </c>
    </row>
    <row r="631" spans="1:17" ht="15" customHeight="1" x14ac:dyDescent="0.25">
      <c r="A631" s="5">
        <f t="shared" si="45"/>
        <v>27</v>
      </c>
      <c r="B631" s="5" t="str">
        <f>INDEX('Effectif Saison'!$E$4:$E$22,4)</f>
        <v>Noé BIHL</v>
      </c>
      <c r="C631" s="4"/>
      <c r="D631" s="4"/>
      <c r="E631" s="4"/>
      <c r="F631" s="17" t="str">
        <f>IF(B631="","",IF(AND(E631="Oui",COUNTIFS(Changements!$A:$A,A631,Changements!$D:$D,B631)&gt;0),"⚠ Titulaire+entrée ?",IF(ABS(L631-M631)&gt;1,"⚠ vérifier","")))</f>
        <v/>
      </c>
      <c r="G631" s="5" t="str">
        <f>IF(B631="","",IFERROR(INDEX('Effectif Saison'!$D$4:$D$51,MATCH(B631,'Effectif Saison'!$E$4:$E$51,0)),""))</f>
        <v>Équipe 1</v>
      </c>
      <c r="H631" s="17" t="str">
        <f>IF(L631=0,"",IF(E631="Oui",0,IFERROR(_xlfn.MINIFS(Changements!$B:$B,Changements!$A:$A,A631,Changements!$D:$D,B631),"")))</f>
        <v/>
      </c>
      <c r="I631" s="17" t="str">
        <f>IF(M631=0,"",IFERROR(_xlfn.MAXIFS(Changements!$B:$B,Changements!$A:$A,A631,Changements!$C:$C,B631),""))</f>
        <v/>
      </c>
      <c r="J631" s="5" t="str">
        <f t="shared" si="46"/>
        <v/>
      </c>
      <c r="K631" s="17">
        <f t="shared" si="47"/>
        <v>0</v>
      </c>
      <c r="L631" s="17">
        <f>IF(B631="",0,COUNTIFS(Changements!$A:$A,A631,Changements!$D:$D,B631)+IF(E631="Oui",1,0))</f>
        <v>0</v>
      </c>
      <c r="M631" s="17">
        <f>IF(B631="",0,COUNTIFS(Changements!$A:$A,A631,Changements!$C:$C,B631))</f>
        <v>0</v>
      </c>
      <c r="N631" s="17">
        <f>IF(B631="",0,SUMIFS(Changements!$B:$B,Changements!$A:$A,A631,Changements!$D:$D,B631))</f>
        <v>0</v>
      </c>
      <c r="O631" s="17">
        <f>IF(B631="",0,SUMIFS(Changements!$B:$B,Changements!$A:$A,A631,Changements!$C:$C,B631)+IF(L631&gt;M631,IFERROR(INDEX(Matchs!$F$4:$F$31,MATCH(A631,Matchs!$A$4:$A$31,0)),0),0))</f>
        <v>0</v>
      </c>
      <c r="P631" s="17">
        <f t="shared" si="48"/>
        <v>0</v>
      </c>
      <c r="Q631" s="17">
        <f t="shared" si="49"/>
        <v>0</v>
      </c>
    </row>
    <row r="632" spans="1:17" ht="15" customHeight="1" x14ac:dyDescent="0.25">
      <c r="A632" s="5">
        <f t="shared" si="45"/>
        <v>27</v>
      </c>
      <c r="B632" s="5" t="str">
        <f>INDEX('Effectif Saison'!$E$4:$E$22,5)</f>
        <v>Luca COLAIANNI</v>
      </c>
      <c r="C632" s="4"/>
      <c r="D632" s="4"/>
      <c r="E632" s="4"/>
      <c r="F632" s="17" t="str">
        <f>IF(B632="","",IF(AND(E632="Oui",COUNTIFS(Changements!$A:$A,A632,Changements!$D:$D,B632)&gt;0),"⚠ Titulaire+entrée ?",IF(ABS(L632-M632)&gt;1,"⚠ vérifier","")))</f>
        <v/>
      </c>
      <c r="G632" s="5" t="str">
        <f>IF(B632="","",IFERROR(INDEX('Effectif Saison'!$D$4:$D$51,MATCH(B632,'Effectif Saison'!$E$4:$E$51,0)),""))</f>
        <v>Équipe 1</v>
      </c>
      <c r="H632" s="17" t="str">
        <f>IF(L632=0,"",IF(E632="Oui",0,IFERROR(_xlfn.MINIFS(Changements!$B:$B,Changements!$A:$A,A632,Changements!$D:$D,B632),"")))</f>
        <v/>
      </c>
      <c r="I632" s="17" t="str">
        <f>IF(M632=0,"",IFERROR(_xlfn.MAXIFS(Changements!$B:$B,Changements!$A:$A,A632,Changements!$C:$C,B632),""))</f>
        <v/>
      </c>
      <c r="J632" s="5" t="str">
        <f t="shared" si="46"/>
        <v/>
      </c>
      <c r="K632" s="17">
        <f t="shared" si="47"/>
        <v>0</v>
      </c>
      <c r="L632" s="17">
        <f>IF(B632="",0,COUNTIFS(Changements!$A:$A,A632,Changements!$D:$D,B632)+IF(E632="Oui",1,0))</f>
        <v>0</v>
      </c>
      <c r="M632" s="17">
        <f>IF(B632="",0,COUNTIFS(Changements!$A:$A,A632,Changements!$C:$C,B632))</f>
        <v>0</v>
      </c>
      <c r="N632" s="17">
        <f>IF(B632="",0,SUMIFS(Changements!$B:$B,Changements!$A:$A,A632,Changements!$D:$D,B632))</f>
        <v>0</v>
      </c>
      <c r="O632" s="17">
        <f>IF(B632="",0,SUMIFS(Changements!$B:$B,Changements!$A:$A,A632,Changements!$C:$C,B632)+IF(L632&gt;M632,IFERROR(INDEX(Matchs!$F$4:$F$31,MATCH(A632,Matchs!$A$4:$A$31,0)),0),0))</f>
        <v>0</v>
      </c>
      <c r="P632" s="17">
        <f t="shared" si="48"/>
        <v>0</v>
      </c>
      <c r="Q632" s="17">
        <f t="shared" si="49"/>
        <v>0</v>
      </c>
    </row>
    <row r="633" spans="1:17" ht="15" customHeight="1" x14ac:dyDescent="0.25">
      <c r="A633" s="5">
        <f t="shared" si="45"/>
        <v>27</v>
      </c>
      <c r="B633" s="5" t="str">
        <f>INDEX('Effectif Saison'!$E$4:$E$22,6)</f>
        <v>Atilla ER</v>
      </c>
      <c r="C633" s="4"/>
      <c r="D633" s="4"/>
      <c r="E633" s="4"/>
      <c r="F633" s="17" t="str">
        <f>IF(B633="","",IF(AND(E633="Oui",COUNTIFS(Changements!$A:$A,A633,Changements!$D:$D,B633)&gt;0),"⚠ Titulaire+entrée ?",IF(ABS(L633-M633)&gt;1,"⚠ vérifier","")))</f>
        <v/>
      </c>
      <c r="G633" s="5" t="str">
        <f>IF(B633="","",IFERROR(INDEX('Effectif Saison'!$D$4:$D$51,MATCH(B633,'Effectif Saison'!$E$4:$E$51,0)),""))</f>
        <v>Équipe 1</v>
      </c>
      <c r="H633" s="17" t="str">
        <f>IF(L633=0,"",IF(E633="Oui",0,IFERROR(_xlfn.MINIFS(Changements!$B:$B,Changements!$A:$A,A633,Changements!$D:$D,B633),"")))</f>
        <v/>
      </c>
      <c r="I633" s="17" t="str">
        <f>IF(M633=0,"",IFERROR(_xlfn.MAXIFS(Changements!$B:$B,Changements!$A:$A,A633,Changements!$C:$C,B633),""))</f>
        <v/>
      </c>
      <c r="J633" s="5" t="str">
        <f t="shared" si="46"/>
        <v/>
      </c>
      <c r="K633" s="17">
        <f t="shared" si="47"/>
        <v>0</v>
      </c>
      <c r="L633" s="17">
        <f>IF(B633="",0,COUNTIFS(Changements!$A:$A,A633,Changements!$D:$D,B633)+IF(E633="Oui",1,0))</f>
        <v>0</v>
      </c>
      <c r="M633" s="17">
        <f>IF(B633="",0,COUNTIFS(Changements!$A:$A,A633,Changements!$C:$C,B633))</f>
        <v>0</v>
      </c>
      <c r="N633" s="17">
        <f>IF(B633="",0,SUMIFS(Changements!$B:$B,Changements!$A:$A,A633,Changements!$D:$D,B633))</f>
        <v>0</v>
      </c>
      <c r="O633" s="17">
        <f>IF(B633="",0,SUMIFS(Changements!$B:$B,Changements!$A:$A,A633,Changements!$C:$C,B633)+IF(L633&gt;M633,IFERROR(INDEX(Matchs!$F$4:$F$31,MATCH(A633,Matchs!$A$4:$A$31,0)),0),0))</f>
        <v>0</v>
      </c>
      <c r="P633" s="17">
        <f t="shared" si="48"/>
        <v>0</v>
      </c>
      <c r="Q633" s="17">
        <f t="shared" si="49"/>
        <v>0</v>
      </c>
    </row>
    <row r="634" spans="1:17" ht="15" customHeight="1" x14ac:dyDescent="0.25">
      <c r="A634" s="5">
        <f t="shared" si="45"/>
        <v>27</v>
      </c>
      <c r="B634" s="5" t="str">
        <f>INDEX('Effectif Saison'!$E$4:$E$22,7)</f>
        <v>Lucas BUHR</v>
      </c>
      <c r="C634" s="4"/>
      <c r="D634" s="4"/>
      <c r="E634" s="4"/>
      <c r="F634" s="17" t="str">
        <f>IF(B634="","",IF(AND(E634="Oui",COUNTIFS(Changements!$A:$A,A634,Changements!$D:$D,B634)&gt;0),"⚠ Titulaire+entrée ?",IF(ABS(L634-M634)&gt;1,"⚠ vérifier","")))</f>
        <v/>
      </c>
      <c r="G634" s="5" t="str">
        <f>IF(B634="","",IFERROR(INDEX('Effectif Saison'!$D$4:$D$51,MATCH(B634,'Effectif Saison'!$E$4:$E$51,0)),""))</f>
        <v>Équipe 1</v>
      </c>
      <c r="H634" s="17" t="str">
        <f>IF(L634=0,"",IF(E634="Oui",0,IFERROR(_xlfn.MINIFS(Changements!$B:$B,Changements!$A:$A,A634,Changements!$D:$D,B634),"")))</f>
        <v/>
      </c>
      <c r="I634" s="17" t="str">
        <f>IF(M634=0,"",IFERROR(_xlfn.MAXIFS(Changements!$B:$B,Changements!$A:$A,A634,Changements!$C:$C,B634),""))</f>
        <v/>
      </c>
      <c r="J634" s="5" t="str">
        <f t="shared" si="46"/>
        <v/>
      </c>
      <c r="K634" s="17">
        <f t="shared" si="47"/>
        <v>0</v>
      </c>
      <c r="L634" s="17">
        <f>IF(B634="",0,COUNTIFS(Changements!$A:$A,A634,Changements!$D:$D,B634)+IF(E634="Oui",1,0))</f>
        <v>0</v>
      </c>
      <c r="M634" s="17">
        <f>IF(B634="",0,COUNTIFS(Changements!$A:$A,A634,Changements!$C:$C,B634))</f>
        <v>0</v>
      </c>
      <c r="N634" s="17">
        <f>IF(B634="",0,SUMIFS(Changements!$B:$B,Changements!$A:$A,A634,Changements!$D:$D,B634))</f>
        <v>0</v>
      </c>
      <c r="O634" s="17">
        <f>IF(B634="",0,SUMIFS(Changements!$B:$B,Changements!$A:$A,A634,Changements!$C:$C,B634)+IF(L634&gt;M634,IFERROR(INDEX(Matchs!$F$4:$F$31,MATCH(A634,Matchs!$A$4:$A$31,0)),0),0))</f>
        <v>0</v>
      </c>
      <c r="P634" s="17">
        <f t="shared" si="48"/>
        <v>0</v>
      </c>
      <c r="Q634" s="17">
        <f t="shared" si="49"/>
        <v>0</v>
      </c>
    </row>
    <row r="635" spans="1:17" ht="15" customHeight="1" x14ac:dyDescent="0.25">
      <c r="A635" s="5">
        <f t="shared" si="45"/>
        <v>27</v>
      </c>
      <c r="B635" s="5" t="str">
        <f>INDEX('Effectif Saison'!$E$4:$E$22,8)</f>
        <v>Yanis HOUX</v>
      </c>
      <c r="C635" s="4"/>
      <c r="D635" s="4"/>
      <c r="E635" s="4"/>
      <c r="F635" s="17" t="str">
        <f>IF(B635="","",IF(AND(E635="Oui",COUNTIFS(Changements!$A:$A,A635,Changements!$D:$D,B635)&gt;0),"⚠ Titulaire+entrée ?",IF(ABS(L635-M635)&gt;1,"⚠ vérifier","")))</f>
        <v/>
      </c>
      <c r="G635" s="5" t="str">
        <f>IF(B635="","",IFERROR(INDEX('Effectif Saison'!$D$4:$D$51,MATCH(B635,'Effectif Saison'!$E$4:$E$51,0)),""))</f>
        <v>Équipe 1</v>
      </c>
      <c r="H635" s="17" t="str">
        <f>IF(L635=0,"",IF(E635="Oui",0,IFERROR(_xlfn.MINIFS(Changements!$B:$B,Changements!$A:$A,A635,Changements!$D:$D,B635),"")))</f>
        <v/>
      </c>
      <c r="I635" s="17" t="str">
        <f>IF(M635=0,"",IFERROR(_xlfn.MAXIFS(Changements!$B:$B,Changements!$A:$A,A635,Changements!$C:$C,B635),""))</f>
        <v/>
      </c>
      <c r="J635" s="5" t="str">
        <f t="shared" si="46"/>
        <v/>
      </c>
      <c r="K635" s="17">
        <f t="shared" si="47"/>
        <v>0</v>
      </c>
      <c r="L635" s="17">
        <f>IF(B635="",0,COUNTIFS(Changements!$A:$A,A635,Changements!$D:$D,B635)+IF(E635="Oui",1,0))</f>
        <v>0</v>
      </c>
      <c r="M635" s="17">
        <f>IF(B635="",0,COUNTIFS(Changements!$A:$A,A635,Changements!$C:$C,B635))</f>
        <v>0</v>
      </c>
      <c r="N635" s="17">
        <f>IF(B635="",0,SUMIFS(Changements!$B:$B,Changements!$A:$A,A635,Changements!$D:$D,B635))</f>
        <v>0</v>
      </c>
      <c r="O635" s="17">
        <f>IF(B635="",0,SUMIFS(Changements!$B:$B,Changements!$A:$A,A635,Changements!$C:$C,B635)+IF(L635&gt;M635,IFERROR(INDEX(Matchs!$F$4:$F$31,MATCH(A635,Matchs!$A$4:$A$31,0)),0),0))</f>
        <v>0</v>
      </c>
      <c r="P635" s="17">
        <f t="shared" si="48"/>
        <v>0</v>
      </c>
      <c r="Q635" s="17">
        <f t="shared" si="49"/>
        <v>0</v>
      </c>
    </row>
    <row r="636" spans="1:17" ht="15" customHeight="1" x14ac:dyDescent="0.25">
      <c r="A636" s="5">
        <f t="shared" si="45"/>
        <v>27</v>
      </c>
      <c r="B636" s="5" t="str">
        <f>INDEX('Effectif Saison'!$E$4:$E$22,9)</f>
        <v>Tino COLAIANNI</v>
      </c>
      <c r="C636" s="4"/>
      <c r="D636" s="4"/>
      <c r="E636" s="4"/>
      <c r="F636" s="17" t="str">
        <f>IF(B636="","",IF(AND(E636="Oui",COUNTIFS(Changements!$A:$A,A636,Changements!$D:$D,B636)&gt;0),"⚠ Titulaire+entrée ?",IF(ABS(L636-M636)&gt;1,"⚠ vérifier","")))</f>
        <v/>
      </c>
      <c r="G636" s="5" t="str">
        <f>IF(B636="","",IFERROR(INDEX('Effectif Saison'!$D$4:$D$51,MATCH(B636,'Effectif Saison'!$E$4:$E$51,0)),""))</f>
        <v>Équipe 1</v>
      </c>
      <c r="H636" s="17" t="str">
        <f>IF(L636=0,"",IF(E636="Oui",0,IFERROR(_xlfn.MINIFS(Changements!$B:$B,Changements!$A:$A,A636,Changements!$D:$D,B636),"")))</f>
        <v/>
      </c>
      <c r="I636" s="17" t="str">
        <f>IF(M636=0,"",IFERROR(_xlfn.MAXIFS(Changements!$B:$B,Changements!$A:$A,A636,Changements!$C:$C,B636),""))</f>
        <v/>
      </c>
      <c r="J636" s="5" t="str">
        <f t="shared" si="46"/>
        <v/>
      </c>
      <c r="K636" s="17">
        <f t="shared" si="47"/>
        <v>0</v>
      </c>
      <c r="L636" s="17">
        <f>IF(B636="",0,COUNTIFS(Changements!$A:$A,A636,Changements!$D:$D,B636)+IF(E636="Oui",1,0))</f>
        <v>0</v>
      </c>
      <c r="M636" s="17">
        <f>IF(B636="",0,COUNTIFS(Changements!$A:$A,A636,Changements!$C:$C,B636))</f>
        <v>0</v>
      </c>
      <c r="N636" s="17">
        <f>IF(B636="",0,SUMIFS(Changements!$B:$B,Changements!$A:$A,A636,Changements!$D:$D,B636))</f>
        <v>0</v>
      </c>
      <c r="O636" s="17">
        <f>IF(B636="",0,SUMIFS(Changements!$B:$B,Changements!$A:$A,A636,Changements!$C:$C,B636)+IF(L636&gt;M636,IFERROR(INDEX(Matchs!$F$4:$F$31,MATCH(A636,Matchs!$A$4:$A$31,0)),0),0))</f>
        <v>0</v>
      </c>
      <c r="P636" s="17">
        <f t="shared" si="48"/>
        <v>0</v>
      </c>
      <c r="Q636" s="17">
        <f t="shared" si="49"/>
        <v>0</v>
      </c>
    </row>
    <row r="637" spans="1:17" ht="15" customHeight="1" x14ac:dyDescent="0.25">
      <c r="A637" s="5">
        <f t="shared" si="45"/>
        <v>27</v>
      </c>
      <c r="B637" s="5" t="str">
        <f>INDEX('Effectif Saison'!$E$4:$E$22,10)</f>
        <v>Achille KELLERKNECHT</v>
      </c>
      <c r="C637" s="4"/>
      <c r="D637" s="4"/>
      <c r="E637" s="4"/>
      <c r="F637" s="17" t="str">
        <f>IF(B637="","",IF(AND(E637="Oui",COUNTIFS(Changements!$A:$A,A637,Changements!$D:$D,B637)&gt;0),"⚠ Titulaire+entrée ?",IF(ABS(L637-M637)&gt;1,"⚠ vérifier","")))</f>
        <v/>
      </c>
      <c r="G637" s="5" t="str">
        <f>IF(B637="","",IFERROR(INDEX('Effectif Saison'!$D$4:$D$51,MATCH(B637,'Effectif Saison'!$E$4:$E$51,0)),""))</f>
        <v>Équipe 1</v>
      </c>
      <c r="H637" s="17" t="str">
        <f>IF(L637=0,"",IF(E637="Oui",0,IFERROR(_xlfn.MINIFS(Changements!$B:$B,Changements!$A:$A,A637,Changements!$D:$D,B637),"")))</f>
        <v/>
      </c>
      <c r="I637" s="17" t="str">
        <f>IF(M637=0,"",IFERROR(_xlfn.MAXIFS(Changements!$B:$B,Changements!$A:$A,A637,Changements!$C:$C,B637),""))</f>
        <v/>
      </c>
      <c r="J637" s="5" t="str">
        <f t="shared" si="46"/>
        <v/>
      </c>
      <c r="K637" s="17">
        <f t="shared" si="47"/>
        <v>0</v>
      </c>
      <c r="L637" s="17">
        <f>IF(B637="",0,COUNTIFS(Changements!$A:$A,A637,Changements!$D:$D,B637)+IF(E637="Oui",1,0))</f>
        <v>0</v>
      </c>
      <c r="M637" s="17">
        <f>IF(B637="",0,COUNTIFS(Changements!$A:$A,A637,Changements!$C:$C,B637))</f>
        <v>0</v>
      </c>
      <c r="N637" s="17">
        <f>IF(B637="",0,SUMIFS(Changements!$B:$B,Changements!$A:$A,A637,Changements!$D:$D,B637))</f>
        <v>0</v>
      </c>
      <c r="O637" s="17">
        <f>IF(B637="",0,SUMIFS(Changements!$B:$B,Changements!$A:$A,A637,Changements!$C:$C,B637)+IF(L637&gt;M637,IFERROR(INDEX(Matchs!$F$4:$F$31,MATCH(A637,Matchs!$A$4:$A$31,0)),0),0))</f>
        <v>0</v>
      </c>
      <c r="P637" s="17">
        <f t="shared" si="48"/>
        <v>0</v>
      </c>
      <c r="Q637" s="17">
        <f t="shared" si="49"/>
        <v>0</v>
      </c>
    </row>
    <row r="638" spans="1:17" ht="15" customHeight="1" x14ac:dyDescent="0.25">
      <c r="A638" s="5">
        <f t="shared" si="45"/>
        <v>27</v>
      </c>
      <c r="B638" s="5" t="str">
        <f>INDEX('Effectif Saison'!$E$4:$E$22,11)</f>
        <v>Charly LEPERT</v>
      </c>
      <c r="C638" s="4"/>
      <c r="D638" s="4"/>
      <c r="E638" s="4"/>
      <c r="F638" s="17" t="str">
        <f>IF(B638="","",IF(AND(E638="Oui",COUNTIFS(Changements!$A:$A,A638,Changements!$D:$D,B638)&gt;0),"⚠ Titulaire+entrée ?",IF(ABS(L638-M638)&gt;1,"⚠ vérifier","")))</f>
        <v/>
      </c>
      <c r="G638" s="5" t="str">
        <f>IF(B638="","",IFERROR(INDEX('Effectif Saison'!$D$4:$D$51,MATCH(B638,'Effectif Saison'!$E$4:$E$51,0)),""))</f>
        <v>Équipe 1</v>
      </c>
      <c r="H638" s="17" t="str">
        <f>IF(L638=0,"",IF(E638="Oui",0,IFERROR(_xlfn.MINIFS(Changements!$B:$B,Changements!$A:$A,A638,Changements!$D:$D,B638),"")))</f>
        <v/>
      </c>
      <c r="I638" s="17" t="str">
        <f>IF(M638=0,"",IFERROR(_xlfn.MAXIFS(Changements!$B:$B,Changements!$A:$A,A638,Changements!$C:$C,B638),""))</f>
        <v/>
      </c>
      <c r="J638" s="5" t="str">
        <f t="shared" si="46"/>
        <v/>
      </c>
      <c r="K638" s="17">
        <f t="shared" si="47"/>
        <v>0</v>
      </c>
      <c r="L638" s="17">
        <f>IF(B638="",0,COUNTIFS(Changements!$A:$A,A638,Changements!$D:$D,B638)+IF(E638="Oui",1,0))</f>
        <v>0</v>
      </c>
      <c r="M638" s="17">
        <f>IF(B638="",0,COUNTIFS(Changements!$A:$A,A638,Changements!$C:$C,B638))</f>
        <v>0</v>
      </c>
      <c r="N638" s="17">
        <f>IF(B638="",0,SUMIFS(Changements!$B:$B,Changements!$A:$A,A638,Changements!$D:$D,B638))</f>
        <v>0</v>
      </c>
      <c r="O638" s="17">
        <f>IF(B638="",0,SUMIFS(Changements!$B:$B,Changements!$A:$A,A638,Changements!$C:$C,B638)+IF(L638&gt;M638,IFERROR(INDEX(Matchs!$F$4:$F$31,MATCH(A638,Matchs!$A$4:$A$31,0)),0),0))</f>
        <v>0</v>
      </c>
      <c r="P638" s="17">
        <f t="shared" si="48"/>
        <v>0</v>
      </c>
      <c r="Q638" s="17">
        <f t="shared" si="49"/>
        <v>0</v>
      </c>
    </row>
    <row r="639" spans="1:17" ht="15" customHeight="1" x14ac:dyDescent="0.25">
      <c r="A639" s="5">
        <f t="shared" si="45"/>
        <v>27</v>
      </c>
      <c r="B639" s="5" t="str">
        <f>INDEX('Effectif Saison'!$E$4:$E$22,12)</f>
        <v>Basile STANGRET</v>
      </c>
      <c r="C639" s="4"/>
      <c r="D639" s="4"/>
      <c r="E639" s="4"/>
      <c r="F639" s="17" t="str">
        <f>IF(B639="","",IF(AND(E639="Oui",COUNTIFS(Changements!$A:$A,A639,Changements!$D:$D,B639)&gt;0),"⚠ Titulaire+entrée ?",IF(ABS(L639-M639)&gt;1,"⚠ vérifier","")))</f>
        <v/>
      </c>
      <c r="G639" s="5" t="str">
        <f>IF(B639="","",IFERROR(INDEX('Effectif Saison'!$D$4:$D$51,MATCH(B639,'Effectif Saison'!$E$4:$E$51,0)),""))</f>
        <v>Équipe 1</v>
      </c>
      <c r="H639" s="17" t="str">
        <f>IF(L639=0,"",IF(E639="Oui",0,IFERROR(_xlfn.MINIFS(Changements!$B:$B,Changements!$A:$A,A639,Changements!$D:$D,B639),"")))</f>
        <v/>
      </c>
      <c r="I639" s="17" t="str">
        <f>IF(M639=0,"",IFERROR(_xlfn.MAXIFS(Changements!$B:$B,Changements!$A:$A,A639,Changements!$C:$C,B639),""))</f>
        <v/>
      </c>
      <c r="J639" s="5" t="str">
        <f t="shared" si="46"/>
        <v/>
      </c>
      <c r="K639" s="17">
        <f t="shared" si="47"/>
        <v>0</v>
      </c>
      <c r="L639" s="17">
        <f>IF(B639="",0,COUNTIFS(Changements!$A:$A,A639,Changements!$D:$D,B639)+IF(E639="Oui",1,0))</f>
        <v>0</v>
      </c>
      <c r="M639" s="17">
        <f>IF(B639="",0,COUNTIFS(Changements!$A:$A,A639,Changements!$C:$C,B639))</f>
        <v>0</v>
      </c>
      <c r="N639" s="17">
        <f>IF(B639="",0,SUMIFS(Changements!$B:$B,Changements!$A:$A,A639,Changements!$D:$D,B639))</f>
        <v>0</v>
      </c>
      <c r="O639" s="17">
        <f>IF(B639="",0,SUMIFS(Changements!$B:$B,Changements!$A:$A,A639,Changements!$C:$C,B639)+IF(L639&gt;M639,IFERROR(INDEX(Matchs!$F$4:$F$31,MATCH(A639,Matchs!$A$4:$A$31,0)),0),0))</f>
        <v>0</v>
      </c>
      <c r="P639" s="17">
        <f t="shared" si="48"/>
        <v>0</v>
      </c>
      <c r="Q639" s="17">
        <f t="shared" si="49"/>
        <v>0</v>
      </c>
    </row>
    <row r="640" spans="1:17" ht="15" customHeight="1" x14ac:dyDescent="0.25">
      <c r="A640" s="5">
        <f t="shared" si="45"/>
        <v>27</v>
      </c>
      <c r="B640" s="5" t="str">
        <f>INDEX('Effectif Saison'!$E$4:$E$22,13)</f>
        <v>Maxence KELLER</v>
      </c>
      <c r="C640" s="4"/>
      <c r="D640" s="4"/>
      <c r="E640" s="4"/>
      <c r="F640" s="17" t="str">
        <f>IF(B640="","",IF(AND(E640="Oui",COUNTIFS(Changements!$A:$A,A640,Changements!$D:$D,B640)&gt;0),"⚠ Titulaire+entrée ?",IF(ABS(L640-M640)&gt;1,"⚠ vérifier","")))</f>
        <v/>
      </c>
      <c r="G640" s="5" t="str">
        <f>IF(B640="","",IFERROR(INDEX('Effectif Saison'!$D$4:$D$51,MATCH(B640,'Effectif Saison'!$E$4:$E$51,0)),""))</f>
        <v>Équipe 1</v>
      </c>
      <c r="H640" s="17" t="str">
        <f>IF(L640=0,"",IF(E640="Oui",0,IFERROR(_xlfn.MINIFS(Changements!$B:$B,Changements!$A:$A,A640,Changements!$D:$D,B640),"")))</f>
        <v/>
      </c>
      <c r="I640" s="17" t="str">
        <f>IF(M640=0,"",IFERROR(_xlfn.MAXIFS(Changements!$B:$B,Changements!$A:$A,A640,Changements!$C:$C,B640),""))</f>
        <v/>
      </c>
      <c r="J640" s="5" t="str">
        <f t="shared" si="46"/>
        <v/>
      </c>
      <c r="K640" s="17">
        <f t="shared" si="47"/>
        <v>0</v>
      </c>
      <c r="L640" s="17">
        <f>IF(B640="",0,COUNTIFS(Changements!$A:$A,A640,Changements!$D:$D,B640)+IF(E640="Oui",1,0))</f>
        <v>0</v>
      </c>
      <c r="M640" s="17">
        <f>IF(B640="",0,COUNTIFS(Changements!$A:$A,A640,Changements!$C:$C,B640))</f>
        <v>0</v>
      </c>
      <c r="N640" s="17">
        <f>IF(B640="",0,SUMIFS(Changements!$B:$B,Changements!$A:$A,A640,Changements!$D:$D,B640))</f>
        <v>0</v>
      </c>
      <c r="O640" s="17">
        <f>IF(B640="",0,SUMIFS(Changements!$B:$B,Changements!$A:$A,A640,Changements!$C:$C,B640)+IF(L640&gt;M640,IFERROR(INDEX(Matchs!$F$4:$F$31,MATCH(A640,Matchs!$A$4:$A$31,0)),0),0))</f>
        <v>0</v>
      </c>
      <c r="P640" s="17">
        <f t="shared" si="48"/>
        <v>0</v>
      </c>
      <c r="Q640" s="17">
        <f t="shared" si="49"/>
        <v>0</v>
      </c>
    </row>
    <row r="641" spans="1:17" ht="15" customHeight="1" x14ac:dyDescent="0.25">
      <c r="A641" s="5">
        <f t="shared" si="45"/>
        <v>27</v>
      </c>
      <c r="B641" s="5" t="str">
        <f>INDEX('Effectif Saison'!$E$4:$E$22,14)</f>
        <v>Evan SCHMITT</v>
      </c>
      <c r="C641" s="4"/>
      <c r="D641" s="4"/>
      <c r="E641" s="4"/>
      <c r="F641" s="17" t="str">
        <f>IF(B641="","",IF(AND(E641="Oui",COUNTIFS(Changements!$A:$A,A641,Changements!$D:$D,B641)&gt;0),"⚠ Titulaire+entrée ?",IF(ABS(L641-M641)&gt;1,"⚠ vérifier","")))</f>
        <v/>
      </c>
      <c r="G641" s="5" t="str">
        <f>IF(B641="","",IFERROR(INDEX('Effectif Saison'!$D$4:$D$51,MATCH(B641,'Effectif Saison'!$E$4:$E$51,0)),""))</f>
        <v>Équipe 1</v>
      </c>
      <c r="H641" s="17" t="str">
        <f>IF(L641=0,"",IF(E641="Oui",0,IFERROR(_xlfn.MINIFS(Changements!$B:$B,Changements!$A:$A,A641,Changements!$D:$D,B641),"")))</f>
        <v/>
      </c>
      <c r="I641" s="17" t="str">
        <f>IF(M641=0,"",IFERROR(_xlfn.MAXIFS(Changements!$B:$B,Changements!$A:$A,A641,Changements!$C:$C,B641),""))</f>
        <v/>
      </c>
      <c r="J641" s="5" t="str">
        <f t="shared" si="46"/>
        <v/>
      </c>
      <c r="K641" s="17">
        <f t="shared" si="47"/>
        <v>0</v>
      </c>
      <c r="L641" s="17">
        <f>IF(B641="",0,COUNTIFS(Changements!$A:$A,A641,Changements!$D:$D,B641)+IF(E641="Oui",1,0))</f>
        <v>0</v>
      </c>
      <c r="M641" s="17">
        <f>IF(B641="",0,COUNTIFS(Changements!$A:$A,A641,Changements!$C:$C,B641))</f>
        <v>0</v>
      </c>
      <c r="N641" s="17">
        <f>IF(B641="",0,SUMIFS(Changements!$B:$B,Changements!$A:$A,A641,Changements!$D:$D,B641))</f>
        <v>0</v>
      </c>
      <c r="O641" s="17">
        <f>IF(B641="",0,SUMIFS(Changements!$B:$B,Changements!$A:$A,A641,Changements!$C:$C,B641)+IF(L641&gt;M641,IFERROR(INDEX(Matchs!$F$4:$F$31,MATCH(A641,Matchs!$A$4:$A$31,0)),0),0))</f>
        <v>0</v>
      </c>
      <c r="P641" s="17">
        <f t="shared" si="48"/>
        <v>0</v>
      </c>
      <c r="Q641" s="17">
        <f t="shared" si="49"/>
        <v>0</v>
      </c>
    </row>
    <row r="642" spans="1:17" ht="15" customHeight="1" x14ac:dyDescent="0.25">
      <c r="A642" s="5">
        <f t="shared" si="45"/>
        <v>27</v>
      </c>
      <c r="B642" s="5" t="str">
        <f>INDEX('Effectif Saison'!$E$4:$E$22,15)</f>
        <v>William SIMON</v>
      </c>
      <c r="C642" s="4"/>
      <c r="D642" s="4"/>
      <c r="E642" s="4"/>
      <c r="F642" s="17" t="str">
        <f>IF(B642="","",IF(AND(E642="Oui",COUNTIFS(Changements!$A:$A,A642,Changements!$D:$D,B642)&gt;0),"⚠ Titulaire+entrée ?",IF(ABS(L642-M642)&gt;1,"⚠ vérifier","")))</f>
        <v/>
      </c>
      <c r="G642" s="5" t="str">
        <f>IF(B642="","",IFERROR(INDEX('Effectif Saison'!$D$4:$D$51,MATCH(B642,'Effectif Saison'!$E$4:$E$51,0)),""))</f>
        <v>Équipe 1</v>
      </c>
      <c r="H642" s="17" t="str">
        <f>IF(L642=0,"",IF(E642="Oui",0,IFERROR(_xlfn.MINIFS(Changements!$B:$B,Changements!$A:$A,A642,Changements!$D:$D,B642),"")))</f>
        <v/>
      </c>
      <c r="I642" s="17" t="str">
        <f>IF(M642=0,"",IFERROR(_xlfn.MAXIFS(Changements!$B:$B,Changements!$A:$A,A642,Changements!$C:$C,B642),""))</f>
        <v/>
      </c>
      <c r="J642" s="5" t="str">
        <f t="shared" si="46"/>
        <v/>
      </c>
      <c r="K642" s="17">
        <f t="shared" si="47"/>
        <v>0</v>
      </c>
      <c r="L642" s="17">
        <f>IF(B642="",0,COUNTIFS(Changements!$A:$A,A642,Changements!$D:$D,B642)+IF(E642="Oui",1,0))</f>
        <v>0</v>
      </c>
      <c r="M642" s="17">
        <f>IF(B642="",0,COUNTIFS(Changements!$A:$A,A642,Changements!$C:$C,B642))</f>
        <v>0</v>
      </c>
      <c r="N642" s="17">
        <f>IF(B642="",0,SUMIFS(Changements!$B:$B,Changements!$A:$A,A642,Changements!$D:$D,B642))</f>
        <v>0</v>
      </c>
      <c r="O642" s="17">
        <f>IF(B642="",0,SUMIFS(Changements!$B:$B,Changements!$A:$A,A642,Changements!$C:$C,B642)+IF(L642&gt;M642,IFERROR(INDEX(Matchs!$F$4:$F$31,MATCH(A642,Matchs!$A$4:$A$31,0)),0),0))</f>
        <v>0</v>
      </c>
      <c r="P642" s="17">
        <f t="shared" si="48"/>
        <v>0</v>
      </c>
      <c r="Q642" s="17">
        <f t="shared" si="49"/>
        <v>0</v>
      </c>
    </row>
    <row r="643" spans="1:17" ht="15" customHeight="1" x14ac:dyDescent="0.25">
      <c r="A643" s="5">
        <f t="shared" si="45"/>
        <v>27</v>
      </c>
      <c r="B643" s="5" t="str">
        <f>INDEX('Effectif Saison'!$E$4:$E$22,16)</f>
        <v>Lenny LEPPER</v>
      </c>
      <c r="C643" s="4"/>
      <c r="D643" s="4"/>
      <c r="E643" s="4"/>
      <c r="F643" s="17" t="str">
        <f>IF(B643="","",IF(AND(E643="Oui",COUNTIFS(Changements!$A:$A,A643,Changements!$D:$D,B643)&gt;0),"⚠ Titulaire+entrée ?",IF(ABS(L643-M643)&gt;1,"⚠ vérifier","")))</f>
        <v/>
      </c>
      <c r="G643" s="5" t="str">
        <f>IF(B643="","",IFERROR(INDEX('Effectif Saison'!$D$4:$D$51,MATCH(B643,'Effectif Saison'!$E$4:$E$51,0)),""))</f>
        <v>Équipe 1</v>
      </c>
      <c r="H643" s="17" t="str">
        <f>IF(L643=0,"",IF(E643="Oui",0,IFERROR(_xlfn.MINIFS(Changements!$B:$B,Changements!$A:$A,A643,Changements!$D:$D,B643),"")))</f>
        <v/>
      </c>
      <c r="I643" s="17" t="str">
        <f>IF(M643=0,"",IFERROR(_xlfn.MAXIFS(Changements!$B:$B,Changements!$A:$A,A643,Changements!$C:$C,B643),""))</f>
        <v/>
      </c>
      <c r="J643" s="5" t="str">
        <f t="shared" si="46"/>
        <v/>
      </c>
      <c r="K643" s="17">
        <f t="shared" si="47"/>
        <v>0</v>
      </c>
      <c r="L643" s="17">
        <f>IF(B643="",0,COUNTIFS(Changements!$A:$A,A643,Changements!$D:$D,B643)+IF(E643="Oui",1,0))</f>
        <v>0</v>
      </c>
      <c r="M643" s="17">
        <f>IF(B643="",0,COUNTIFS(Changements!$A:$A,A643,Changements!$C:$C,B643))</f>
        <v>0</v>
      </c>
      <c r="N643" s="17">
        <f>IF(B643="",0,SUMIFS(Changements!$B:$B,Changements!$A:$A,A643,Changements!$D:$D,B643))</f>
        <v>0</v>
      </c>
      <c r="O643" s="17">
        <f>IF(B643="",0,SUMIFS(Changements!$B:$B,Changements!$A:$A,A643,Changements!$C:$C,B643)+IF(L643&gt;M643,IFERROR(INDEX(Matchs!$F$4:$F$31,MATCH(A643,Matchs!$A$4:$A$31,0)),0),0))</f>
        <v>0</v>
      </c>
      <c r="P643" s="17">
        <f t="shared" si="48"/>
        <v>0</v>
      </c>
      <c r="Q643" s="17">
        <f t="shared" si="49"/>
        <v>0</v>
      </c>
    </row>
    <row r="644" spans="1:17" ht="15" customHeight="1" x14ac:dyDescent="0.25">
      <c r="A644" s="5">
        <f t="shared" ref="A644:A675" si="50">INT((ROW()-4)/24)+1</f>
        <v>27</v>
      </c>
      <c r="B644" s="5" t="str">
        <f>INDEX('Effectif Saison'!$E$4:$E$22,17)</f>
        <v>Malo KELLER</v>
      </c>
      <c r="C644" s="4"/>
      <c r="D644" s="4"/>
      <c r="E644" s="4"/>
      <c r="F644" s="17" t="str">
        <f>IF(B644="","",IF(AND(E644="Oui",COUNTIFS(Changements!$A:$A,A644,Changements!$D:$D,B644)&gt;0),"⚠ Titulaire+entrée ?",IF(ABS(L644-M644)&gt;1,"⚠ vérifier","")))</f>
        <v/>
      </c>
      <c r="G644" s="5" t="str">
        <f>IF(B644="","",IFERROR(INDEX('Effectif Saison'!$D$4:$D$51,MATCH(B644,'Effectif Saison'!$E$4:$E$51,0)),""))</f>
        <v>Équipe 1</v>
      </c>
      <c r="H644" s="17" t="str">
        <f>IF(L644=0,"",IF(E644="Oui",0,IFERROR(_xlfn.MINIFS(Changements!$B:$B,Changements!$A:$A,A644,Changements!$D:$D,B644),"")))</f>
        <v/>
      </c>
      <c r="I644" s="17" t="str">
        <f>IF(M644=0,"",IFERROR(_xlfn.MAXIFS(Changements!$B:$B,Changements!$A:$A,A644,Changements!$C:$C,B644),""))</f>
        <v/>
      </c>
      <c r="J644" s="5" t="str">
        <f t="shared" ref="J644:J675" si="51">IF(OR(B644="",C644&lt;&gt;"Oui"),"",O644-N644)</f>
        <v/>
      </c>
      <c r="K644" s="17">
        <f t="shared" ref="K644:K675" si="52">IF(AND(B644&lt;&gt;"",ISNUMBER(J644)),1,0)</f>
        <v>0</v>
      </c>
      <c r="L644" s="17">
        <f>IF(B644="",0,COUNTIFS(Changements!$A:$A,A644,Changements!$D:$D,B644)+IF(E644="Oui",1,0))</f>
        <v>0</v>
      </c>
      <c r="M644" s="17">
        <f>IF(B644="",0,COUNTIFS(Changements!$A:$A,A644,Changements!$C:$C,B644))</f>
        <v>0</v>
      </c>
      <c r="N644" s="17">
        <f>IF(B644="",0,SUMIFS(Changements!$B:$B,Changements!$A:$A,A644,Changements!$D:$D,B644))</f>
        <v>0</v>
      </c>
      <c r="O644" s="17">
        <f>IF(B644="",0,SUMIFS(Changements!$B:$B,Changements!$A:$A,A644,Changements!$C:$C,B644)+IF(L644&gt;M644,IFERROR(INDEX(Matchs!$F$4:$F$31,MATCH(A644,Matchs!$A$4:$A$31,0)),0),0))</f>
        <v>0</v>
      </c>
      <c r="P644" s="17">
        <f t="shared" ref="P644:P675" si="53">IF(AND(B644&lt;&gt;"",C644="Oui"),1,0)</f>
        <v>0</v>
      </c>
      <c r="Q644" s="17">
        <f t="shared" ref="Q644:Q675" si="54">IF(AND(B644&lt;&gt;"",E644="Oui"),1,0)</f>
        <v>0</v>
      </c>
    </row>
    <row r="645" spans="1:17" ht="15" customHeight="1" x14ac:dyDescent="0.25">
      <c r="A645" s="5">
        <f t="shared" si="50"/>
        <v>27</v>
      </c>
      <c r="B645" s="5" t="str">
        <f>INDEX('Effectif Saison'!$E$4:$E$22,18)</f>
        <v>Tom SCHILLER</v>
      </c>
      <c r="C645" s="4"/>
      <c r="D645" s="4"/>
      <c r="E645" s="4"/>
      <c r="F645" s="17" t="str">
        <f>IF(B645="","",IF(AND(E645="Oui",COUNTIFS(Changements!$A:$A,A645,Changements!$D:$D,B645)&gt;0),"⚠ Titulaire+entrée ?",IF(ABS(L645-M645)&gt;1,"⚠ vérifier","")))</f>
        <v/>
      </c>
      <c r="G645" s="5" t="str">
        <f>IF(B645="","",IFERROR(INDEX('Effectif Saison'!$D$4:$D$51,MATCH(B645,'Effectif Saison'!$E$4:$E$51,0)),""))</f>
        <v>Équipe 1</v>
      </c>
      <c r="H645" s="17" t="str">
        <f>IF(L645=0,"",IF(E645="Oui",0,IFERROR(_xlfn.MINIFS(Changements!$B:$B,Changements!$A:$A,A645,Changements!$D:$D,B645),"")))</f>
        <v/>
      </c>
      <c r="I645" s="17" t="str">
        <f>IF(M645=0,"",IFERROR(_xlfn.MAXIFS(Changements!$B:$B,Changements!$A:$A,A645,Changements!$C:$C,B645),""))</f>
        <v/>
      </c>
      <c r="J645" s="5" t="str">
        <f t="shared" si="51"/>
        <v/>
      </c>
      <c r="K645" s="17">
        <f t="shared" si="52"/>
        <v>0</v>
      </c>
      <c r="L645" s="17">
        <f>IF(B645="",0,COUNTIFS(Changements!$A:$A,A645,Changements!$D:$D,B645)+IF(E645="Oui",1,0))</f>
        <v>0</v>
      </c>
      <c r="M645" s="17">
        <f>IF(B645="",0,COUNTIFS(Changements!$A:$A,A645,Changements!$C:$C,B645))</f>
        <v>0</v>
      </c>
      <c r="N645" s="17">
        <f>IF(B645="",0,SUMIFS(Changements!$B:$B,Changements!$A:$A,A645,Changements!$D:$D,B645))</f>
        <v>0</v>
      </c>
      <c r="O645" s="17">
        <f>IF(B645="",0,SUMIFS(Changements!$B:$B,Changements!$A:$A,A645,Changements!$C:$C,B645)+IF(L645&gt;M645,IFERROR(INDEX(Matchs!$F$4:$F$31,MATCH(A645,Matchs!$A$4:$A$31,0)),0),0))</f>
        <v>0</v>
      </c>
      <c r="P645" s="17">
        <f t="shared" si="53"/>
        <v>0</v>
      </c>
      <c r="Q645" s="17">
        <f t="shared" si="54"/>
        <v>0</v>
      </c>
    </row>
    <row r="646" spans="1:17" ht="15" customHeight="1" x14ac:dyDescent="0.25">
      <c r="A646" s="5">
        <f t="shared" si="50"/>
        <v>27</v>
      </c>
      <c r="B646" s="5" t="str">
        <f>INDEX('Effectif Saison'!$E$4:$E$22,19)</f>
        <v>Eliot LEIBY</v>
      </c>
      <c r="C646" s="4"/>
      <c r="D646" s="4"/>
      <c r="E646" s="4"/>
      <c r="F646" s="17" t="str">
        <f>IF(B646="","",IF(AND(E646="Oui",COUNTIFS(Changements!$A:$A,A646,Changements!$D:$D,B646)&gt;0),"⚠ Titulaire+entrée ?",IF(ABS(L646-M646)&gt;1,"⚠ vérifier","")))</f>
        <v/>
      </c>
      <c r="G646" s="5" t="str">
        <f>IF(B646="","",IFERROR(INDEX('Effectif Saison'!$D$4:$D$51,MATCH(B646,'Effectif Saison'!$E$4:$E$51,0)),""))</f>
        <v>Équipe 1</v>
      </c>
      <c r="H646" s="17" t="str">
        <f>IF(L646=0,"",IF(E646="Oui",0,IFERROR(_xlfn.MINIFS(Changements!$B:$B,Changements!$A:$A,A646,Changements!$D:$D,B646),"")))</f>
        <v/>
      </c>
      <c r="I646" s="17" t="str">
        <f>IF(M646=0,"",IFERROR(_xlfn.MAXIFS(Changements!$B:$B,Changements!$A:$A,A646,Changements!$C:$C,B646),""))</f>
        <v/>
      </c>
      <c r="J646" s="5" t="str">
        <f t="shared" si="51"/>
        <v/>
      </c>
      <c r="K646" s="17">
        <f t="shared" si="52"/>
        <v>0</v>
      </c>
      <c r="L646" s="17">
        <f>IF(B646="",0,COUNTIFS(Changements!$A:$A,A646,Changements!$D:$D,B646)+IF(E646="Oui",1,0))</f>
        <v>0</v>
      </c>
      <c r="M646" s="17">
        <f>IF(B646="",0,COUNTIFS(Changements!$A:$A,A646,Changements!$C:$C,B646))</f>
        <v>0</v>
      </c>
      <c r="N646" s="17">
        <f>IF(B646="",0,SUMIFS(Changements!$B:$B,Changements!$A:$A,A646,Changements!$D:$D,B646))</f>
        <v>0</v>
      </c>
      <c r="O646" s="17">
        <f>IF(B646="",0,SUMIFS(Changements!$B:$B,Changements!$A:$A,A646,Changements!$C:$C,B646)+IF(L646&gt;M646,IFERROR(INDEX(Matchs!$F$4:$F$31,MATCH(A646,Matchs!$A$4:$A$31,0)),0),0))</f>
        <v>0</v>
      </c>
      <c r="P646" s="17">
        <f t="shared" si="53"/>
        <v>0</v>
      </c>
      <c r="Q646" s="17">
        <f t="shared" si="54"/>
        <v>0</v>
      </c>
    </row>
    <row r="647" spans="1:17" ht="15" customHeight="1" x14ac:dyDescent="0.25">
      <c r="A647" s="5">
        <f t="shared" si="50"/>
        <v>27</v>
      </c>
      <c r="B647" s="4"/>
      <c r="C647" s="4"/>
      <c r="D647" s="4"/>
      <c r="E647" s="4"/>
      <c r="F647" s="17" t="str">
        <f>IF(B647="","",IF(AND(E647="Oui",COUNTIFS(Changements!$A:$A,A647,Changements!$D:$D,B647)&gt;0),"⚠ Titulaire+entrée ?",IF(ABS(L647-M647)&gt;1,"⚠ vérifier","")))</f>
        <v/>
      </c>
      <c r="G647" s="5" t="str">
        <f>IF(B647="","",IFERROR(INDEX('Effectif Saison'!$D$4:$D$51,MATCH(B647,'Effectif Saison'!$E$4:$E$51,0)),""))</f>
        <v/>
      </c>
      <c r="H647" s="17" t="str">
        <f>IF(L647=0,"",IF(E647="Oui",0,IFERROR(_xlfn.MINIFS(Changements!$B:$B,Changements!$A:$A,A647,Changements!$D:$D,B647),"")))</f>
        <v/>
      </c>
      <c r="I647" s="17" t="str">
        <f>IF(M647=0,"",IFERROR(_xlfn.MAXIFS(Changements!$B:$B,Changements!$A:$A,A647,Changements!$C:$C,B647),""))</f>
        <v/>
      </c>
      <c r="J647" s="5" t="str">
        <f t="shared" si="51"/>
        <v/>
      </c>
      <c r="K647" s="17">
        <f t="shared" si="52"/>
        <v>0</v>
      </c>
      <c r="L647" s="17">
        <f>IF(B647="",0,COUNTIFS(Changements!$A:$A,A647,Changements!$D:$D,B647)+IF(E647="Oui",1,0))</f>
        <v>0</v>
      </c>
      <c r="M647" s="17">
        <f>IF(B647="",0,COUNTIFS(Changements!$A:$A,A647,Changements!$C:$C,B647))</f>
        <v>0</v>
      </c>
      <c r="N647" s="17">
        <f>IF(B647="",0,SUMIFS(Changements!$B:$B,Changements!$A:$A,A647,Changements!$D:$D,B647))</f>
        <v>0</v>
      </c>
      <c r="O647" s="17">
        <f>IF(B647="",0,SUMIFS(Changements!$B:$B,Changements!$A:$A,A647,Changements!$C:$C,B647)+IF(L647&gt;M647,IFERROR(INDEX(Matchs!$F$4:$F$31,MATCH(A647,Matchs!$A$4:$A$31,0)),0),0))</f>
        <v>0</v>
      </c>
      <c r="P647" s="17">
        <f t="shared" si="53"/>
        <v>0</v>
      </c>
      <c r="Q647" s="17">
        <f t="shared" si="54"/>
        <v>0</v>
      </c>
    </row>
    <row r="648" spans="1:17" ht="15" customHeight="1" x14ac:dyDescent="0.25">
      <c r="A648" s="5">
        <f t="shared" si="50"/>
        <v>27</v>
      </c>
      <c r="B648" s="4"/>
      <c r="C648" s="4"/>
      <c r="D648" s="4"/>
      <c r="E648" s="4"/>
      <c r="F648" s="17" t="str">
        <f>IF(B648="","",IF(AND(E648="Oui",COUNTIFS(Changements!$A:$A,A648,Changements!$D:$D,B648)&gt;0),"⚠ Titulaire+entrée ?",IF(ABS(L648-M648)&gt;1,"⚠ vérifier","")))</f>
        <v/>
      </c>
      <c r="G648" s="5" t="str">
        <f>IF(B648="","",IFERROR(INDEX('Effectif Saison'!$D$4:$D$51,MATCH(B648,'Effectif Saison'!$E$4:$E$51,0)),""))</f>
        <v/>
      </c>
      <c r="H648" s="17" t="str">
        <f>IF(L648=0,"",IF(E648="Oui",0,IFERROR(_xlfn.MINIFS(Changements!$B:$B,Changements!$A:$A,A648,Changements!$D:$D,B648),"")))</f>
        <v/>
      </c>
      <c r="I648" s="17" t="str">
        <f>IF(M648=0,"",IFERROR(_xlfn.MAXIFS(Changements!$B:$B,Changements!$A:$A,A648,Changements!$C:$C,B648),""))</f>
        <v/>
      </c>
      <c r="J648" s="5" t="str">
        <f t="shared" si="51"/>
        <v/>
      </c>
      <c r="K648" s="17">
        <f t="shared" si="52"/>
        <v>0</v>
      </c>
      <c r="L648" s="17">
        <f>IF(B648="",0,COUNTIFS(Changements!$A:$A,A648,Changements!$D:$D,B648)+IF(E648="Oui",1,0))</f>
        <v>0</v>
      </c>
      <c r="M648" s="17">
        <f>IF(B648="",0,COUNTIFS(Changements!$A:$A,A648,Changements!$C:$C,B648))</f>
        <v>0</v>
      </c>
      <c r="N648" s="17">
        <f>IF(B648="",0,SUMIFS(Changements!$B:$B,Changements!$A:$A,A648,Changements!$D:$D,B648))</f>
        <v>0</v>
      </c>
      <c r="O648" s="17">
        <f>IF(B648="",0,SUMIFS(Changements!$B:$B,Changements!$A:$A,A648,Changements!$C:$C,B648)+IF(L648&gt;M648,IFERROR(INDEX(Matchs!$F$4:$F$31,MATCH(A648,Matchs!$A$4:$A$31,0)),0),0))</f>
        <v>0</v>
      </c>
      <c r="P648" s="17">
        <f t="shared" si="53"/>
        <v>0</v>
      </c>
      <c r="Q648" s="17">
        <f t="shared" si="54"/>
        <v>0</v>
      </c>
    </row>
    <row r="649" spans="1:17" ht="15" customHeight="1" x14ac:dyDescent="0.25">
      <c r="A649" s="5">
        <f t="shared" si="50"/>
        <v>27</v>
      </c>
      <c r="B649" s="4"/>
      <c r="C649" s="4"/>
      <c r="D649" s="4"/>
      <c r="E649" s="4"/>
      <c r="F649" s="17" t="str">
        <f>IF(B649="","",IF(AND(E649="Oui",COUNTIFS(Changements!$A:$A,A649,Changements!$D:$D,B649)&gt;0),"⚠ Titulaire+entrée ?",IF(ABS(L649-M649)&gt;1,"⚠ vérifier","")))</f>
        <v/>
      </c>
      <c r="G649" s="5" t="str">
        <f>IF(B649="","",IFERROR(INDEX('Effectif Saison'!$D$4:$D$51,MATCH(B649,'Effectif Saison'!$E$4:$E$51,0)),""))</f>
        <v/>
      </c>
      <c r="H649" s="17" t="str">
        <f>IF(L649=0,"",IF(E649="Oui",0,IFERROR(_xlfn.MINIFS(Changements!$B:$B,Changements!$A:$A,A649,Changements!$D:$D,B649),"")))</f>
        <v/>
      </c>
      <c r="I649" s="17" t="str">
        <f>IF(M649=0,"",IFERROR(_xlfn.MAXIFS(Changements!$B:$B,Changements!$A:$A,A649,Changements!$C:$C,B649),""))</f>
        <v/>
      </c>
      <c r="J649" s="5" t="str">
        <f t="shared" si="51"/>
        <v/>
      </c>
      <c r="K649" s="17">
        <f t="shared" si="52"/>
        <v>0</v>
      </c>
      <c r="L649" s="17">
        <f>IF(B649="",0,COUNTIFS(Changements!$A:$A,A649,Changements!$D:$D,B649)+IF(E649="Oui",1,0))</f>
        <v>0</v>
      </c>
      <c r="M649" s="17">
        <f>IF(B649="",0,COUNTIFS(Changements!$A:$A,A649,Changements!$C:$C,B649))</f>
        <v>0</v>
      </c>
      <c r="N649" s="17">
        <f>IF(B649="",0,SUMIFS(Changements!$B:$B,Changements!$A:$A,A649,Changements!$D:$D,B649))</f>
        <v>0</v>
      </c>
      <c r="O649" s="17">
        <f>IF(B649="",0,SUMIFS(Changements!$B:$B,Changements!$A:$A,A649,Changements!$C:$C,B649)+IF(L649&gt;M649,IFERROR(INDEX(Matchs!$F$4:$F$31,MATCH(A649,Matchs!$A$4:$A$31,0)),0),0))</f>
        <v>0</v>
      </c>
      <c r="P649" s="17">
        <f t="shared" si="53"/>
        <v>0</v>
      </c>
      <c r="Q649" s="17">
        <f t="shared" si="54"/>
        <v>0</v>
      </c>
    </row>
    <row r="650" spans="1:17" ht="15" customHeight="1" x14ac:dyDescent="0.25">
      <c r="A650" s="5">
        <f t="shared" si="50"/>
        <v>27</v>
      </c>
      <c r="B650" s="4"/>
      <c r="C650" s="4"/>
      <c r="D650" s="4"/>
      <c r="E650" s="4"/>
      <c r="F650" s="17" t="str">
        <f>IF(B650="","",IF(AND(E650="Oui",COUNTIFS(Changements!$A:$A,A650,Changements!$D:$D,B650)&gt;0),"⚠ Titulaire+entrée ?",IF(ABS(L650-M650)&gt;1,"⚠ vérifier","")))</f>
        <v/>
      </c>
      <c r="G650" s="5" t="str">
        <f>IF(B650="","",IFERROR(INDEX('Effectif Saison'!$D$4:$D$51,MATCH(B650,'Effectif Saison'!$E$4:$E$51,0)),""))</f>
        <v/>
      </c>
      <c r="H650" s="17" t="str">
        <f>IF(L650=0,"",IF(E650="Oui",0,IFERROR(_xlfn.MINIFS(Changements!$B:$B,Changements!$A:$A,A650,Changements!$D:$D,B650),"")))</f>
        <v/>
      </c>
      <c r="I650" s="17" t="str">
        <f>IF(M650=0,"",IFERROR(_xlfn.MAXIFS(Changements!$B:$B,Changements!$A:$A,A650,Changements!$C:$C,B650),""))</f>
        <v/>
      </c>
      <c r="J650" s="5" t="str">
        <f t="shared" si="51"/>
        <v/>
      </c>
      <c r="K650" s="17">
        <f t="shared" si="52"/>
        <v>0</v>
      </c>
      <c r="L650" s="17">
        <f>IF(B650="",0,COUNTIFS(Changements!$A:$A,A650,Changements!$D:$D,B650)+IF(E650="Oui",1,0))</f>
        <v>0</v>
      </c>
      <c r="M650" s="17">
        <f>IF(B650="",0,COUNTIFS(Changements!$A:$A,A650,Changements!$C:$C,B650))</f>
        <v>0</v>
      </c>
      <c r="N650" s="17">
        <f>IF(B650="",0,SUMIFS(Changements!$B:$B,Changements!$A:$A,A650,Changements!$D:$D,B650))</f>
        <v>0</v>
      </c>
      <c r="O650" s="17">
        <f>IF(B650="",0,SUMIFS(Changements!$B:$B,Changements!$A:$A,A650,Changements!$C:$C,B650)+IF(L650&gt;M650,IFERROR(INDEX(Matchs!$F$4:$F$31,MATCH(A650,Matchs!$A$4:$A$31,0)),0),0))</f>
        <v>0</v>
      </c>
      <c r="P650" s="17">
        <f t="shared" si="53"/>
        <v>0</v>
      </c>
      <c r="Q650" s="17">
        <f t="shared" si="54"/>
        <v>0</v>
      </c>
    </row>
    <row r="651" spans="1:17" ht="15" customHeight="1" x14ac:dyDescent="0.25">
      <c r="A651" s="5">
        <f t="shared" si="50"/>
        <v>27</v>
      </c>
      <c r="B651" s="4"/>
      <c r="C651" s="4"/>
      <c r="D651" s="4"/>
      <c r="E651" s="4"/>
      <c r="F651" s="17" t="str">
        <f>IF(B651="","",IF(AND(E651="Oui",COUNTIFS(Changements!$A:$A,A651,Changements!$D:$D,B651)&gt;0),"⚠ Titulaire+entrée ?",IF(ABS(L651-M651)&gt;1,"⚠ vérifier","")))</f>
        <v/>
      </c>
      <c r="G651" s="5" t="str">
        <f>IF(B651="","",IFERROR(INDEX('Effectif Saison'!$D$4:$D$51,MATCH(B651,'Effectif Saison'!$E$4:$E$51,0)),""))</f>
        <v/>
      </c>
      <c r="H651" s="17" t="str">
        <f>IF(L651=0,"",IF(E651="Oui",0,IFERROR(_xlfn.MINIFS(Changements!$B:$B,Changements!$A:$A,A651,Changements!$D:$D,B651),"")))</f>
        <v/>
      </c>
      <c r="I651" s="17" t="str">
        <f>IF(M651=0,"",IFERROR(_xlfn.MAXIFS(Changements!$B:$B,Changements!$A:$A,A651,Changements!$C:$C,B651),""))</f>
        <v/>
      </c>
      <c r="J651" s="5" t="str">
        <f t="shared" si="51"/>
        <v/>
      </c>
      <c r="K651" s="17">
        <f t="shared" si="52"/>
        <v>0</v>
      </c>
      <c r="L651" s="17">
        <f>IF(B651="",0,COUNTIFS(Changements!$A:$A,A651,Changements!$D:$D,B651)+IF(E651="Oui",1,0))</f>
        <v>0</v>
      </c>
      <c r="M651" s="17">
        <f>IF(B651="",0,COUNTIFS(Changements!$A:$A,A651,Changements!$C:$C,B651))</f>
        <v>0</v>
      </c>
      <c r="N651" s="17">
        <f>IF(B651="",0,SUMIFS(Changements!$B:$B,Changements!$A:$A,A651,Changements!$D:$D,B651))</f>
        <v>0</v>
      </c>
      <c r="O651" s="17">
        <f>IF(B651="",0,SUMIFS(Changements!$B:$B,Changements!$A:$A,A651,Changements!$C:$C,B651)+IF(L651&gt;M651,IFERROR(INDEX(Matchs!$F$4:$F$31,MATCH(A651,Matchs!$A$4:$A$31,0)),0),0))</f>
        <v>0</v>
      </c>
      <c r="P651" s="17">
        <f t="shared" si="53"/>
        <v>0</v>
      </c>
      <c r="Q651" s="17">
        <f t="shared" si="54"/>
        <v>0</v>
      </c>
    </row>
    <row r="652" spans="1:17" ht="15" customHeight="1" x14ac:dyDescent="0.25">
      <c r="A652" s="5">
        <f t="shared" si="50"/>
        <v>28</v>
      </c>
      <c r="B652" s="5" t="str">
        <f>INDEX('Effectif Saison'!$E$4:$E$22,1)</f>
        <v>Alan MICHON</v>
      </c>
      <c r="C652" s="4"/>
      <c r="D652" s="4"/>
      <c r="E652" s="4"/>
      <c r="F652" s="17" t="str">
        <f>IF(B652="","",IF(AND(E652="Oui",COUNTIFS(Changements!$A:$A,A652,Changements!$D:$D,B652)&gt;0),"⚠ Titulaire+entrée ?",IF(ABS(L652-M652)&gt;1,"⚠ vérifier","")))</f>
        <v/>
      </c>
      <c r="G652" s="5" t="str">
        <f>IF(B652="","",IFERROR(INDEX('Effectif Saison'!$D$4:$D$51,MATCH(B652,'Effectif Saison'!$E$4:$E$51,0)),""))</f>
        <v>Équipe 1</v>
      </c>
      <c r="H652" s="17" t="str">
        <f>IF(L652=0,"",IF(E652="Oui",0,IFERROR(_xlfn.MINIFS(Changements!$B:$B,Changements!$A:$A,A652,Changements!$D:$D,B652),"")))</f>
        <v/>
      </c>
      <c r="I652" s="17" t="str">
        <f>IF(M652=0,"",IFERROR(_xlfn.MAXIFS(Changements!$B:$B,Changements!$A:$A,A652,Changements!$C:$C,B652),""))</f>
        <v/>
      </c>
      <c r="J652" s="5" t="str">
        <f t="shared" si="51"/>
        <v/>
      </c>
      <c r="K652" s="17">
        <f t="shared" si="52"/>
        <v>0</v>
      </c>
      <c r="L652" s="17">
        <f>IF(B652="",0,COUNTIFS(Changements!$A:$A,A652,Changements!$D:$D,B652)+IF(E652="Oui",1,0))</f>
        <v>0</v>
      </c>
      <c r="M652" s="17">
        <f>IF(B652="",0,COUNTIFS(Changements!$A:$A,A652,Changements!$C:$C,B652))</f>
        <v>0</v>
      </c>
      <c r="N652" s="17">
        <f>IF(B652="",0,SUMIFS(Changements!$B:$B,Changements!$A:$A,A652,Changements!$D:$D,B652))</f>
        <v>0</v>
      </c>
      <c r="O652" s="17">
        <f>IF(B652="",0,SUMIFS(Changements!$B:$B,Changements!$A:$A,A652,Changements!$C:$C,B652)+IF(L652&gt;M652,IFERROR(INDEX(Matchs!$F$4:$F$31,MATCH(A652,Matchs!$A$4:$A$31,0)),0),0))</f>
        <v>0</v>
      </c>
      <c r="P652" s="17">
        <f t="shared" si="53"/>
        <v>0</v>
      </c>
      <c r="Q652" s="17">
        <f t="shared" si="54"/>
        <v>0</v>
      </c>
    </row>
    <row r="653" spans="1:17" ht="15" customHeight="1" x14ac:dyDescent="0.25">
      <c r="A653" s="5">
        <f t="shared" si="50"/>
        <v>28</v>
      </c>
      <c r="B653" s="5" t="str">
        <f>INDEX('Effectif Saison'!$E$4:$E$22,2)</f>
        <v>Jean BRUNTZ</v>
      </c>
      <c r="C653" s="4"/>
      <c r="D653" s="4"/>
      <c r="E653" s="4"/>
      <c r="F653" s="17" t="str">
        <f>IF(B653="","",IF(AND(E653="Oui",COUNTIFS(Changements!$A:$A,A653,Changements!$D:$D,B653)&gt;0),"⚠ Titulaire+entrée ?",IF(ABS(L653-M653)&gt;1,"⚠ vérifier","")))</f>
        <v/>
      </c>
      <c r="G653" s="5" t="str">
        <f>IF(B653="","",IFERROR(INDEX('Effectif Saison'!$D$4:$D$51,MATCH(B653,'Effectif Saison'!$E$4:$E$51,0)),""))</f>
        <v>Équipe 1</v>
      </c>
      <c r="H653" s="17" t="str">
        <f>IF(L653=0,"",IF(E653="Oui",0,IFERROR(_xlfn.MINIFS(Changements!$B:$B,Changements!$A:$A,A653,Changements!$D:$D,B653),"")))</f>
        <v/>
      </c>
      <c r="I653" s="17" t="str">
        <f>IF(M653=0,"",IFERROR(_xlfn.MAXIFS(Changements!$B:$B,Changements!$A:$A,A653,Changements!$C:$C,B653),""))</f>
        <v/>
      </c>
      <c r="J653" s="5" t="str">
        <f t="shared" si="51"/>
        <v/>
      </c>
      <c r="K653" s="17">
        <f t="shared" si="52"/>
        <v>0</v>
      </c>
      <c r="L653" s="17">
        <f>IF(B653="",0,COUNTIFS(Changements!$A:$A,A653,Changements!$D:$D,B653)+IF(E653="Oui",1,0))</f>
        <v>0</v>
      </c>
      <c r="M653" s="17">
        <f>IF(B653="",0,COUNTIFS(Changements!$A:$A,A653,Changements!$C:$C,B653))</f>
        <v>0</v>
      </c>
      <c r="N653" s="17">
        <f>IF(B653="",0,SUMIFS(Changements!$B:$B,Changements!$A:$A,A653,Changements!$D:$D,B653))</f>
        <v>0</v>
      </c>
      <c r="O653" s="17">
        <f>IF(B653="",0,SUMIFS(Changements!$B:$B,Changements!$A:$A,A653,Changements!$C:$C,B653)+IF(L653&gt;M653,IFERROR(INDEX(Matchs!$F$4:$F$31,MATCH(A653,Matchs!$A$4:$A$31,0)),0),0))</f>
        <v>0</v>
      </c>
      <c r="P653" s="17">
        <f t="shared" si="53"/>
        <v>0</v>
      </c>
      <c r="Q653" s="17">
        <f t="shared" si="54"/>
        <v>0</v>
      </c>
    </row>
    <row r="654" spans="1:17" ht="15" customHeight="1" x14ac:dyDescent="0.25">
      <c r="A654" s="5">
        <f t="shared" si="50"/>
        <v>28</v>
      </c>
      <c r="B654" s="5" t="str">
        <f>INDEX('Effectif Saison'!$E$4:$E$22,3)</f>
        <v>Marouane SBK</v>
      </c>
      <c r="C654" s="4"/>
      <c r="D654" s="4"/>
      <c r="E654" s="4"/>
      <c r="F654" s="17" t="str">
        <f>IF(B654="","",IF(AND(E654="Oui",COUNTIFS(Changements!$A:$A,A654,Changements!$D:$D,B654)&gt;0),"⚠ Titulaire+entrée ?",IF(ABS(L654-M654)&gt;1,"⚠ vérifier","")))</f>
        <v/>
      </c>
      <c r="G654" s="5" t="str">
        <f>IF(B654="","",IFERROR(INDEX('Effectif Saison'!$D$4:$D$51,MATCH(B654,'Effectif Saison'!$E$4:$E$51,0)),""))</f>
        <v>Équipe 1</v>
      </c>
      <c r="H654" s="17" t="str">
        <f>IF(L654=0,"",IF(E654="Oui",0,IFERROR(_xlfn.MINIFS(Changements!$B:$B,Changements!$A:$A,A654,Changements!$D:$D,B654),"")))</f>
        <v/>
      </c>
      <c r="I654" s="17" t="str">
        <f>IF(M654=0,"",IFERROR(_xlfn.MAXIFS(Changements!$B:$B,Changements!$A:$A,A654,Changements!$C:$C,B654),""))</f>
        <v/>
      </c>
      <c r="J654" s="5" t="str">
        <f t="shared" si="51"/>
        <v/>
      </c>
      <c r="K654" s="17">
        <f t="shared" si="52"/>
        <v>0</v>
      </c>
      <c r="L654" s="17">
        <f>IF(B654="",0,COUNTIFS(Changements!$A:$A,A654,Changements!$D:$D,B654)+IF(E654="Oui",1,0))</f>
        <v>0</v>
      </c>
      <c r="M654" s="17">
        <f>IF(B654="",0,COUNTIFS(Changements!$A:$A,A654,Changements!$C:$C,B654))</f>
        <v>0</v>
      </c>
      <c r="N654" s="17">
        <f>IF(B654="",0,SUMIFS(Changements!$B:$B,Changements!$A:$A,A654,Changements!$D:$D,B654))</f>
        <v>0</v>
      </c>
      <c r="O654" s="17">
        <f>IF(B654="",0,SUMIFS(Changements!$B:$B,Changements!$A:$A,A654,Changements!$C:$C,B654)+IF(L654&gt;M654,IFERROR(INDEX(Matchs!$F$4:$F$31,MATCH(A654,Matchs!$A$4:$A$31,0)),0),0))</f>
        <v>0</v>
      </c>
      <c r="P654" s="17">
        <f t="shared" si="53"/>
        <v>0</v>
      </c>
      <c r="Q654" s="17">
        <f t="shared" si="54"/>
        <v>0</v>
      </c>
    </row>
    <row r="655" spans="1:17" ht="15" customHeight="1" x14ac:dyDescent="0.25">
      <c r="A655" s="5">
        <f t="shared" si="50"/>
        <v>28</v>
      </c>
      <c r="B655" s="5" t="str">
        <f>INDEX('Effectif Saison'!$E$4:$E$22,4)</f>
        <v>Noé BIHL</v>
      </c>
      <c r="C655" s="4"/>
      <c r="D655" s="4"/>
      <c r="E655" s="4"/>
      <c r="F655" s="17" t="str">
        <f>IF(B655="","",IF(AND(E655="Oui",COUNTIFS(Changements!$A:$A,A655,Changements!$D:$D,B655)&gt;0),"⚠ Titulaire+entrée ?",IF(ABS(L655-M655)&gt;1,"⚠ vérifier","")))</f>
        <v/>
      </c>
      <c r="G655" s="5" t="str">
        <f>IF(B655="","",IFERROR(INDEX('Effectif Saison'!$D$4:$D$51,MATCH(B655,'Effectif Saison'!$E$4:$E$51,0)),""))</f>
        <v>Équipe 1</v>
      </c>
      <c r="H655" s="17" t="str">
        <f>IF(L655=0,"",IF(E655="Oui",0,IFERROR(_xlfn.MINIFS(Changements!$B:$B,Changements!$A:$A,A655,Changements!$D:$D,B655),"")))</f>
        <v/>
      </c>
      <c r="I655" s="17" t="str">
        <f>IF(M655=0,"",IFERROR(_xlfn.MAXIFS(Changements!$B:$B,Changements!$A:$A,A655,Changements!$C:$C,B655),""))</f>
        <v/>
      </c>
      <c r="J655" s="5" t="str">
        <f t="shared" si="51"/>
        <v/>
      </c>
      <c r="K655" s="17">
        <f t="shared" si="52"/>
        <v>0</v>
      </c>
      <c r="L655" s="17">
        <f>IF(B655="",0,COUNTIFS(Changements!$A:$A,A655,Changements!$D:$D,B655)+IF(E655="Oui",1,0))</f>
        <v>0</v>
      </c>
      <c r="M655" s="17">
        <f>IF(B655="",0,COUNTIFS(Changements!$A:$A,A655,Changements!$C:$C,B655))</f>
        <v>0</v>
      </c>
      <c r="N655" s="17">
        <f>IF(B655="",0,SUMIFS(Changements!$B:$B,Changements!$A:$A,A655,Changements!$D:$D,B655))</f>
        <v>0</v>
      </c>
      <c r="O655" s="17">
        <f>IF(B655="",0,SUMIFS(Changements!$B:$B,Changements!$A:$A,A655,Changements!$C:$C,B655)+IF(L655&gt;M655,IFERROR(INDEX(Matchs!$F$4:$F$31,MATCH(A655,Matchs!$A$4:$A$31,0)),0),0))</f>
        <v>0</v>
      </c>
      <c r="P655" s="17">
        <f t="shared" si="53"/>
        <v>0</v>
      </c>
      <c r="Q655" s="17">
        <f t="shared" si="54"/>
        <v>0</v>
      </c>
    </row>
    <row r="656" spans="1:17" ht="15" customHeight="1" x14ac:dyDescent="0.25">
      <c r="A656" s="5">
        <f t="shared" si="50"/>
        <v>28</v>
      </c>
      <c r="B656" s="5" t="str">
        <f>INDEX('Effectif Saison'!$E$4:$E$22,5)</f>
        <v>Luca COLAIANNI</v>
      </c>
      <c r="C656" s="4"/>
      <c r="D656" s="4"/>
      <c r="E656" s="4"/>
      <c r="F656" s="17" t="str">
        <f>IF(B656="","",IF(AND(E656="Oui",COUNTIFS(Changements!$A:$A,A656,Changements!$D:$D,B656)&gt;0),"⚠ Titulaire+entrée ?",IF(ABS(L656-M656)&gt;1,"⚠ vérifier","")))</f>
        <v/>
      </c>
      <c r="G656" s="5" t="str">
        <f>IF(B656="","",IFERROR(INDEX('Effectif Saison'!$D$4:$D$51,MATCH(B656,'Effectif Saison'!$E$4:$E$51,0)),""))</f>
        <v>Équipe 1</v>
      </c>
      <c r="H656" s="17" t="str">
        <f>IF(L656=0,"",IF(E656="Oui",0,IFERROR(_xlfn.MINIFS(Changements!$B:$B,Changements!$A:$A,A656,Changements!$D:$D,B656),"")))</f>
        <v/>
      </c>
      <c r="I656" s="17" t="str">
        <f>IF(M656=0,"",IFERROR(_xlfn.MAXIFS(Changements!$B:$B,Changements!$A:$A,A656,Changements!$C:$C,B656),""))</f>
        <v/>
      </c>
      <c r="J656" s="5" t="str">
        <f t="shared" si="51"/>
        <v/>
      </c>
      <c r="K656" s="17">
        <f t="shared" si="52"/>
        <v>0</v>
      </c>
      <c r="L656" s="17">
        <f>IF(B656="",0,COUNTIFS(Changements!$A:$A,A656,Changements!$D:$D,B656)+IF(E656="Oui",1,0))</f>
        <v>0</v>
      </c>
      <c r="M656" s="17">
        <f>IF(B656="",0,COUNTIFS(Changements!$A:$A,A656,Changements!$C:$C,B656))</f>
        <v>0</v>
      </c>
      <c r="N656" s="17">
        <f>IF(B656="",0,SUMIFS(Changements!$B:$B,Changements!$A:$A,A656,Changements!$D:$D,B656))</f>
        <v>0</v>
      </c>
      <c r="O656" s="17">
        <f>IF(B656="",0,SUMIFS(Changements!$B:$B,Changements!$A:$A,A656,Changements!$C:$C,B656)+IF(L656&gt;M656,IFERROR(INDEX(Matchs!$F$4:$F$31,MATCH(A656,Matchs!$A$4:$A$31,0)),0),0))</f>
        <v>0</v>
      </c>
      <c r="P656" s="17">
        <f t="shared" si="53"/>
        <v>0</v>
      </c>
      <c r="Q656" s="17">
        <f t="shared" si="54"/>
        <v>0</v>
      </c>
    </row>
    <row r="657" spans="1:17" ht="15" customHeight="1" x14ac:dyDescent="0.25">
      <c r="A657" s="5">
        <f t="shared" si="50"/>
        <v>28</v>
      </c>
      <c r="B657" s="5" t="str">
        <f>INDEX('Effectif Saison'!$E$4:$E$22,6)</f>
        <v>Atilla ER</v>
      </c>
      <c r="C657" s="4"/>
      <c r="D657" s="4"/>
      <c r="E657" s="4"/>
      <c r="F657" s="17" t="str">
        <f>IF(B657="","",IF(AND(E657="Oui",COUNTIFS(Changements!$A:$A,A657,Changements!$D:$D,B657)&gt;0),"⚠ Titulaire+entrée ?",IF(ABS(L657-M657)&gt;1,"⚠ vérifier","")))</f>
        <v/>
      </c>
      <c r="G657" s="5" t="str">
        <f>IF(B657="","",IFERROR(INDEX('Effectif Saison'!$D$4:$D$51,MATCH(B657,'Effectif Saison'!$E$4:$E$51,0)),""))</f>
        <v>Équipe 1</v>
      </c>
      <c r="H657" s="17" t="str">
        <f>IF(L657=0,"",IF(E657="Oui",0,IFERROR(_xlfn.MINIFS(Changements!$B:$B,Changements!$A:$A,A657,Changements!$D:$D,B657),"")))</f>
        <v/>
      </c>
      <c r="I657" s="17" t="str">
        <f>IF(M657=0,"",IFERROR(_xlfn.MAXIFS(Changements!$B:$B,Changements!$A:$A,A657,Changements!$C:$C,B657),""))</f>
        <v/>
      </c>
      <c r="J657" s="5" t="str">
        <f t="shared" si="51"/>
        <v/>
      </c>
      <c r="K657" s="17">
        <f t="shared" si="52"/>
        <v>0</v>
      </c>
      <c r="L657" s="17">
        <f>IF(B657="",0,COUNTIFS(Changements!$A:$A,A657,Changements!$D:$D,B657)+IF(E657="Oui",1,0))</f>
        <v>0</v>
      </c>
      <c r="M657" s="17">
        <f>IF(B657="",0,COUNTIFS(Changements!$A:$A,A657,Changements!$C:$C,B657))</f>
        <v>0</v>
      </c>
      <c r="N657" s="17">
        <f>IF(B657="",0,SUMIFS(Changements!$B:$B,Changements!$A:$A,A657,Changements!$D:$D,B657))</f>
        <v>0</v>
      </c>
      <c r="O657" s="17">
        <f>IF(B657="",0,SUMIFS(Changements!$B:$B,Changements!$A:$A,A657,Changements!$C:$C,B657)+IF(L657&gt;M657,IFERROR(INDEX(Matchs!$F$4:$F$31,MATCH(A657,Matchs!$A$4:$A$31,0)),0),0))</f>
        <v>0</v>
      </c>
      <c r="P657" s="17">
        <f t="shared" si="53"/>
        <v>0</v>
      </c>
      <c r="Q657" s="17">
        <f t="shared" si="54"/>
        <v>0</v>
      </c>
    </row>
    <row r="658" spans="1:17" ht="15" customHeight="1" x14ac:dyDescent="0.25">
      <c r="A658" s="5">
        <f t="shared" si="50"/>
        <v>28</v>
      </c>
      <c r="B658" s="5" t="str">
        <f>INDEX('Effectif Saison'!$E$4:$E$22,7)</f>
        <v>Lucas BUHR</v>
      </c>
      <c r="C658" s="4"/>
      <c r="D658" s="4"/>
      <c r="E658" s="4"/>
      <c r="F658" s="17" t="str">
        <f>IF(B658="","",IF(AND(E658="Oui",COUNTIFS(Changements!$A:$A,A658,Changements!$D:$D,B658)&gt;0),"⚠ Titulaire+entrée ?",IF(ABS(L658-M658)&gt;1,"⚠ vérifier","")))</f>
        <v/>
      </c>
      <c r="G658" s="5" t="str">
        <f>IF(B658="","",IFERROR(INDEX('Effectif Saison'!$D$4:$D$51,MATCH(B658,'Effectif Saison'!$E$4:$E$51,0)),""))</f>
        <v>Équipe 1</v>
      </c>
      <c r="H658" s="17" t="str">
        <f>IF(L658=0,"",IF(E658="Oui",0,IFERROR(_xlfn.MINIFS(Changements!$B:$B,Changements!$A:$A,A658,Changements!$D:$D,B658),"")))</f>
        <v/>
      </c>
      <c r="I658" s="17" t="str">
        <f>IF(M658=0,"",IFERROR(_xlfn.MAXIFS(Changements!$B:$B,Changements!$A:$A,A658,Changements!$C:$C,B658),""))</f>
        <v/>
      </c>
      <c r="J658" s="5" t="str">
        <f t="shared" si="51"/>
        <v/>
      </c>
      <c r="K658" s="17">
        <f t="shared" si="52"/>
        <v>0</v>
      </c>
      <c r="L658" s="17">
        <f>IF(B658="",0,COUNTIFS(Changements!$A:$A,A658,Changements!$D:$D,B658)+IF(E658="Oui",1,0))</f>
        <v>0</v>
      </c>
      <c r="M658" s="17">
        <f>IF(B658="",0,COUNTIFS(Changements!$A:$A,A658,Changements!$C:$C,B658))</f>
        <v>0</v>
      </c>
      <c r="N658" s="17">
        <f>IF(B658="",0,SUMIFS(Changements!$B:$B,Changements!$A:$A,A658,Changements!$D:$D,B658))</f>
        <v>0</v>
      </c>
      <c r="O658" s="17">
        <f>IF(B658="",0,SUMIFS(Changements!$B:$B,Changements!$A:$A,A658,Changements!$C:$C,B658)+IF(L658&gt;M658,IFERROR(INDEX(Matchs!$F$4:$F$31,MATCH(A658,Matchs!$A$4:$A$31,0)),0),0))</f>
        <v>0</v>
      </c>
      <c r="P658" s="17">
        <f t="shared" si="53"/>
        <v>0</v>
      </c>
      <c r="Q658" s="17">
        <f t="shared" si="54"/>
        <v>0</v>
      </c>
    </row>
    <row r="659" spans="1:17" ht="15" customHeight="1" x14ac:dyDescent="0.25">
      <c r="A659" s="5">
        <f t="shared" si="50"/>
        <v>28</v>
      </c>
      <c r="B659" s="5" t="str">
        <f>INDEX('Effectif Saison'!$E$4:$E$22,8)</f>
        <v>Yanis HOUX</v>
      </c>
      <c r="C659" s="4"/>
      <c r="D659" s="4"/>
      <c r="E659" s="4"/>
      <c r="F659" s="17" t="str">
        <f>IF(B659="","",IF(AND(E659="Oui",COUNTIFS(Changements!$A:$A,A659,Changements!$D:$D,B659)&gt;0),"⚠ Titulaire+entrée ?",IF(ABS(L659-M659)&gt;1,"⚠ vérifier","")))</f>
        <v/>
      </c>
      <c r="G659" s="5" t="str">
        <f>IF(B659="","",IFERROR(INDEX('Effectif Saison'!$D$4:$D$51,MATCH(B659,'Effectif Saison'!$E$4:$E$51,0)),""))</f>
        <v>Équipe 1</v>
      </c>
      <c r="H659" s="17" t="str">
        <f>IF(L659=0,"",IF(E659="Oui",0,IFERROR(_xlfn.MINIFS(Changements!$B:$B,Changements!$A:$A,A659,Changements!$D:$D,B659),"")))</f>
        <v/>
      </c>
      <c r="I659" s="17" t="str">
        <f>IF(M659=0,"",IFERROR(_xlfn.MAXIFS(Changements!$B:$B,Changements!$A:$A,A659,Changements!$C:$C,B659),""))</f>
        <v/>
      </c>
      <c r="J659" s="5" t="str">
        <f t="shared" si="51"/>
        <v/>
      </c>
      <c r="K659" s="17">
        <f t="shared" si="52"/>
        <v>0</v>
      </c>
      <c r="L659" s="17">
        <f>IF(B659="",0,COUNTIFS(Changements!$A:$A,A659,Changements!$D:$D,B659)+IF(E659="Oui",1,0))</f>
        <v>0</v>
      </c>
      <c r="M659" s="17">
        <f>IF(B659="",0,COUNTIFS(Changements!$A:$A,A659,Changements!$C:$C,B659))</f>
        <v>0</v>
      </c>
      <c r="N659" s="17">
        <f>IF(B659="",0,SUMIFS(Changements!$B:$B,Changements!$A:$A,A659,Changements!$D:$D,B659))</f>
        <v>0</v>
      </c>
      <c r="O659" s="17">
        <f>IF(B659="",0,SUMIFS(Changements!$B:$B,Changements!$A:$A,A659,Changements!$C:$C,B659)+IF(L659&gt;M659,IFERROR(INDEX(Matchs!$F$4:$F$31,MATCH(A659,Matchs!$A$4:$A$31,0)),0),0))</f>
        <v>0</v>
      </c>
      <c r="P659" s="17">
        <f t="shared" si="53"/>
        <v>0</v>
      </c>
      <c r="Q659" s="17">
        <f t="shared" si="54"/>
        <v>0</v>
      </c>
    </row>
    <row r="660" spans="1:17" ht="15" customHeight="1" x14ac:dyDescent="0.25">
      <c r="A660" s="5">
        <f t="shared" si="50"/>
        <v>28</v>
      </c>
      <c r="B660" s="5" t="str">
        <f>INDEX('Effectif Saison'!$E$4:$E$22,9)</f>
        <v>Tino COLAIANNI</v>
      </c>
      <c r="C660" s="4"/>
      <c r="D660" s="4"/>
      <c r="E660" s="4"/>
      <c r="F660" s="17" t="str">
        <f>IF(B660="","",IF(AND(E660="Oui",COUNTIFS(Changements!$A:$A,A660,Changements!$D:$D,B660)&gt;0),"⚠ Titulaire+entrée ?",IF(ABS(L660-M660)&gt;1,"⚠ vérifier","")))</f>
        <v/>
      </c>
      <c r="G660" s="5" t="str">
        <f>IF(B660="","",IFERROR(INDEX('Effectif Saison'!$D$4:$D$51,MATCH(B660,'Effectif Saison'!$E$4:$E$51,0)),""))</f>
        <v>Équipe 1</v>
      </c>
      <c r="H660" s="17" t="str">
        <f>IF(L660=0,"",IF(E660="Oui",0,IFERROR(_xlfn.MINIFS(Changements!$B:$B,Changements!$A:$A,A660,Changements!$D:$D,B660),"")))</f>
        <v/>
      </c>
      <c r="I660" s="17" t="str">
        <f>IF(M660=0,"",IFERROR(_xlfn.MAXIFS(Changements!$B:$B,Changements!$A:$A,A660,Changements!$C:$C,B660),""))</f>
        <v/>
      </c>
      <c r="J660" s="5" t="str">
        <f t="shared" si="51"/>
        <v/>
      </c>
      <c r="K660" s="17">
        <f t="shared" si="52"/>
        <v>0</v>
      </c>
      <c r="L660" s="17">
        <f>IF(B660="",0,COUNTIFS(Changements!$A:$A,A660,Changements!$D:$D,B660)+IF(E660="Oui",1,0))</f>
        <v>0</v>
      </c>
      <c r="M660" s="17">
        <f>IF(B660="",0,COUNTIFS(Changements!$A:$A,A660,Changements!$C:$C,B660))</f>
        <v>0</v>
      </c>
      <c r="N660" s="17">
        <f>IF(B660="",0,SUMIFS(Changements!$B:$B,Changements!$A:$A,A660,Changements!$D:$D,B660))</f>
        <v>0</v>
      </c>
      <c r="O660" s="17">
        <f>IF(B660="",0,SUMIFS(Changements!$B:$B,Changements!$A:$A,A660,Changements!$C:$C,B660)+IF(L660&gt;M660,IFERROR(INDEX(Matchs!$F$4:$F$31,MATCH(A660,Matchs!$A$4:$A$31,0)),0),0))</f>
        <v>0</v>
      </c>
      <c r="P660" s="17">
        <f t="shared" si="53"/>
        <v>0</v>
      </c>
      <c r="Q660" s="17">
        <f t="shared" si="54"/>
        <v>0</v>
      </c>
    </row>
    <row r="661" spans="1:17" ht="15" customHeight="1" x14ac:dyDescent="0.25">
      <c r="A661" s="5">
        <f t="shared" si="50"/>
        <v>28</v>
      </c>
      <c r="B661" s="5" t="str">
        <f>INDEX('Effectif Saison'!$E$4:$E$22,10)</f>
        <v>Achille KELLERKNECHT</v>
      </c>
      <c r="C661" s="4"/>
      <c r="D661" s="4"/>
      <c r="E661" s="4"/>
      <c r="F661" s="17" t="str">
        <f>IF(B661="","",IF(AND(E661="Oui",COUNTIFS(Changements!$A:$A,A661,Changements!$D:$D,B661)&gt;0),"⚠ Titulaire+entrée ?",IF(ABS(L661-M661)&gt;1,"⚠ vérifier","")))</f>
        <v/>
      </c>
      <c r="G661" s="5" t="str">
        <f>IF(B661="","",IFERROR(INDEX('Effectif Saison'!$D$4:$D$51,MATCH(B661,'Effectif Saison'!$E$4:$E$51,0)),""))</f>
        <v>Équipe 1</v>
      </c>
      <c r="H661" s="17" t="str">
        <f>IF(L661=0,"",IF(E661="Oui",0,IFERROR(_xlfn.MINIFS(Changements!$B:$B,Changements!$A:$A,A661,Changements!$D:$D,B661),"")))</f>
        <v/>
      </c>
      <c r="I661" s="17" t="str">
        <f>IF(M661=0,"",IFERROR(_xlfn.MAXIFS(Changements!$B:$B,Changements!$A:$A,A661,Changements!$C:$C,B661),""))</f>
        <v/>
      </c>
      <c r="J661" s="5" t="str">
        <f t="shared" si="51"/>
        <v/>
      </c>
      <c r="K661" s="17">
        <f t="shared" si="52"/>
        <v>0</v>
      </c>
      <c r="L661" s="17">
        <f>IF(B661="",0,COUNTIFS(Changements!$A:$A,A661,Changements!$D:$D,B661)+IF(E661="Oui",1,0))</f>
        <v>0</v>
      </c>
      <c r="M661" s="17">
        <f>IF(B661="",0,COUNTIFS(Changements!$A:$A,A661,Changements!$C:$C,B661))</f>
        <v>0</v>
      </c>
      <c r="N661" s="17">
        <f>IF(B661="",0,SUMIFS(Changements!$B:$B,Changements!$A:$A,A661,Changements!$D:$D,B661))</f>
        <v>0</v>
      </c>
      <c r="O661" s="17">
        <f>IF(B661="",0,SUMIFS(Changements!$B:$B,Changements!$A:$A,A661,Changements!$C:$C,B661)+IF(L661&gt;M661,IFERROR(INDEX(Matchs!$F$4:$F$31,MATCH(A661,Matchs!$A$4:$A$31,0)),0),0))</f>
        <v>0</v>
      </c>
      <c r="P661" s="17">
        <f t="shared" si="53"/>
        <v>0</v>
      </c>
      <c r="Q661" s="17">
        <f t="shared" si="54"/>
        <v>0</v>
      </c>
    </row>
    <row r="662" spans="1:17" ht="15" customHeight="1" x14ac:dyDescent="0.25">
      <c r="A662" s="5">
        <f t="shared" si="50"/>
        <v>28</v>
      </c>
      <c r="B662" s="5" t="str">
        <f>INDEX('Effectif Saison'!$E$4:$E$22,11)</f>
        <v>Charly LEPERT</v>
      </c>
      <c r="C662" s="4"/>
      <c r="D662" s="4"/>
      <c r="E662" s="4"/>
      <c r="F662" s="17" t="str">
        <f>IF(B662="","",IF(AND(E662="Oui",COUNTIFS(Changements!$A:$A,A662,Changements!$D:$D,B662)&gt;0),"⚠ Titulaire+entrée ?",IF(ABS(L662-M662)&gt;1,"⚠ vérifier","")))</f>
        <v/>
      </c>
      <c r="G662" s="5" t="str">
        <f>IF(B662="","",IFERROR(INDEX('Effectif Saison'!$D$4:$D$51,MATCH(B662,'Effectif Saison'!$E$4:$E$51,0)),""))</f>
        <v>Équipe 1</v>
      </c>
      <c r="H662" s="17" t="str">
        <f>IF(L662=0,"",IF(E662="Oui",0,IFERROR(_xlfn.MINIFS(Changements!$B:$B,Changements!$A:$A,A662,Changements!$D:$D,B662),"")))</f>
        <v/>
      </c>
      <c r="I662" s="17" t="str">
        <f>IF(M662=0,"",IFERROR(_xlfn.MAXIFS(Changements!$B:$B,Changements!$A:$A,A662,Changements!$C:$C,B662),""))</f>
        <v/>
      </c>
      <c r="J662" s="5" t="str">
        <f t="shared" si="51"/>
        <v/>
      </c>
      <c r="K662" s="17">
        <f t="shared" si="52"/>
        <v>0</v>
      </c>
      <c r="L662" s="17">
        <f>IF(B662="",0,COUNTIFS(Changements!$A:$A,A662,Changements!$D:$D,B662)+IF(E662="Oui",1,0))</f>
        <v>0</v>
      </c>
      <c r="M662" s="17">
        <f>IF(B662="",0,COUNTIFS(Changements!$A:$A,A662,Changements!$C:$C,B662))</f>
        <v>0</v>
      </c>
      <c r="N662" s="17">
        <f>IF(B662="",0,SUMIFS(Changements!$B:$B,Changements!$A:$A,A662,Changements!$D:$D,B662))</f>
        <v>0</v>
      </c>
      <c r="O662" s="17">
        <f>IF(B662="",0,SUMIFS(Changements!$B:$B,Changements!$A:$A,A662,Changements!$C:$C,B662)+IF(L662&gt;M662,IFERROR(INDEX(Matchs!$F$4:$F$31,MATCH(A662,Matchs!$A$4:$A$31,0)),0),0))</f>
        <v>0</v>
      </c>
      <c r="P662" s="17">
        <f t="shared" si="53"/>
        <v>0</v>
      </c>
      <c r="Q662" s="17">
        <f t="shared" si="54"/>
        <v>0</v>
      </c>
    </row>
    <row r="663" spans="1:17" ht="15" customHeight="1" x14ac:dyDescent="0.25">
      <c r="A663" s="5">
        <f t="shared" si="50"/>
        <v>28</v>
      </c>
      <c r="B663" s="5" t="str">
        <f>INDEX('Effectif Saison'!$E$4:$E$22,12)</f>
        <v>Basile STANGRET</v>
      </c>
      <c r="C663" s="4"/>
      <c r="D663" s="4"/>
      <c r="E663" s="4"/>
      <c r="F663" s="17" t="str">
        <f>IF(B663="","",IF(AND(E663="Oui",COUNTIFS(Changements!$A:$A,A663,Changements!$D:$D,B663)&gt;0),"⚠ Titulaire+entrée ?",IF(ABS(L663-M663)&gt;1,"⚠ vérifier","")))</f>
        <v/>
      </c>
      <c r="G663" s="5" t="str">
        <f>IF(B663="","",IFERROR(INDEX('Effectif Saison'!$D$4:$D$51,MATCH(B663,'Effectif Saison'!$E$4:$E$51,0)),""))</f>
        <v>Équipe 1</v>
      </c>
      <c r="H663" s="17" t="str">
        <f>IF(L663=0,"",IF(E663="Oui",0,IFERROR(_xlfn.MINIFS(Changements!$B:$B,Changements!$A:$A,A663,Changements!$D:$D,B663),"")))</f>
        <v/>
      </c>
      <c r="I663" s="17" t="str">
        <f>IF(M663=0,"",IFERROR(_xlfn.MAXIFS(Changements!$B:$B,Changements!$A:$A,A663,Changements!$C:$C,B663),""))</f>
        <v/>
      </c>
      <c r="J663" s="5" t="str">
        <f t="shared" si="51"/>
        <v/>
      </c>
      <c r="K663" s="17">
        <f t="shared" si="52"/>
        <v>0</v>
      </c>
      <c r="L663" s="17">
        <f>IF(B663="",0,COUNTIFS(Changements!$A:$A,A663,Changements!$D:$D,B663)+IF(E663="Oui",1,0))</f>
        <v>0</v>
      </c>
      <c r="M663" s="17">
        <f>IF(B663="",0,COUNTIFS(Changements!$A:$A,A663,Changements!$C:$C,B663))</f>
        <v>0</v>
      </c>
      <c r="N663" s="17">
        <f>IF(B663="",0,SUMIFS(Changements!$B:$B,Changements!$A:$A,A663,Changements!$D:$D,B663))</f>
        <v>0</v>
      </c>
      <c r="O663" s="17">
        <f>IF(B663="",0,SUMIFS(Changements!$B:$B,Changements!$A:$A,A663,Changements!$C:$C,B663)+IF(L663&gt;M663,IFERROR(INDEX(Matchs!$F$4:$F$31,MATCH(A663,Matchs!$A$4:$A$31,0)),0),0))</f>
        <v>0</v>
      </c>
      <c r="P663" s="17">
        <f t="shared" si="53"/>
        <v>0</v>
      </c>
      <c r="Q663" s="17">
        <f t="shared" si="54"/>
        <v>0</v>
      </c>
    </row>
    <row r="664" spans="1:17" ht="15" customHeight="1" x14ac:dyDescent="0.25">
      <c r="A664" s="5">
        <f t="shared" si="50"/>
        <v>28</v>
      </c>
      <c r="B664" s="5" t="str">
        <f>INDEX('Effectif Saison'!$E$4:$E$22,13)</f>
        <v>Maxence KELLER</v>
      </c>
      <c r="C664" s="4"/>
      <c r="D664" s="4"/>
      <c r="E664" s="4"/>
      <c r="F664" s="17" t="str">
        <f>IF(B664="","",IF(AND(E664="Oui",COUNTIFS(Changements!$A:$A,A664,Changements!$D:$D,B664)&gt;0),"⚠ Titulaire+entrée ?",IF(ABS(L664-M664)&gt;1,"⚠ vérifier","")))</f>
        <v/>
      </c>
      <c r="G664" s="5" t="str">
        <f>IF(B664="","",IFERROR(INDEX('Effectif Saison'!$D$4:$D$51,MATCH(B664,'Effectif Saison'!$E$4:$E$51,0)),""))</f>
        <v>Équipe 1</v>
      </c>
      <c r="H664" s="17" t="str">
        <f>IF(L664=0,"",IF(E664="Oui",0,IFERROR(_xlfn.MINIFS(Changements!$B:$B,Changements!$A:$A,A664,Changements!$D:$D,B664),"")))</f>
        <v/>
      </c>
      <c r="I664" s="17" t="str">
        <f>IF(M664=0,"",IFERROR(_xlfn.MAXIFS(Changements!$B:$B,Changements!$A:$A,A664,Changements!$C:$C,B664),""))</f>
        <v/>
      </c>
      <c r="J664" s="5" t="str">
        <f t="shared" si="51"/>
        <v/>
      </c>
      <c r="K664" s="17">
        <f t="shared" si="52"/>
        <v>0</v>
      </c>
      <c r="L664" s="17">
        <f>IF(B664="",0,COUNTIFS(Changements!$A:$A,A664,Changements!$D:$D,B664)+IF(E664="Oui",1,0))</f>
        <v>0</v>
      </c>
      <c r="M664" s="17">
        <f>IF(B664="",0,COUNTIFS(Changements!$A:$A,A664,Changements!$C:$C,B664))</f>
        <v>0</v>
      </c>
      <c r="N664" s="17">
        <f>IF(B664="",0,SUMIFS(Changements!$B:$B,Changements!$A:$A,A664,Changements!$D:$D,B664))</f>
        <v>0</v>
      </c>
      <c r="O664" s="17">
        <f>IF(B664="",0,SUMIFS(Changements!$B:$B,Changements!$A:$A,A664,Changements!$C:$C,B664)+IF(L664&gt;M664,IFERROR(INDEX(Matchs!$F$4:$F$31,MATCH(A664,Matchs!$A$4:$A$31,0)),0),0))</f>
        <v>0</v>
      </c>
      <c r="P664" s="17">
        <f t="shared" si="53"/>
        <v>0</v>
      </c>
      <c r="Q664" s="17">
        <f t="shared" si="54"/>
        <v>0</v>
      </c>
    </row>
    <row r="665" spans="1:17" ht="15" customHeight="1" x14ac:dyDescent="0.25">
      <c r="A665" s="5">
        <f t="shared" si="50"/>
        <v>28</v>
      </c>
      <c r="B665" s="5" t="str">
        <f>INDEX('Effectif Saison'!$E$4:$E$22,14)</f>
        <v>Evan SCHMITT</v>
      </c>
      <c r="C665" s="4"/>
      <c r="D665" s="4"/>
      <c r="E665" s="4"/>
      <c r="F665" s="17" t="str">
        <f>IF(B665="","",IF(AND(E665="Oui",COUNTIFS(Changements!$A:$A,A665,Changements!$D:$D,B665)&gt;0),"⚠ Titulaire+entrée ?",IF(ABS(L665-M665)&gt;1,"⚠ vérifier","")))</f>
        <v/>
      </c>
      <c r="G665" s="5" t="str">
        <f>IF(B665="","",IFERROR(INDEX('Effectif Saison'!$D$4:$D$51,MATCH(B665,'Effectif Saison'!$E$4:$E$51,0)),""))</f>
        <v>Équipe 1</v>
      </c>
      <c r="H665" s="17" t="str">
        <f>IF(L665=0,"",IF(E665="Oui",0,IFERROR(_xlfn.MINIFS(Changements!$B:$B,Changements!$A:$A,A665,Changements!$D:$D,B665),"")))</f>
        <v/>
      </c>
      <c r="I665" s="17" t="str">
        <f>IF(M665=0,"",IFERROR(_xlfn.MAXIFS(Changements!$B:$B,Changements!$A:$A,A665,Changements!$C:$C,B665),""))</f>
        <v/>
      </c>
      <c r="J665" s="5" t="str">
        <f t="shared" si="51"/>
        <v/>
      </c>
      <c r="K665" s="17">
        <f t="shared" si="52"/>
        <v>0</v>
      </c>
      <c r="L665" s="17">
        <f>IF(B665="",0,COUNTIFS(Changements!$A:$A,A665,Changements!$D:$D,B665)+IF(E665="Oui",1,0))</f>
        <v>0</v>
      </c>
      <c r="M665" s="17">
        <f>IF(B665="",0,COUNTIFS(Changements!$A:$A,A665,Changements!$C:$C,B665))</f>
        <v>0</v>
      </c>
      <c r="N665" s="17">
        <f>IF(B665="",0,SUMIFS(Changements!$B:$B,Changements!$A:$A,A665,Changements!$D:$D,B665))</f>
        <v>0</v>
      </c>
      <c r="O665" s="17">
        <f>IF(B665="",0,SUMIFS(Changements!$B:$B,Changements!$A:$A,A665,Changements!$C:$C,B665)+IF(L665&gt;M665,IFERROR(INDEX(Matchs!$F$4:$F$31,MATCH(A665,Matchs!$A$4:$A$31,0)),0),0))</f>
        <v>0</v>
      </c>
      <c r="P665" s="17">
        <f t="shared" si="53"/>
        <v>0</v>
      </c>
      <c r="Q665" s="17">
        <f t="shared" si="54"/>
        <v>0</v>
      </c>
    </row>
    <row r="666" spans="1:17" ht="15" customHeight="1" x14ac:dyDescent="0.25">
      <c r="A666" s="5">
        <f t="shared" si="50"/>
        <v>28</v>
      </c>
      <c r="B666" s="5" t="str">
        <f>INDEX('Effectif Saison'!$E$4:$E$22,15)</f>
        <v>William SIMON</v>
      </c>
      <c r="C666" s="4"/>
      <c r="D666" s="4"/>
      <c r="E666" s="4"/>
      <c r="F666" s="17" t="str">
        <f>IF(B666="","",IF(AND(E666="Oui",COUNTIFS(Changements!$A:$A,A666,Changements!$D:$D,B666)&gt;0),"⚠ Titulaire+entrée ?",IF(ABS(L666-M666)&gt;1,"⚠ vérifier","")))</f>
        <v/>
      </c>
      <c r="G666" s="5" t="str">
        <f>IF(B666="","",IFERROR(INDEX('Effectif Saison'!$D$4:$D$51,MATCH(B666,'Effectif Saison'!$E$4:$E$51,0)),""))</f>
        <v>Équipe 1</v>
      </c>
      <c r="H666" s="17" t="str">
        <f>IF(L666=0,"",IF(E666="Oui",0,IFERROR(_xlfn.MINIFS(Changements!$B:$B,Changements!$A:$A,A666,Changements!$D:$D,B666),"")))</f>
        <v/>
      </c>
      <c r="I666" s="17" t="str">
        <f>IF(M666=0,"",IFERROR(_xlfn.MAXIFS(Changements!$B:$B,Changements!$A:$A,A666,Changements!$C:$C,B666),""))</f>
        <v/>
      </c>
      <c r="J666" s="5" t="str">
        <f t="shared" si="51"/>
        <v/>
      </c>
      <c r="K666" s="17">
        <f t="shared" si="52"/>
        <v>0</v>
      </c>
      <c r="L666" s="17">
        <f>IF(B666="",0,COUNTIFS(Changements!$A:$A,A666,Changements!$D:$D,B666)+IF(E666="Oui",1,0))</f>
        <v>0</v>
      </c>
      <c r="M666" s="17">
        <f>IF(B666="",0,COUNTIFS(Changements!$A:$A,A666,Changements!$C:$C,B666))</f>
        <v>0</v>
      </c>
      <c r="N666" s="17">
        <f>IF(B666="",0,SUMIFS(Changements!$B:$B,Changements!$A:$A,A666,Changements!$D:$D,B666))</f>
        <v>0</v>
      </c>
      <c r="O666" s="17">
        <f>IF(B666="",0,SUMIFS(Changements!$B:$B,Changements!$A:$A,A666,Changements!$C:$C,B666)+IF(L666&gt;M666,IFERROR(INDEX(Matchs!$F$4:$F$31,MATCH(A666,Matchs!$A$4:$A$31,0)),0),0))</f>
        <v>0</v>
      </c>
      <c r="P666" s="17">
        <f t="shared" si="53"/>
        <v>0</v>
      </c>
      <c r="Q666" s="17">
        <f t="shared" si="54"/>
        <v>0</v>
      </c>
    </row>
    <row r="667" spans="1:17" ht="15" customHeight="1" x14ac:dyDescent="0.25">
      <c r="A667" s="5">
        <f t="shared" si="50"/>
        <v>28</v>
      </c>
      <c r="B667" s="5" t="str">
        <f>INDEX('Effectif Saison'!$E$4:$E$22,16)</f>
        <v>Lenny LEPPER</v>
      </c>
      <c r="C667" s="4"/>
      <c r="D667" s="4"/>
      <c r="E667" s="4"/>
      <c r="F667" s="17" t="str">
        <f>IF(B667="","",IF(AND(E667="Oui",COUNTIFS(Changements!$A:$A,A667,Changements!$D:$D,B667)&gt;0),"⚠ Titulaire+entrée ?",IF(ABS(L667-M667)&gt;1,"⚠ vérifier","")))</f>
        <v/>
      </c>
      <c r="G667" s="5" t="str">
        <f>IF(B667="","",IFERROR(INDEX('Effectif Saison'!$D$4:$D$51,MATCH(B667,'Effectif Saison'!$E$4:$E$51,0)),""))</f>
        <v>Équipe 1</v>
      </c>
      <c r="H667" s="17" t="str">
        <f>IF(L667=0,"",IF(E667="Oui",0,IFERROR(_xlfn.MINIFS(Changements!$B:$B,Changements!$A:$A,A667,Changements!$D:$D,B667),"")))</f>
        <v/>
      </c>
      <c r="I667" s="17" t="str">
        <f>IF(M667=0,"",IFERROR(_xlfn.MAXIFS(Changements!$B:$B,Changements!$A:$A,A667,Changements!$C:$C,B667),""))</f>
        <v/>
      </c>
      <c r="J667" s="5" t="str">
        <f t="shared" si="51"/>
        <v/>
      </c>
      <c r="K667" s="17">
        <f t="shared" si="52"/>
        <v>0</v>
      </c>
      <c r="L667" s="17">
        <f>IF(B667="",0,COUNTIFS(Changements!$A:$A,A667,Changements!$D:$D,B667)+IF(E667="Oui",1,0))</f>
        <v>0</v>
      </c>
      <c r="M667" s="17">
        <f>IF(B667="",0,COUNTIFS(Changements!$A:$A,A667,Changements!$C:$C,B667))</f>
        <v>0</v>
      </c>
      <c r="N667" s="17">
        <f>IF(B667="",0,SUMIFS(Changements!$B:$B,Changements!$A:$A,A667,Changements!$D:$D,B667))</f>
        <v>0</v>
      </c>
      <c r="O667" s="17">
        <f>IF(B667="",0,SUMIFS(Changements!$B:$B,Changements!$A:$A,A667,Changements!$C:$C,B667)+IF(L667&gt;M667,IFERROR(INDEX(Matchs!$F$4:$F$31,MATCH(A667,Matchs!$A$4:$A$31,0)),0),0))</f>
        <v>0</v>
      </c>
      <c r="P667" s="17">
        <f t="shared" si="53"/>
        <v>0</v>
      </c>
      <c r="Q667" s="17">
        <f t="shared" si="54"/>
        <v>0</v>
      </c>
    </row>
    <row r="668" spans="1:17" ht="15" customHeight="1" x14ac:dyDescent="0.25">
      <c r="A668" s="5">
        <f t="shared" si="50"/>
        <v>28</v>
      </c>
      <c r="B668" s="5" t="str">
        <f>INDEX('Effectif Saison'!$E$4:$E$22,17)</f>
        <v>Malo KELLER</v>
      </c>
      <c r="C668" s="4"/>
      <c r="D668" s="4"/>
      <c r="E668" s="4"/>
      <c r="F668" s="17" t="str">
        <f>IF(B668="","",IF(AND(E668="Oui",COUNTIFS(Changements!$A:$A,A668,Changements!$D:$D,B668)&gt;0),"⚠ Titulaire+entrée ?",IF(ABS(L668-M668)&gt;1,"⚠ vérifier","")))</f>
        <v/>
      </c>
      <c r="G668" s="5" t="str">
        <f>IF(B668="","",IFERROR(INDEX('Effectif Saison'!$D$4:$D$51,MATCH(B668,'Effectif Saison'!$E$4:$E$51,0)),""))</f>
        <v>Équipe 1</v>
      </c>
      <c r="H668" s="17" t="str">
        <f>IF(L668=0,"",IF(E668="Oui",0,IFERROR(_xlfn.MINIFS(Changements!$B:$B,Changements!$A:$A,A668,Changements!$D:$D,B668),"")))</f>
        <v/>
      </c>
      <c r="I668" s="17" t="str">
        <f>IF(M668=0,"",IFERROR(_xlfn.MAXIFS(Changements!$B:$B,Changements!$A:$A,A668,Changements!$C:$C,B668),""))</f>
        <v/>
      </c>
      <c r="J668" s="5" t="str">
        <f t="shared" si="51"/>
        <v/>
      </c>
      <c r="K668" s="17">
        <f t="shared" si="52"/>
        <v>0</v>
      </c>
      <c r="L668" s="17">
        <f>IF(B668="",0,COUNTIFS(Changements!$A:$A,A668,Changements!$D:$D,B668)+IF(E668="Oui",1,0))</f>
        <v>0</v>
      </c>
      <c r="M668" s="17">
        <f>IF(B668="",0,COUNTIFS(Changements!$A:$A,A668,Changements!$C:$C,B668))</f>
        <v>0</v>
      </c>
      <c r="N668" s="17">
        <f>IF(B668="",0,SUMIFS(Changements!$B:$B,Changements!$A:$A,A668,Changements!$D:$D,B668))</f>
        <v>0</v>
      </c>
      <c r="O668" s="17">
        <f>IF(B668="",0,SUMIFS(Changements!$B:$B,Changements!$A:$A,A668,Changements!$C:$C,B668)+IF(L668&gt;M668,IFERROR(INDEX(Matchs!$F$4:$F$31,MATCH(A668,Matchs!$A$4:$A$31,0)),0),0))</f>
        <v>0</v>
      </c>
      <c r="P668" s="17">
        <f t="shared" si="53"/>
        <v>0</v>
      </c>
      <c r="Q668" s="17">
        <f t="shared" si="54"/>
        <v>0</v>
      </c>
    </row>
    <row r="669" spans="1:17" ht="15" customHeight="1" x14ac:dyDescent="0.25">
      <c r="A669" s="5">
        <f t="shared" si="50"/>
        <v>28</v>
      </c>
      <c r="B669" s="5" t="str">
        <f>INDEX('Effectif Saison'!$E$4:$E$22,18)</f>
        <v>Tom SCHILLER</v>
      </c>
      <c r="C669" s="4"/>
      <c r="D669" s="4"/>
      <c r="E669" s="4"/>
      <c r="F669" s="17" t="str">
        <f>IF(B669="","",IF(AND(E669="Oui",COUNTIFS(Changements!$A:$A,A669,Changements!$D:$D,B669)&gt;0),"⚠ Titulaire+entrée ?",IF(ABS(L669-M669)&gt;1,"⚠ vérifier","")))</f>
        <v/>
      </c>
      <c r="G669" s="5" t="str">
        <f>IF(B669="","",IFERROR(INDEX('Effectif Saison'!$D$4:$D$51,MATCH(B669,'Effectif Saison'!$E$4:$E$51,0)),""))</f>
        <v>Équipe 1</v>
      </c>
      <c r="H669" s="17" t="str">
        <f>IF(L669=0,"",IF(E669="Oui",0,IFERROR(_xlfn.MINIFS(Changements!$B:$B,Changements!$A:$A,A669,Changements!$D:$D,B669),"")))</f>
        <v/>
      </c>
      <c r="I669" s="17" t="str">
        <f>IF(M669=0,"",IFERROR(_xlfn.MAXIFS(Changements!$B:$B,Changements!$A:$A,A669,Changements!$C:$C,B669),""))</f>
        <v/>
      </c>
      <c r="J669" s="5" t="str">
        <f t="shared" si="51"/>
        <v/>
      </c>
      <c r="K669" s="17">
        <f t="shared" si="52"/>
        <v>0</v>
      </c>
      <c r="L669" s="17">
        <f>IF(B669="",0,COUNTIFS(Changements!$A:$A,A669,Changements!$D:$D,B669)+IF(E669="Oui",1,0))</f>
        <v>0</v>
      </c>
      <c r="M669" s="17">
        <f>IF(B669="",0,COUNTIFS(Changements!$A:$A,A669,Changements!$C:$C,B669))</f>
        <v>0</v>
      </c>
      <c r="N669" s="17">
        <f>IF(B669="",0,SUMIFS(Changements!$B:$B,Changements!$A:$A,A669,Changements!$D:$D,B669))</f>
        <v>0</v>
      </c>
      <c r="O669" s="17">
        <f>IF(B669="",0,SUMIFS(Changements!$B:$B,Changements!$A:$A,A669,Changements!$C:$C,B669)+IF(L669&gt;M669,IFERROR(INDEX(Matchs!$F$4:$F$31,MATCH(A669,Matchs!$A$4:$A$31,0)),0),0))</f>
        <v>0</v>
      </c>
      <c r="P669" s="17">
        <f t="shared" si="53"/>
        <v>0</v>
      </c>
      <c r="Q669" s="17">
        <f t="shared" si="54"/>
        <v>0</v>
      </c>
    </row>
    <row r="670" spans="1:17" ht="15" customHeight="1" x14ac:dyDescent="0.25">
      <c r="A670" s="5">
        <f t="shared" si="50"/>
        <v>28</v>
      </c>
      <c r="B670" s="5" t="str">
        <f>INDEX('Effectif Saison'!$E$4:$E$22,19)</f>
        <v>Eliot LEIBY</v>
      </c>
      <c r="C670" s="4"/>
      <c r="D670" s="4"/>
      <c r="E670" s="4"/>
      <c r="F670" s="17" t="str">
        <f>IF(B670="","",IF(AND(E670="Oui",COUNTIFS(Changements!$A:$A,A670,Changements!$D:$D,B670)&gt;0),"⚠ Titulaire+entrée ?",IF(ABS(L670-M670)&gt;1,"⚠ vérifier","")))</f>
        <v/>
      </c>
      <c r="G670" s="5" t="str">
        <f>IF(B670="","",IFERROR(INDEX('Effectif Saison'!$D$4:$D$51,MATCH(B670,'Effectif Saison'!$E$4:$E$51,0)),""))</f>
        <v>Équipe 1</v>
      </c>
      <c r="H670" s="17" t="str">
        <f>IF(L670=0,"",IF(E670="Oui",0,IFERROR(_xlfn.MINIFS(Changements!$B:$B,Changements!$A:$A,A670,Changements!$D:$D,B670),"")))</f>
        <v/>
      </c>
      <c r="I670" s="17" t="str">
        <f>IF(M670=0,"",IFERROR(_xlfn.MAXIFS(Changements!$B:$B,Changements!$A:$A,A670,Changements!$C:$C,B670),""))</f>
        <v/>
      </c>
      <c r="J670" s="5" t="str">
        <f t="shared" si="51"/>
        <v/>
      </c>
      <c r="K670" s="17">
        <f t="shared" si="52"/>
        <v>0</v>
      </c>
      <c r="L670" s="17">
        <f>IF(B670="",0,COUNTIFS(Changements!$A:$A,A670,Changements!$D:$D,B670)+IF(E670="Oui",1,0))</f>
        <v>0</v>
      </c>
      <c r="M670" s="17">
        <f>IF(B670="",0,COUNTIFS(Changements!$A:$A,A670,Changements!$C:$C,B670))</f>
        <v>0</v>
      </c>
      <c r="N670" s="17">
        <f>IF(B670="",0,SUMIFS(Changements!$B:$B,Changements!$A:$A,A670,Changements!$D:$D,B670))</f>
        <v>0</v>
      </c>
      <c r="O670" s="17">
        <f>IF(B670="",0,SUMIFS(Changements!$B:$B,Changements!$A:$A,A670,Changements!$C:$C,B670)+IF(L670&gt;M670,IFERROR(INDEX(Matchs!$F$4:$F$31,MATCH(A670,Matchs!$A$4:$A$31,0)),0),0))</f>
        <v>0</v>
      </c>
      <c r="P670" s="17">
        <f t="shared" si="53"/>
        <v>0</v>
      </c>
      <c r="Q670" s="17">
        <f t="shared" si="54"/>
        <v>0</v>
      </c>
    </row>
    <row r="671" spans="1:17" ht="15" customHeight="1" x14ac:dyDescent="0.25">
      <c r="A671" s="5">
        <f t="shared" si="50"/>
        <v>28</v>
      </c>
      <c r="B671" s="4"/>
      <c r="C671" s="4"/>
      <c r="D671" s="4"/>
      <c r="E671" s="4"/>
      <c r="F671" s="17" t="str">
        <f>IF(B671="","",IF(AND(E671="Oui",COUNTIFS(Changements!$A:$A,A671,Changements!$D:$D,B671)&gt;0),"⚠ Titulaire+entrée ?",IF(ABS(L671-M671)&gt;1,"⚠ vérifier","")))</f>
        <v/>
      </c>
      <c r="G671" s="5" t="str">
        <f>IF(B671="","",IFERROR(INDEX('Effectif Saison'!$D$4:$D$51,MATCH(B671,'Effectif Saison'!$E$4:$E$51,0)),""))</f>
        <v/>
      </c>
      <c r="H671" s="17" t="str">
        <f>IF(L671=0,"",IF(E671="Oui",0,IFERROR(_xlfn.MINIFS(Changements!$B:$B,Changements!$A:$A,A671,Changements!$D:$D,B671),"")))</f>
        <v/>
      </c>
      <c r="I671" s="17" t="str">
        <f>IF(M671=0,"",IFERROR(_xlfn.MAXIFS(Changements!$B:$B,Changements!$A:$A,A671,Changements!$C:$C,B671),""))</f>
        <v/>
      </c>
      <c r="J671" s="5" t="str">
        <f t="shared" si="51"/>
        <v/>
      </c>
      <c r="K671" s="17">
        <f t="shared" si="52"/>
        <v>0</v>
      </c>
      <c r="L671" s="17">
        <f>IF(B671="",0,COUNTIFS(Changements!$A:$A,A671,Changements!$D:$D,B671)+IF(E671="Oui",1,0))</f>
        <v>0</v>
      </c>
      <c r="M671" s="17">
        <f>IF(B671="",0,COUNTIFS(Changements!$A:$A,A671,Changements!$C:$C,B671))</f>
        <v>0</v>
      </c>
      <c r="N671" s="17">
        <f>IF(B671="",0,SUMIFS(Changements!$B:$B,Changements!$A:$A,A671,Changements!$D:$D,B671))</f>
        <v>0</v>
      </c>
      <c r="O671" s="17">
        <f>IF(B671="",0,SUMIFS(Changements!$B:$B,Changements!$A:$A,A671,Changements!$C:$C,B671)+IF(L671&gt;M671,IFERROR(INDEX(Matchs!$F$4:$F$31,MATCH(A671,Matchs!$A$4:$A$31,0)),0),0))</f>
        <v>0</v>
      </c>
      <c r="P671" s="17">
        <f t="shared" si="53"/>
        <v>0</v>
      </c>
      <c r="Q671" s="17">
        <f t="shared" si="54"/>
        <v>0</v>
      </c>
    </row>
    <row r="672" spans="1:17" ht="15" customHeight="1" x14ac:dyDescent="0.25">
      <c r="A672" s="5">
        <f t="shared" si="50"/>
        <v>28</v>
      </c>
      <c r="B672" s="4"/>
      <c r="C672" s="4"/>
      <c r="D672" s="4"/>
      <c r="E672" s="4"/>
      <c r="F672" s="17" t="str">
        <f>IF(B672="","",IF(AND(E672="Oui",COUNTIFS(Changements!$A:$A,A672,Changements!$D:$D,B672)&gt;0),"⚠ Titulaire+entrée ?",IF(ABS(L672-M672)&gt;1,"⚠ vérifier","")))</f>
        <v/>
      </c>
      <c r="G672" s="5" t="str">
        <f>IF(B672="","",IFERROR(INDEX('Effectif Saison'!$D$4:$D$51,MATCH(B672,'Effectif Saison'!$E$4:$E$51,0)),""))</f>
        <v/>
      </c>
      <c r="H672" s="17" t="str">
        <f>IF(L672=0,"",IF(E672="Oui",0,IFERROR(_xlfn.MINIFS(Changements!$B:$B,Changements!$A:$A,A672,Changements!$D:$D,B672),"")))</f>
        <v/>
      </c>
      <c r="I672" s="17" t="str">
        <f>IF(M672=0,"",IFERROR(_xlfn.MAXIFS(Changements!$B:$B,Changements!$A:$A,A672,Changements!$C:$C,B672),""))</f>
        <v/>
      </c>
      <c r="J672" s="5" t="str">
        <f t="shared" si="51"/>
        <v/>
      </c>
      <c r="K672" s="17">
        <f t="shared" si="52"/>
        <v>0</v>
      </c>
      <c r="L672" s="17">
        <f>IF(B672="",0,COUNTIFS(Changements!$A:$A,A672,Changements!$D:$D,B672)+IF(E672="Oui",1,0))</f>
        <v>0</v>
      </c>
      <c r="M672" s="17">
        <f>IF(B672="",0,COUNTIFS(Changements!$A:$A,A672,Changements!$C:$C,B672))</f>
        <v>0</v>
      </c>
      <c r="N672" s="17">
        <f>IF(B672="",0,SUMIFS(Changements!$B:$B,Changements!$A:$A,A672,Changements!$D:$D,B672))</f>
        <v>0</v>
      </c>
      <c r="O672" s="17">
        <f>IF(B672="",0,SUMIFS(Changements!$B:$B,Changements!$A:$A,A672,Changements!$C:$C,B672)+IF(L672&gt;M672,IFERROR(INDEX(Matchs!$F$4:$F$31,MATCH(A672,Matchs!$A$4:$A$31,0)),0),0))</f>
        <v>0</v>
      </c>
      <c r="P672" s="17">
        <f t="shared" si="53"/>
        <v>0</v>
      </c>
      <c r="Q672" s="17">
        <f t="shared" si="54"/>
        <v>0</v>
      </c>
    </row>
    <row r="673" spans="1:17" ht="15" customHeight="1" x14ac:dyDescent="0.25">
      <c r="A673" s="5">
        <f t="shared" si="50"/>
        <v>28</v>
      </c>
      <c r="B673" s="4"/>
      <c r="C673" s="4"/>
      <c r="D673" s="4"/>
      <c r="E673" s="4"/>
      <c r="F673" s="17" t="str">
        <f>IF(B673="","",IF(AND(E673="Oui",COUNTIFS(Changements!$A:$A,A673,Changements!$D:$D,B673)&gt;0),"⚠ Titulaire+entrée ?",IF(ABS(L673-M673)&gt;1,"⚠ vérifier","")))</f>
        <v/>
      </c>
      <c r="G673" s="5" t="str">
        <f>IF(B673="","",IFERROR(INDEX('Effectif Saison'!$D$4:$D$51,MATCH(B673,'Effectif Saison'!$E$4:$E$51,0)),""))</f>
        <v/>
      </c>
      <c r="H673" s="17" t="str">
        <f>IF(L673=0,"",IF(E673="Oui",0,IFERROR(_xlfn.MINIFS(Changements!$B:$B,Changements!$A:$A,A673,Changements!$D:$D,B673),"")))</f>
        <v/>
      </c>
      <c r="I673" s="17" t="str">
        <f>IF(M673=0,"",IFERROR(_xlfn.MAXIFS(Changements!$B:$B,Changements!$A:$A,A673,Changements!$C:$C,B673),""))</f>
        <v/>
      </c>
      <c r="J673" s="5" t="str">
        <f t="shared" si="51"/>
        <v/>
      </c>
      <c r="K673" s="17">
        <f t="shared" si="52"/>
        <v>0</v>
      </c>
      <c r="L673" s="17">
        <f>IF(B673="",0,COUNTIFS(Changements!$A:$A,A673,Changements!$D:$D,B673)+IF(E673="Oui",1,0))</f>
        <v>0</v>
      </c>
      <c r="M673" s="17">
        <f>IF(B673="",0,COUNTIFS(Changements!$A:$A,A673,Changements!$C:$C,B673))</f>
        <v>0</v>
      </c>
      <c r="N673" s="17">
        <f>IF(B673="",0,SUMIFS(Changements!$B:$B,Changements!$A:$A,A673,Changements!$D:$D,B673))</f>
        <v>0</v>
      </c>
      <c r="O673" s="17">
        <f>IF(B673="",0,SUMIFS(Changements!$B:$B,Changements!$A:$A,A673,Changements!$C:$C,B673)+IF(L673&gt;M673,IFERROR(INDEX(Matchs!$F$4:$F$31,MATCH(A673,Matchs!$A$4:$A$31,0)),0),0))</f>
        <v>0</v>
      </c>
      <c r="P673" s="17">
        <f t="shared" si="53"/>
        <v>0</v>
      </c>
      <c r="Q673" s="17">
        <f t="shared" si="54"/>
        <v>0</v>
      </c>
    </row>
    <row r="674" spans="1:17" ht="15" customHeight="1" x14ac:dyDescent="0.25">
      <c r="A674" s="5">
        <f t="shared" si="50"/>
        <v>28</v>
      </c>
      <c r="B674" s="4"/>
      <c r="C674" s="4"/>
      <c r="D674" s="4"/>
      <c r="E674" s="4"/>
      <c r="F674" s="17" t="str">
        <f>IF(B674="","",IF(AND(E674="Oui",COUNTIFS(Changements!$A:$A,A674,Changements!$D:$D,B674)&gt;0),"⚠ Titulaire+entrée ?",IF(ABS(L674-M674)&gt;1,"⚠ vérifier","")))</f>
        <v/>
      </c>
      <c r="G674" s="5" t="str">
        <f>IF(B674="","",IFERROR(INDEX('Effectif Saison'!$D$4:$D$51,MATCH(B674,'Effectif Saison'!$E$4:$E$51,0)),""))</f>
        <v/>
      </c>
      <c r="H674" s="17" t="str">
        <f>IF(L674=0,"",IF(E674="Oui",0,IFERROR(_xlfn.MINIFS(Changements!$B:$B,Changements!$A:$A,A674,Changements!$D:$D,B674),"")))</f>
        <v/>
      </c>
      <c r="I674" s="17" t="str">
        <f>IF(M674=0,"",IFERROR(_xlfn.MAXIFS(Changements!$B:$B,Changements!$A:$A,A674,Changements!$C:$C,B674),""))</f>
        <v/>
      </c>
      <c r="J674" s="5" t="str">
        <f t="shared" si="51"/>
        <v/>
      </c>
      <c r="K674" s="17">
        <f t="shared" si="52"/>
        <v>0</v>
      </c>
      <c r="L674" s="17">
        <f>IF(B674="",0,COUNTIFS(Changements!$A:$A,A674,Changements!$D:$D,B674)+IF(E674="Oui",1,0))</f>
        <v>0</v>
      </c>
      <c r="M674" s="17">
        <f>IF(B674="",0,COUNTIFS(Changements!$A:$A,A674,Changements!$C:$C,B674))</f>
        <v>0</v>
      </c>
      <c r="N674" s="17">
        <f>IF(B674="",0,SUMIFS(Changements!$B:$B,Changements!$A:$A,A674,Changements!$D:$D,B674))</f>
        <v>0</v>
      </c>
      <c r="O674" s="17">
        <f>IF(B674="",0,SUMIFS(Changements!$B:$B,Changements!$A:$A,A674,Changements!$C:$C,B674)+IF(L674&gt;M674,IFERROR(INDEX(Matchs!$F$4:$F$31,MATCH(A674,Matchs!$A$4:$A$31,0)),0),0))</f>
        <v>0</v>
      </c>
      <c r="P674" s="17">
        <f t="shared" si="53"/>
        <v>0</v>
      </c>
      <c r="Q674" s="17">
        <f t="shared" si="54"/>
        <v>0</v>
      </c>
    </row>
    <row r="675" spans="1:17" ht="15" customHeight="1" x14ac:dyDescent="0.25">
      <c r="A675" s="5">
        <f t="shared" si="50"/>
        <v>28</v>
      </c>
      <c r="B675" s="4"/>
      <c r="C675" s="4"/>
      <c r="D675" s="4"/>
      <c r="E675" s="4"/>
      <c r="F675" s="17" t="str">
        <f>IF(B675="","",IF(AND(E675="Oui",COUNTIFS(Changements!$A:$A,A675,Changements!$D:$D,B675)&gt;0),"⚠ Titulaire+entrée ?",IF(ABS(L675-M675)&gt;1,"⚠ vérifier","")))</f>
        <v/>
      </c>
      <c r="G675" s="5" t="str">
        <f>IF(B675="","",IFERROR(INDEX('Effectif Saison'!$D$4:$D$51,MATCH(B675,'Effectif Saison'!$E$4:$E$51,0)),""))</f>
        <v/>
      </c>
      <c r="H675" s="17" t="str">
        <f>IF(L675=0,"",IF(E675="Oui",0,IFERROR(_xlfn.MINIFS(Changements!$B:$B,Changements!$A:$A,A675,Changements!$D:$D,B675),"")))</f>
        <v/>
      </c>
      <c r="I675" s="17" t="str">
        <f>IF(M675=0,"",IFERROR(_xlfn.MAXIFS(Changements!$B:$B,Changements!$A:$A,A675,Changements!$C:$C,B675),""))</f>
        <v/>
      </c>
      <c r="J675" s="5" t="str">
        <f t="shared" si="51"/>
        <v/>
      </c>
      <c r="K675" s="17">
        <f t="shared" si="52"/>
        <v>0</v>
      </c>
      <c r="L675" s="17">
        <f>IF(B675="",0,COUNTIFS(Changements!$A:$A,A675,Changements!$D:$D,B675)+IF(E675="Oui",1,0))</f>
        <v>0</v>
      </c>
      <c r="M675" s="17">
        <f>IF(B675="",0,COUNTIFS(Changements!$A:$A,A675,Changements!$C:$C,B675))</f>
        <v>0</v>
      </c>
      <c r="N675" s="17">
        <f>IF(B675="",0,SUMIFS(Changements!$B:$B,Changements!$A:$A,A675,Changements!$D:$D,B675))</f>
        <v>0</v>
      </c>
      <c r="O675" s="17">
        <f>IF(B675="",0,SUMIFS(Changements!$B:$B,Changements!$A:$A,A675,Changements!$C:$C,B675)+IF(L675&gt;M675,IFERROR(INDEX(Matchs!$F$4:$F$31,MATCH(A675,Matchs!$A$4:$A$31,0)),0),0))</f>
        <v>0</v>
      </c>
      <c r="P675" s="17">
        <f t="shared" si="53"/>
        <v>0</v>
      </c>
      <c r="Q675" s="17">
        <f t="shared" si="54"/>
        <v>0</v>
      </c>
    </row>
  </sheetData>
  <mergeCells count="2">
    <mergeCell ref="A1:J1"/>
    <mergeCell ref="A2:J2"/>
  </mergeCells>
  <conditionalFormatting sqref="G4:G500">
    <cfRule type="cellIs" dxfId="1" priority="2" operator="equal">
      <formula>"Équipe 1"</formula>
    </cfRule>
  </conditionalFormatting>
  <dataValidations count="3">
    <dataValidation type="list" allowBlank="1" sqref="C4:C675 E4:E675" xr:uid="{00000000-0002-0000-0700-000000000000}">
      <formula1>"Oui,Non"</formula1>
      <formula2>0</formula2>
    </dataValidation>
    <dataValidation type="list" allowBlank="1" sqref="F4:F675" xr:uid="{00000000-0002-0000-0700-000001000000}">
      <formula1>"1,2,3,4,5"</formula1>
      <formula2>0</formula2>
    </dataValidation>
    <dataValidation type="list" allowBlank="1" sqref="D4:D675" xr:uid="{00000000-0002-0000-0700-000002000000}">
      <formula1>"Non retenu,Blessé/malade,Pas venu à l'entraînement,Autre"</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xr:uid="{00000000-0002-0000-0700-000001000000}">
          <x14:formula1>
            <xm:f>'Effectif Saison'!$E$4:$E$51</xm:f>
          </x14:formula1>
          <x14:formula2>
            <xm:f>0</xm:f>
          </x14:formula2>
          <xm:sqref>B23:B27 B47:B51 B71:B75 B95:B99 B119:B123 B143:B147 B167:B171 B191:B195 B215:B219 B239:B243 B263:B267 B287:B291 B311:B315 B335:B339 B359:B363 B383:B387 B407:B411 B431:B435 B455:B459 B479:B483 B503:B507 B527:B531 B551:B555 B575:B579 B599:B603 B623:B627 B647:B651 B671:B675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52"/>
  <sheetViews>
    <sheetView showGridLines="0" zoomScaleNormal="100" workbookViewId="0">
      <pane ySplit="4" topLeftCell="A5" activePane="bottomLeft" state="frozen"/>
      <selection pane="bottomLeft" sqref="A1:K1"/>
    </sheetView>
  </sheetViews>
  <sheetFormatPr baseColWidth="10" defaultColWidth="8.7109375" defaultRowHeight="15" x14ac:dyDescent="0.25"/>
  <cols>
    <col min="1" max="1" width="22" customWidth="1"/>
    <col min="2" max="2" width="12" customWidth="1"/>
    <col min="3" max="3" width="14" customWidth="1"/>
    <col min="4" max="4" width="10" customWidth="1"/>
    <col min="5" max="5" width="12" customWidth="1"/>
    <col min="6" max="7" width="14" customWidth="1"/>
    <col min="8" max="8" width="18" customWidth="1"/>
    <col min="9" max="10" width="16" customWidth="1"/>
    <col min="11" max="11" width="20" customWidth="1"/>
    <col min="12" max="12" width="13" customWidth="1"/>
    <col min="13" max="13" width="14" customWidth="1"/>
    <col min="14" max="14" width="16" customWidth="1"/>
    <col min="15" max="16" width="18" customWidth="1"/>
    <col min="17" max="17" width="16" customWidth="1"/>
    <col min="18" max="18" width="18" customWidth="1"/>
    <col min="19" max="19" width="22" customWidth="1"/>
    <col min="20" max="21" width="14" customWidth="1"/>
    <col min="22" max="22" width="13" customWidth="1"/>
    <col min="23" max="23" width="18" customWidth="1"/>
    <col min="25" max="25" width="30" customWidth="1"/>
  </cols>
  <sheetData>
    <row r="1" spans="1:25" ht="21.75" customHeight="1" x14ac:dyDescent="0.25">
      <c r="A1" s="21" t="s">
        <v>181</v>
      </c>
      <c r="B1" s="21"/>
      <c r="C1" s="21"/>
      <c r="D1" s="21"/>
      <c r="E1" s="21"/>
      <c r="F1" s="21"/>
      <c r="G1" s="21"/>
      <c r="H1" s="21"/>
      <c r="I1" s="21"/>
      <c r="J1" s="21"/>
      <c r="K1" s="21"/>
      <c r="Y1" s="3" t="s">
        <v>182</v>
      </c>
    </row>
    <row r="2" spans="1:25" ht="15" customHeight="1" x14ac:dyDescent="0.25">
      <c r="A2" s="24" t="s">
        <v>183</v>
      </c>
      <c r="B2" s="24"/>
      <c r="C2" s="24"/>
      <c r="D2" s="24"/>
      <c r="E2" s="24"/>
      <c r="F2" s="24"/>
      <c r="G2" s="24"/>
      <c r="H2" s="24"/>
      <c r="I2" s="24"/>
      <c r="J2" s="24"/>
      <c r="K2" s="24"/>
      <c r="Y2" s="5">
        <f>COUNTIFS(Matchs!$B$4:$B$31,"&lt;&gt;")</f>
        <v>0</v>
      </c>
    </row>
    <row r="4" spans="1:25" ht="23.25" customHeight="1" x14ac:dyDescent="0.25">
      <c r="A4" s="9" t="s">
        <v>149</v>
      </c>
      <c r="B4" s="9" t="s">
        <v>38</v>
      </c>
      <c r="C4" s="9" t="s">
        <v>184</v>
      </c>
      <c r="D4" s="9" t="s">
        <v>9</v>
      </c>
      <c r="E4" s="9" t="s">
        <v>185</v>
      </c>
      <c r="F4" s="9" t="s">
        <v>186</v>
      </c>
      <c r="G4" s="9" t="s">
        <v>187</v>
      </c>
      <c r="H4" s="9" t="s">
        <v>188</v>
      </c>
      <c r="I4" s="9" t="s">
        <v>189</v>
      </c>
      <c r="J4" s="9" t="s">
        <v>190</v>
      </c>
      <c r="K4" s="9" t="s">
        <v>191</v>
      </c>
      <c r="L4" s="12" t="s">
        <v>192</v>
      </c>
      <c r="M4" s="12" t="s">
        <v>193</v>
      </c>
      <c r="N4" s="12" t="s">
        <v>194</v>
      </c>
      <c r="O4" s="12" t="s">
        <v>195</v>
      </c>
      <c r="P4" s="12" t="s">
        <v>196</v>
      </c>
      <c r="Q4" s="12" t="s">
        <v>197</v>
      </c>
      <c r="R4" s="12" t="s">
        <v>198</v>
      </c>
      <c r="S4" s="12" t="s">
        <v>199</v>
      </c>
      <c r="T4" s="12" t="s">
        <v>200</v>
      </c>
      <c r="U4" s="12" t="s">
        <v>201</v>
      </c>
      <c r="V4" s="12" t="s">
        <v>202</v>
      </c>
      <c r="W4" s="12" t="s">
        <v>203</v>
      </c>
    </row>
    <row r="5" spans="1:25" ht="15" customHeight="1" x14ac:dyDescent="0.25">
      <c r="A5" s="11" t="str">
        <f>'Effectif Saison'!E4</f>
        <v>Alan MICHON</v>
      </c>
      <c r="B5" s="11" t="str">
        <f>'Effectif Saison'!D4</f>
        <v>Équipe 1</v>
      </c>
      <c r="C5" s="11">
        <f>IF(A5="","",SUMIFS('Convocations &amp; Temps de jeu'!$K$4:$K$675,'Convocations &amp; Temps de jeu'!$B$4:$B$675,A5))</f>
        <v>0</v>
      </c>
      <c r="D5" s="11">
        <f>IF(A5="","",COUNTIF(Buts!$C$4:$C$151,A5))</f>
        <v>0</v>
      </c>
      <c r="E5" s="11">
        <f>IF(A5="","",COUNTIFS(Buts!$C$4:$C$151,A5,Buts!$F$4:$F$151,"Tête"))</f>
        <v>0</v>
      </c>
      <c r="F5" s="11">
        <f>IF(A5="","",COUNTIFS(Buts!$C$4:$C$151,A5,Buts!$F$4:$F$151,"Penalty"))</f>
        <v>0</v>
      </c>
      <c r="G5" s="11">
        <f>IF(A5="","",COUNTIFS(Buts!$C$4:$C$151,A5,Buts!$F$4:$F$151,"Coup franc"))</f>
        <v>0</v>
      </c>
      <c r="H5" s="11">
        <f>IF(A5="","",COUNTIF(Buts!$D$4:$D$151,A5))</f>
        <v>0</v>
      </c>
      <c r="I5" s="11">
        <f>IF(A5="","",COUNTIFS(Cartons!$C$4:$C$121,A5,Cartons!$E$4:$E$121,"Jaune"))</f>
        <v>0</v>
      </c>
      <c r="J5" s="11">
        <f>IF(A5="","",COUNTIFS(Cartons!$C$4:$C$121,A5,Cartons!$E$4:$E$121,"Rouge"))</f>
        <v>0</v>
      </c>
      <c r="K5" s="11">
        <f>IF(A5="","",SUMIFS('Convocations &amp; Temps de jeu'!$J$4:$J$675,'Convocations &amp; Temps de jeu'!$B$4:$B$675,A5))</f>
        <v>0</v>
      </c>
      <c r="L5" s="5">
        <f>IF($A5="","",SUMIFS('Convocations &amp; Temps de jeu'!$P$4:$P$675,'Convocations &amp; Temps de jeu'!$B$4:$B$675,$A5))</f>
        <v>0</v>
      </c>
      <c r="M5" s="5">
        <f>IF($A5="","",SUMIFS('Convocations &amp; Temps de jeu'!$Q$4:$Q$675,'Convocations &amp; Temps de jeu'!$B$4:$B$675,$A5))</f>
        <v>0</v>
      </c>
      <c r="N5" s="16" t="str">
        <f t="shared" ref="N5:N52" si="0">IF(OR($A5="",$Y$2=0),"",L5/$Y$2)</f>
        <v/>
      </c>
      <c r="O5" s="16" t="str">
        <f t="shared" ref="O5:O52" si="1">IF(OR($A5="",L5=0),"",M5/L5)</f>
        <v/>
      </c>
      <c r="P5" s="20" t="str">
        <f t="shared" ref="P5:P52" si="2">IF(OR($A5="",C5=0,C5=""),"",K5/C5)</f>
        <v/>
      </c>
      <c r="Q5" s="5">
        <f>IF($A5="","",COUNTIFS('Convocations &amp; Temps de jeu'!$B$4:$B$675,$A5,'Convocations &amp; Temps de jeu'!$D$4:$D$675,"Non retenu"))</f>
        <v>0</v>
      </c>
      <c r="R5" s="5">
        <f>IF($A5="","",COUNTIFS('Convocations &amp; Temps de jeu'!$B$4:$B$675,$A5,'Convocations &amp; Temps de jeu'!$D$4:$D$675,"Blessé/malade"))</f>
        <v>0</v>
      </c>
      <c r="S5" s="5">
        <f>IF($A5="","",COUNTIFS('Convocations &amp; Temps de jeu'!$B$4:$B$675,$A5,'Convocations &amp; Temps de jeu'!$D$4:$D$675,"Pas venu à l'entraînement"))</f>
        <v>0</v>
      </c>
      <c r="T5" s="5">
        <f>IF($A5="","",COUNTIFS('Convocations &amp; Temps de jeu'!$B$4:$B$675,$A5,'Convocations &amp; Temps de jeu'!$D$4:$D$675,"Autre"))</f>
        <v>0</v>
      </c>
      <c r="U5" s="5">
        <f>IF($A5="","",COUNTIFS(Gardien!$B$4:$B$500,$A5))</f>
        <v>0</v>
      </c>
      <c r="V5" s="5">
        <f>IF($A5="","",COUNTIFS(Gardien!$B$4:$B$500,$A5,Gardien!$D$4:$D$500,"Oui"))</f>
        <v>0</v>
      </c>
      <c r="W5" s="5">
        <f>IF($A5="","",SUMIFS(Gardien!$C$4:$C$500,Gardien!$B$4:$B$500,$A5))</f>
        <v>0</v>
      </c>
    </row>
    <row r="6" spans="1:25" ht="15" customHeight="1" x14ac:dyDescent="0.25">
      <c r="A6" s="11" t="str">
        <f>'Effectif Saison'!E5</f>
        <v>Jean BRUNTZ</v>
      </c>
      <c r="B6" s="11" t="str">
        <f>'Effectif Saison'!D5</f>
        <v>Équipe 1</v>
      </c>
      <c r="C6" s="11">
        <f>IF(A6="","",SUMIFS('Convocations &amp; Temps de jeu'!$K$4:$K$675,'Convocations &amp; Temps de jeu'!$B$4:$B$675,A6))</f>
        <v>0</v>
      </c>
      <c r="D6" s="11">
        <f>IF(A6="","",COUNTIF(Buts!$C$4:$C$151,A6))</f>
        <v>0</v>
      </c>
      <c r="E6" s="11">
        <f>IF(A6="","",COUNTIFS(Buts!$C$4:$C$151,A6,Buts!$F$4:$F$151,"Tête"))</f>
        <v>0</v>
      </c>
      <c r="F6" s="11">
        <f>IF(A6="","",COUNTIFS(Buts!$C$4:$C$151,A6,Buts!$F$4:$F$151,"Penalty"))</f>
        <v>0</v>
      </c>
      <c r="G6" s="11">
        <f>IF(A6="","",COUNTIFS(Buts!$C$4:$C$151,A6,Buts!$F$4:$F$151,"Coup franc"))</f>
        <v>0</v>
      </c>
      <c r="H6" s="11">
        <f>IF(A6="","",COUNTIF(Buts!$D$4:$D$151,A6))</f>
        <v>0</v>
      </c>
      <c r="I6" s="11">
        <f>IF(A6="","",COUNTIFS(Cartons!$C$4:$C$121,A6,Cartons!$E$4:$E$121,"Jaune"))</f>
        <v>0</v>
      </c>
      <c r="J6" s="11">
        <f>IF(A6="","",COUNTIFS(Cartons!$C$4:$C$121,A6,Cartons!$E$4:$E$121,"Rouge"))</f>
        <v>0</v>
      </c>
      <c r="K6" s="11">
        <f>IF(A6="","",SUMIFS('Convocations &amp; Temps de jeu'!$J$4:$J$675,'Convocations &amp; Temps de jeu'!$B$4:$B$675,A6))</f>
        <v>0</v>
      </c>
      <c r="L6" s="5">
        <f>IF($A6="","",SUMIFS('Convocations &amp; Temps de jeu'!$P$4:$P$675,'Convocations &amp; Temps de jeu'!$B$4:$B$675,$A6))</f>
        <v>0</v>
      </c>
      <c r="M6" s="5">
        <f>IF($A6="","",SUMIFS('Convocations &amp; Temps de jeu'!$Q$4:$Q$675,'Convocations &amp; Temps de jeu'!$B$4:$B$675,$A6))</f>
        <v>0</v>
      </c>
      <c r="N6" s="16" t="str">
        <f t="shared" si="0"/>
        <v/>
      </c>
      <c r="O6" s="16" t="str">
        <f t="shared" si="1"/>
        <v/>
      </c>
      <c r="P6" s="20" t="str">
        <f t="shared" si="2"/>
        <v/>
      </c>
      <c r="Q6" s="5">
        <f>IF($A6="","",COUNTIFS('Convocations &amp; Temps de jeu'!$B$4:$B$675,$A6,'Convocations &amp; Temps de jeu'!$D$4:$D$675,"Non retenu"))</f>
        <v>0</v>
      </c>
      <c r="R6" s="5">
        <f>IF($A6="","",COUNTIFS('Convocations &amp; Temps de jeu'!$B$4:$B$675,$A6,'Convocations &amp; Temps de jeu'!$D$4:$D$675,"Blessé/malade"))</f>
        <v>0</v>
      </c>
      <c r="S6" s="5">
        <f>IF($A6="","",COUNTIFS('Convocations &amp; Temps de jeu'!$B$4:$B$675,$A6,'Convocations &amp; Temps de jeu'!$D$4:$D$675,"Pas venu à l'entraînement"))</f>
        <v>0</v>
      </c>
      <c r="T6" s="5">
        <f>IF($A6="","",COUNTIFS('Convocations &amp; Temps de jeu'!$B$4:$B$675,$A6,'Convocations &amp; Temps de jeu'!$D$4:$D$675,"Autre"))</f>
        <v>0</v>
      </c>
      <c r="U6" s="5">
        <f>IF($A6="","",COUNTIFS(Gardien!$B$4:$B$500,$A6))</f>
        <v>0</v>
      </c>
      <c r="V6" s="5">
        <f>IF($A6="","",COUNTIFS(Gardien!$B$4:$B$500,$A6,Gardien!$D$4:$D$500,"Oui"))</f>
        <v>0</v>
      </c>
      <c r="W6" s="5">
        <f>IF($A6="","",SUMIFS(Gardien!$C$4:$C$500,Gardien!$B$4:$B$500,$A6))</f>
        <v>0</v>
      </c>
    </row>
    <row r="7" spans="1:25" ht="15" customHeight="1" x14ac:dyDescent="0.25">
      <c r="A7" s="11" t="str">
        <f>'Effectif Saison'!E6</f>
        <v>Marouane SBK</v>
      </c>
      <c r="B7" s="11" t="str">
        <f>'Effectif Saison'!D6</f>
        <v>Équipe 1</v>
      </c>
      <c r="C7" s="11">
        <f>IF(A7="","",SUMIFS('Convocations &amp; Temps de jeu'!$K$4:$K$675,'Convocations &amp; Temps de jeu'!$B$4:$B$675,A7))</f>
        <v>0</v>
      </c>
      <c r="D7" s="11">
        <f>IF(A7="","",COUNTIF(Buts!$C$4:$C$151,A7))</f>
        <v>0</v>
      </c>
      <c r="E7" s="11">
        <f>IF(A7="","",COUNTIFS(Buts!$C$4:$C$151,A7,Buts!$F$4:$F$151,"Tête"))</f>
        <v>0</v>
      </c>
      <c r="F7" s="11">
        <f>IF(A7="","",COUNTIFS(Buts!$C$4:$C$151,A7,Buts!$F$4:$F$151,"Penalty"))</f>
        <v>0</v>
      </c>
      <c r="G7" s="11">
        <f>IF(A7="","",COUNTIFS(Buts!$C$4:$C$151,A7,Buts!$F$4:$F$151,"Coup franc"))</f>
        <v>0</v>
      </c>
      <c r="H7" s="11">
        <f>IF(A7="","",COUNTIF(Buts!$D$4:$D$151,A7))</f>
        <v>0</v>
      </c>
      <c r="I7" s="11">
        <f>IF(A7="","",COUNTIFS(Cartons!$C$4:$C$121,A7,Cartons!$E$4:$E$121,"Jaune"))</f>
        <v>0</v>
      </c>
      <c r="J7" s="11">
        <f>IF(A7="","",COUNTIFS(Cartons!$C$4:$C$121,A7,Cartons!$E$4:$E$121,"Rouge"))</f>
        <v>0</v>
      </c>
      <c r="K7" s="11">
        <f>IF(A7="","",SUMIFS('Convocations &amp; Temps de jeu'!$J$4:$J$675,'Convocations &amp; Temps de jeu'!$B$4:$B$675,A7))</f>
        <v>0</v>
      </c>
      <c r="L7" s="5">
        <f>IF($A7="","",SUMIFS('Convocations &amp; Temps de jeu'!$P$4:$P$675,'Convocations &amp; Temps de jeu'!$B$4:$B$675,$A7))</f>
        <v>0</v>
      </c>
      <c r="M7" s="5">
        <f>IF($A7="","",SUMIFS('Convocations &amp; Temps de jeu'!$Q$4:$Q$675,'Convocations &amp; Temps de jeu'!$B$4:$B$675,$A7))</f>
        <v>0</v>
      </c>
      <c r="N7" s="16" t="str">
        <f t="shared" si="0"/>
        <v/>
      </c>
      <c r="O7" s="16" t="str">
        <f t="shared" si="1"/>
        <v/>
      </c>
      <c r="P7" s="20" t="str">
        <f t="shared" si="2"/>
        <v/>
      </c>
      <c r="Q7" s="5">
        <f>IF($A7="","",COUNTIFS('Convocations &amp; Temps de jeu'!$B$4:$B$675,$A7,'Convocations &amp; Temps de jeu'!$D$4:$D$675,"Non retenu"))</f>
        <v>0</v>
      </c>
      <c r="R7" s="5">
        <f>IF($A7="","",COUNTIFS('Convocations &amp; Temps de jeu'!$B$4:$B$675,$A7,'Convocations &amp; Temps de jeu'!$D$4:$D$675,"Blessé/malade"))</f>
        <v>0</v>
      </c>
      <c r="S7" s="5">
        <f>IF($A7="","",COUNTIFS('Convocations &amp; Temps de jeu'!$B$4:$B$675,$A7,'Convocations &amp; Temps de jeu'!$D$4:$D$675,"Pas venu à l'entraînement"))</f>
        <v>0</v>
      </c>
      <c r="T7" s="5">
        <f>IF($A7="","",COUNTIFS('Convocations &amp; Temps de jeu'!$B$4:$B$675,$A7,'Convocations &amp; Temps de jeu'!$D$4:$D$675,"Autre"))</f>
        <v>0</v>
      </c>
      <c r="U7" s="5">
        <f>IF($A7="","",COUNTIFS(Gardien!$B$4:$B$500,$A7))</f>
        <v>0</v>
      </c>
      <c r="V7" s="5">
        <f>IF($A7="","",COUNTIFS(Gardien!$B$4:$B$500,$A7,Gardien!$D$4:$D$500,"Oui"))</f>
        <v>0</v>
      </c>
      <c r="W7" s="5">
        <f>IF($A7="","",SUMIFS(Gardien!$C$4:$C$500,Gardien!$B$4:$B$500,$A7))</f>
        <v>0</v>
      </c>
    </row>
    <row r="8" spans="1:25" ht="15" customHeight="1" x14ac:dyDescent="0.25">
      <c r="A8" s="11" t="str">
        <f>'Effectif Saison'!E7</f>
        <v>Noé BIHL</v>
      </c>
      <c r="B8" s="11" t="str">
        <f>'Effectif Saison'!D7</f>
        <v>Équipe 1</v>
      </c>
      <c r="C8" s="11">
        <f>IF(A8="","",SUMIFS('Convocations &amp; Temps de jeu'!$K$4:$K$675,'Convocations &amp; Temps de jeu'!$B$4:$B$675,A8))</f>
        <v>0</v>
      </c>
      <c r="D8" s="11">
        <f>IF(A8="","",COUNTIF(Buts!$C$4:$C$151,A8))</f>
        <v>0</v>
      </c>
      <c r="E8" s="11">
        <f>IF(A8="","",COUNTIFS(Buts!$C$4:$C$151,A8,Buts!$F$4:$F$151,"Tête"))</f>
        <v>0</v>
      </c>
      <c r="F8" s="11">
        <f>IF(A8="","",COUNTIFS(Buts!$C$4:$C$151,A8,Buts!$F$4:$F$151,"Penalty"))</f>
        <v>0</v>
      </c>
      <c r="G8" s="11">
        <f>IF(A8="","",COUNTIFS(Buts!$C$4:$C$151,A8,Buts!$F$4:$F$151,"Coup franc"))</f>
        <v>0</v>
      </c>
      <c r="H8" s="11">
        <f>IF(A8="","",COUNTIF(Buts!$D$4:$D$151,A8))</f>
        <v>0</v>
      </c>
      <c r="I8" s="11">
        <f>IF(A8="","",COUNTIFS(Cartons!$C$4:$C$121,A8,Cartons!$E$4:$E$121,"Jaune"))</f>
        <v>0</v>
      </c>
      <c r="J8" s="11">
        <f>IF(A8="","",COUNTIFS(Cartons!$C$4:$C$121,A8,Cartons!$E$4:$E$121,"Rouge"))</f>
        <v>0</v>
      </c>
      <c r="K8" s="11">
        <f>IF(A8="","",SUMIFS('Convocations &amp; Temps de jeu'!$J$4:$J$675,'Convocations &amp; Temps de jeu'!$B$4:$B$675,A8))</f>
        <v>0</v>
      </c>
      <c r="L8" s="5">
        <f>IF($A8="","",SUMIFS('Convocations &amp; Temps de jeu'!$P$4:$P$675,'Convocations &amp; Temps de jeu'!$B$4:$B$675,$A8))</f>
        <v>0</v>
      </c>
      <c r="M8" s="5">
        <f>IF($A8="","",SUMIFS('Convocations &amp; Temps de jeu'!$Q$4:$Q$675,'Convocations &amp; Temps de jeu'!$B$4:$B$675,$A8))</f>
        <v>0</v>
      </c>
      <c r="N8" s="16" t="str">
        <f t="shared" si="0"/>
        <v/>
      </c>
      <c r="O8" s="16" t="str">
        <f t="shared" si="1"/>
        <v/>
      </c>
      <c r="P8" s="20" t="str">
        <f t="shared" si="2"/>
        <v/>
      </c>
      <c r="Q8" s="5">
        <f>IF($A8="","",COUNTIFS('Convocations &amp; Temps de jeu'!$B$4:$B$675,$A8,'Convocations &amp; Temps de jeu'!$D$4:$D$675,"Non retenu"))</f>
        <v>0</v>
      </c>
      <c r="R8" s="5">
        <f>IF($A8="","",COUNTIFS('Convocations &amp; Temps de jeu'!$B$4:$B$675,$A8,'Convocations &amp; Temps de jeu'!$D$4:$D$675,"Blessé/malade"))</f>
        <v>0</v>
      </c>
      <c r="S8" s="5">
        <f>IF($A8="","",COUNTIFS('Convocations &amp; Temps de jeu'!$B$4:$B$675,$A8,'Convocations &amp; Temps de jeu'!$D$4:$D$675,"Pas venu à l'entraînement"))</f>
        <v>0</v>
      </c>
      <c r="T8" s="5">
        <f>IF($A8="","",COUNTIFS('Convocations &amp; Temps de jeu'!$B$4:$B$675,$A8,'Convocations &amp; Temps de jeu'!$D$4:$D$675,"Autre"))</f>
        <v>0</v>
      </c>
      <c r="U8" s="5">
        <f>IF($A8="","",COUNTIFS(Gardien!$B$4:$B$500,$A8))</f>
        <v>0</v>
      </c>
      <c r="V8" s="5">
        <f>IF($A8="","",COUNTIFS(Gardien!$B$4:$B$500,$A8,Gardien!$D$4:$D$500,"Oui"))</f>
        <v>0</v>
      </c>
      <c r="W8" s="5">
        <f>IF($A8="","",SUMIFS(Gardien!$C$4:$C$500,Gardien!$B$4:$B$500,$A8))</f>
        <v>0</v>
      </c>
    </row>
    <row r="9" spans="1:25" ht="15" customHeight="1" x14ac:dyDescent="0.25">
      <c r="A9" s="11" t="str">
        <f>'Effectif Saison'!E8</f>
        <v>Luca COLAIANNI</v>
      </c>
      <c r="B9" s="11" t="str">
        <f>'Effectif Saison'!D8</f>
        <v>Équipe 1</v>
      </c>
      <c r="C9" s="11">
        <f>IF(A9="","",SUMIFS('Convocations &amp; Temps de jeu'!$K$4:$K$675,'Convocations &amp; Temps de jeu'!$B$4:$B$675,A9))</f>
        <v>0</v>
      </c>
      <c r="D9" s="11">
        <f>IF(A9="","",COUNTIF(Buts!$C$4:$C$151,A9))</f>
        <v>0</v>
      </c>
      <c r="E9" s="11">
        <f>IF(A9="","",COUNTIFS(Buts!$C$4:$C$151,A9,Buts!$F$4:$F$151,"Tête"))</f>
        <v>0</v>
      </c>
      <c r="F9" s="11">
        <f>IF(A9="","",COUNTIFS(Buts!$C$4:$C$151,A9,Buts!$F$4:$F$151,"Penalty"))</f>
        <v>0</v>
      </c>
      <c r="G9" s="11">
        <f>IF(A9="","",COUNTIFS(Buts!$C$4:$C$151,A9,Buts!$F$4:$F$151,"Coup franc"))</f>
        <v>0</v>
      </c>
      <c r="H9" s="11">
        <f>IF(A9="","",COUNTIF(Buts!$D$4:$D$151,A9))</f>
        <v>0</v>
      </c>
      <c r="I9" s="11">
        <f>IF(A9="","",COUNTIFS(Cartons!$C$4:$C$121,A9,Cartons!$E$4:$E$121,"Jaune"))</f>
        <v>0</v>
      </c>
      <c r="J9" s="11">
        <f>IF(A9="","",COUNTIFS(Cartons!$C$4:$C$121,A9,Cartons!$E$4:$E$121,"Rouge"))</f>
        <v>0</v>
      </c>
      <c r="K9" s="11">
        <f>IF(A9="","",SUMIFS('Convocations &amp; Temps de jeu'!$J$4:$J$675,'Convocations &amp; Temps de jeu'!$B$4:$B$675,A9))</f>
        <v>0</v>
      </c>
      <c r="L9" s="5">
        <f>IF($A9="","",SUMIFS('Convocations &amp; Temps de jeu'!$P$4:$P$675,'Convocations &amp; Temps de jeu'!$B$4:$B$675,$A9))</f>
        <v>0</v>
      </c>
      <c r="M9" s="5">
        <f>IF($A9="","",SUMIFS('Convocations &amp; Temps de jeu'!$Q$4:$Q$675,'Convocations &amp; Temps de jeu'!$B$4:$B$675,$A9))</f>
        <v>0</v>
      </c>
      <c r="N9" s="16" t="str">
        <f t="shared" si="0"/>
        <v/>
      </c>
      <c r="O9" s="16" t="str">
        <f t="shared" si="1"/>
        <v/>
      </c>
      <c r="P9" s="20" t="str">
        <f t="shared" si="2"/>
        <v/>
      </c>
      <c r="Q9" s="5">
        <f>IF($A9="","",COUNTIFS('Convocations &amp; Temps de jeu'!$B$4:$B$675,$A9,'Convocations &amp; Temps de jeu'!$D$4:$D$675,"Non retenu"))</f>
        <v>0</v>
      </c>
      <c r="R9" s="5">
        <f>IF($A9="","",COUNTIFS('Convocations &amp; Temps de jeu'!$B$4:$B$675,$A9,'Convocations &amp; Temps de jeu'!$D$4:$D$675,"Blessé/malade"))</f>
        <v>0</v>
      </c>
      <c r="S9" s="5">
        <f>IF($A9="","",COUNTIFS('Convocations &amp; Temps de jeu'!$B$4:$B$675,$A9,'Convocations &amp; Temps de jeu'!$D$4:$D$675,"Pas venu à l'entraînement"))</f>
        <v>0</v>
      </c>
      <c r="T9" s="5">
        <f>IF($A9="","",COUNTIFS('Convocations &amp; Temps de jeu'!$B$4:$B$675,$A9,'Convocations &amp; Temps de jeu'!$D$4:$D$675,"Autre"))</f>
        <v>0</v>
      </c>
      <c r="U9" s="5">
        <f>IF($A9="","",COUNTIFS(Gardien!$B$4:$B$500,$A9))</f>
        <v>0</v>
      </c>
      <c r="V9" s="5">
        <f>IF($A9="","",COUNTIFS(Gardien!$B$4:$B$500,$A9,Gardien!$D$4:$D$500,"Oui"))</f>
        <v>0</v>
      </c>
      <c r="W9" s="5">
        <f>IF($A9="","",SUMIFS(Gardien!$C$4:$C$500,Gardien!$B$4:$B$500,$A9))</f>
        <v>0</v>
      </c>
    </row>
    <row r="10" spans="1:25" ht="15" customHeight="1" x14ac:dyDescent="0.25">
      <c r="A10" s="11" t="str">
        <f>'Effectif Saison'!E9</f>
        <v>Atilla ER</v>
      </c>
      <c r="B10" s="11" t="str">
        <f>'Effectif Saison'!D9</f>
        <v>Équipe 1</v>
      </c>
      <c r="C10" s="11">
        <f>IF(A10="","",SUMIFS('Convocations &amp; Temps de jeu'!$K$4:$K$675,'Convocations &amp; Temps de jeu'!$B$4:$B$675,A10))</f>
        <v>0</v>
      </c>
      <c r="D10" s="11">
        <f>IF(A10="","",COUNTIF(Buts!$C$4:$C$151,A10))</f>
        <v>0</v>
      </c>
      <c r="E10" s="11">
        <f>IF(A10="","",COUNTIFS(Buts!$C$4:$C$151,A10,Buts!$F$4:$F$151,"Tête"))</f>
        <v>0</v>
      </c>
      <c r="F10" s="11">
        <f>IF(A10="","",COUNTIFS(Buts!$C$4:$C$151,A10,Buts!$F$4:$F$151,"Penalty"))</f>
        <v>0</v>
      </c>
      <c r="G10" s="11">
        <f>IF(A10="","",COUNTIFS(Buts!$C$4:$C$151,A10,Buts!$F$4:$F$151,"Coup franc"))</f>
        <v>0</v>
      </c>
      <c r="H10" s="11">
        <f>IF(A10="","",COUNTIF(Buts!$D$4:$D$151,A10))</f>
        <v>0</v>
      </c>
      <c r="I10" s="11">
        <f>IF(A10="","",COUNTIFS(Cartons!$C$4:$C$121,A10,Cartons!$E$4:$E$121,"Jaune"))</f>
        <v>0</v>
      </c>
      <c r="J10" s="11">
        <f>IF(A10="","",COUNTIFS(Cartons!$C$4:$C$121,A10,Cartons!$E$4:$E$121,"Rouge"))</f>
        <v>0</v>
      </c>
      <c r="K10" s="11">
        <f>IF(A10="","",SUMIFS('Convocations &amp; Temps de jeu'!$J$4:$J$675,'Convocations &amp; Temps de jeu'!$B$4:$B$675,A10))</f>
        <v>0</v>
      </c>
      <c r="L10" s="5">
        <f>IF($A10="","",SUMIFS('Convocations &amp; Temps de jeu'!$P$4:$P$675,'Convocations &amp; Temps de jeu'!$B$4:$B$675,$A10))</f>
        <v>0</v>
      </c>
      <c r="M10" s="5">
        <f>IF($A10="","",SUMIFS('Convocations &amp; Temps de jeu'!$Q$4:$Q$675,'Convocations &amp; Temps de jeu'!$B$4:$B$675,$A10))</f>
        <v>0</v>
      </c>
      <c r="N10" s="16" t="str">
        <f t="shared" si="0"/>
        <v/>
      </c>
      <c r="O10" s="16" t="str">
        <f t="shared" si="1"/>
        <v/>
      </c>
      <c r="P10" s="20" t="str">
        <f t="shared" si="2"/>
        <v/>
      </c>
      <c r="Q10" s="5">
        <f>IF($A10="","",COUNTIFS('Convocations &amp; Temps de jeu'!$B$4:$B$675,$A10,'Convocations &amp; Temps de jeu'!$D$4:$D$675,"Non retenu"))</f>
        <v>0</v>
      </c>
      <c r="R10" s="5">
        <f>IF($A10="","",COUNTIFS('Convocations &amp; Temps de jeu'!$B$4:$B$675,$A10,'Convocations &amp; Temps de jeu'!$D$4:$D$675,"Blessé/malade"))</f>
        <v>0</v>
      </c>
      <c r="S10" s="5">
        <f>IF($A10="","",COUNTIFS('Convocations &amp; Temps de jeu'!$B$4:$B$675,$A10,'Convocations &amp; Temps de jeu'!$D$4:$D$675,"Pas venu à l'entraînement"))</f>
        <v>0</v>
      </c>
      <c r="T10" s="5">
        <f>IF($A10="","",COUNTIFS('Convocations &amp; Temps de jeu'!$B$4:$B$675,$A10,'Convocations &amp; Temps de jeu'!$D$4:$D$675,"Autre"))</f>
        <v>0</v>
      </c>
      <c r="U10" s="5">
        <f>IF($A10="","",COUNTIFS(Gardien!$B$4:$B$500,$A10))</f>
        <v>0</v>
      </c>
      <c r="V10" s="5">
        <f>IF($A10="","",COUNTIFS(Gardien!$B$4:$B$500,$A10,Gardien!$D$4:$D$500,"Oui"))</f>
        <v>0</v>
      </c>
      <c r="W10" s="5">
        <f>IF($A10="","",SUMIFS(Gardien!$C$4:$C$500,Gardien!$B$4:$B$500,$A10))</f>
        <v>0</v>
      </c>
    </row>
    <row r="11" spans="1:25" ht="15" customHeight="1" x14ac:dyDescent="0.25">
      <c r="A11" s="11" t="str">
        <f>'Effectif Saison'!E10</f>
        <v>Lucas BUHR</v>
      </c>
      <c r="B11" s="11" t="str">
        <f>'Effectif Saison'!D10</f>
        <v>Équipe 1</v>
      </c>
      <c r="C11" s="11">
        <f>IF(A11="","",SUMIFS('Convocations &amp; Temps de jeu'!$K$4:$K$675,'Convocations &amp; Temps de jeu'!$B$4:$B$675,A11))</f>
        <v>0</v>
      </c>
      <c r="D11" s="11">
        <f>IF(A11="","",COUNTIF(Buts!$C$4:$C$151,A11))</f>
        <v>0</v>
      </c>
      <c r="E11" s="11">
        <f>IF(A11="","",COUNTIFS(Buts!$C$4:$C$151,A11,Buts!$F$4:$F$151,"Tête"))</f>
        <v>0</v>
      </c>
      <c r="F11" s="11">
        <f>IF(A11="","",COUNTIFS(Buts!$C$4:$C$151,A11,Buts!$F$4:$F$151,"Penalty"))</f>
        <v>0</v>
      </c>
      <c r="G11" s="11">
        <f>IF(A11="","",COUNTIFS(Buts!$C$4:$C$151,A11,Buts!$F$4:$F$151,"Coup franc"))</f>
        <v>0</v>
      </c>
      <c r="H11" s="11">
        <f>IF(A11="","",COUNTIF(Buts!$D$4:$D$151,A11))</f>
        <v>0</v>
      </c>
      <c r="I11" s="11">
        <f>IF(A11="","",COUNTIFS(Cartons!$C$4:$C$121,A11,Cartons!$E$4:$E$121,"Jaune"))</f>
        <v>0</v>
      </c>
      <c r="J11" s="11">
        <f>IF(A11="","",COUNTIFS(Cartons!$C$4:$C$121,A11,Cartons!$E$4:$E$121,"Rouge"))</f>
        <v>0</v>
      </c>
      <c r="K11" s="11">
        <f>IF(A11="","",SUMIFS('Convocations &amp; Temps de jeu'!$J$4:$J$675,'Convocations &amp; Temps de jeu'!$B$4:$B$675,A11))</f>
        <v>0</v>
      </c>
      <c r="L11" s="5">
        <f>IF($A11="","",SUMIFS('Convocations &amp; Temps de jeu'!$P$4:$P$675,'Convocations &amp; Temps de jeu'!$B$4:$B$675,$A11))</f>
        <v>0</v>
      </c>
      <c r="M11" s="5">
        <f>IF($A11="","",SUMIFS('Convocations &amp; Temps de jeu'!$Q$4:$Q$675,'Convocations &amp; Temps de jeu'!$B$4:$B$675,$A11))</f>
        <v>0</v>
      </c>
      <c r="N11" s="16" t="str">
        <f t="shared" si="0"/>
        <v/>
      </c>
      <c r="O11" s="16" t="str">
        <f t="shared" si="1"/>
        <v/>
      </c>
      <c r="P11" s="20" t="str">
        <f t="shared" si="2"/>
        <v/>
      </c>
      <c r="Q11" s="5">
        <f>IF($A11="","",COUNTIFS('Convocations &amp; Temps de jeu'!$B$4:$B$675,$A11,'Convocations &amp; Temps de jeu'!$D$4:$D$675,"Non retenu"))</f>
        <v>0</v>
      </c>
      <c r="R11" s="5">
        <f>IF($A11="","",COUNTIFS('Convocations &amp; Temps de jeu'!$B$4:$B$675,$A11,'Convocations &amp; Temps de jeu'!$D$4:$D$675,"Blessé/malade"))</f>
        <v>0</v>
      </c>
      <c r="S11" s="5">
        <f>IF($A11="","",COUNTIFS('Convocations &amp; Temps de jeu'!$B$4:$B$675,$A11,'Convocations &amp; Temps de jeu'!$D$4:$D$675,"Pas venu à l'entraînement"))</f>
        <v>0</v>
      </c>
      <c r="T11" s="5">
        <f>IF($A11="","",COUNTIFS('Convocations &amp; Temps de jeu'!$B$4:$B$675,$A11,'Convocations &amp; Temps de jeu'!$D$4:$D$675,"Autre"))</f>
        <v>0</v>
      </c>
      <c r="U11" s="5">
        <f>IF($A11="","",COUNTIFS(Gardien!$B$4:$B$500,$A11))</f>
        <v>0</v>
      </c>
      <c r="V11" s="5">
        <f>IF($A11="","",COUNTIFS(Gardien!$B$4:$B$500,$A11,Gardien!$D$4:$D$500,"Oui"))</f>
        <v>0</v>
      </c>
      <c r="W11" s="5">
        <f>IF($A11="","",SUMIFS(Gardien!$C$4:$C$500,Gardien!$B$4:$B$500,$A11))</f>
        <v>0</v>
      </c>
    </row>
    <row r="12" spans="1:25" ht="15" customHeight="1" x14ac:dyDescent="0.25">
      <c r="A12" s="11" t="str">
        <f>'Effectif Saison'!E11</f>
        <v>Yanis HOUX</v>
      </c>
      <c r="B12" s="11" t="str">
        <f>'Effectif Saison'!D11</f>
        <v>Équipe 1</v>
      </c>
      <c r="C12" s="11">
        <f>IF(A12="","",SUMIFS('Convocations &amp; Temps de jeu'!$K$4:$K$675,'Convocations &amp; Temps de jeu'!$B$4:$B$675,A12))</f>
        <v>0</v>
      </c>
      <c r="D12" s="11">
        <f>IF(A12="","",COUNTIF(Buts!$C$4:$C$151,A12))</f>
        <v>0</v>
      </c>
      <c r="E12" s="11">
        <f>IF(A12="","",COUNTIFS(Buts!$C$4:$C$151,A12,Buts!$F$4:$F$151,"Tête"))</f>
        <v>0</v>
      </c>
      <c r="F12" s="11">
        <f>IF(A12="","",COUNTIFS(Buts!$C$4:$C$151,A12,Buts!$F$4:$F$151,"Penalty"))</f>
        <v>0</v>
      </c>
      <c r="G12" s="11">
        <f>IF(A12="","",COUNTIFS(Buts!$C$4:$C$151,A12,Buts!$F$4:$F$151,"Coup franc"))</f>
        <v>0</v>
      </c>
      <c r="H12" s="11">
        <f>IF(A12="","",COUNTIF(Buts!$D$4:$D$151,A12))</f>
        <v>0</v>
      </c>
      <c r="I12" s="11">
        <f>IF(A12="","",COUNTIFS(Cartons!$C$4:$C$121,A12,Cartons!$E$4:$E$121,"Jaune"))</f>
        <v>0</v>
      </c>
      <c r="J12" s="11">
        <f>IF(A12="","",COUNTIFS(Cartons!$C$4:$C$121,A12,Cartons!$E$4:$E$121,"Rouge"))</f>
        <v>0</v>
      </c>
      <c r="K12" s="11">
        <f>IF(A12="","",SUMIFS('Convocations &amp; Temps de jeu'!$J$4:$J$675,'Convocations &amp; Temps de jeu'!$B$4:$B$675,A12))</f>
        <v>0</v>
      </c>
      <c r="L12" s="5">
        <f>IF($A12="","",SUMIFS('Convocations &amp; Temps de jeu'!$P$4:$P$675,'Convocations &amp; Temps de jeu'!$B$4:$B$675,$A12))</f>
        <v>0</v>
      </c>
      <c r="M12" s="5">
        <f>IF($A12="","",SUMIFS('Convocations &amp; Temps de jeu'!$Q$4:$Q$675,'Convocations &amp; Temps de jeu'!$B$4:$B$675,$A12))</f>
        <v>0</v>
      </c>
      <c r="N12" s="16" t="str">
        <f t="shared" si="0"/>
        <v/>
      </c>
      <c r="O12" s="16" t="str">
        <f t="shared" si="1"/>
        <v/>
      </c>
      <c r="P12" s="20" t="str">
        <f t="shared" si="2"/>
        <v/>
      </c>
      <c r="Q12" s="5">
        <f>IF($A12="","",COUNTIFS('Convocations &amp; Temps de jeu'!$B$4:$B$675,$A12,'Convocations &amp; Temps de jeu'!$D$4:$D$675,"Non retenu"))</f>
        <v>0</v>
      </c>
      <c r="R12" s="5">
        <f>IF($A12="","",COUNTIFS('Convocations &amp; Temps de jeu'!$B$4:$B$675,$A12,'Convocations &amp; Temps de jeu'!$D$4:$D$675,"Blessé/malade"))</f>
        <v>0</v>
      </c>
      <c r="S12" s="5">
        <f>IF($A12="","",COUNTIFS('Convocations &amp; Temps de jeu'!$B$4:$B$675,$A12,'Convocations &amp; Temps de jeu'!$D$4:$D$675,"Pas venu à l'entraînement"))</f>
        <v>0</v>
      </c>
      <c r="T12" s="5">
        <f>IF($A12="","",COUNTIFS('Convocations &amp; Temps de jeu'!$B$4:$B$675,$A12,'Convocations &amp; Temps de jeu'!$D$4:$D$675,"Autre"))</f>
        <v>0</v>
      </c>
      <c r="U12" s="5">
        <f>IF($A12="","",COUNTIFS(Gardien!$B$4:$B$500,$A12))</f>
        <v>0</v>
      </c>
      <c r="V12" s="5">
        <f>IF($A12="","",COUNTIFS(Gardien!$B$4:$B$500,$A12,Gardien!$D$4:$D$500,"Oui"))</f>
        <v>0</v>
      </c>
      <c r="W12" s="5">
        <f>IF($A12="","",SUMIFS(Gardien!$C$4:$C$500,Gardien!$B$4:$B$500,$A12))</f>
        <v>0</v>
      </c>
    </row>
    <row r="13" spans="1:25" ht="15" customHeight="1" x14ac:dyDescent="0.25">
      <c r="A13" s="11" t="str">
        <f>'Effectif Saison'!E12</f>
        <v>Tino COLAIANNI</v>
      </c>
      <c r="B13" s="11" t="str">
        <f>'Effectif Saison'!D12</f>
        <v>Équipe 1</v>
      </c>
      <c r="C13" s="11">
        <f>IF(A13="","",SUMIFS('Convocations &amp; Temps de jeu'!$K$4:$K$675,'Convocations &amp; Temps de jeu'!$B$4:$B$675,A13))</f>
        <v>0</v>
      </c>
      <c r="D13" s="11">
        <f>IF(A13="","",COUNTIF(Buts!$C$4:$C$151,A13))</f>
        <v>0</v>
      </c>
      <c r="E13" s="11">
        <f>IF(A13="","",COUNTIFS(Buts!$C$4:$C$151,A13,Buts!$F$4:$F$151,"Tête"))</f>
        <v>0</v>
      </c>
      <c r="F13" s="11">
        <f>IF(A13="","",COUNTIFS(Buts!$C$4:$C$151,A13,Buts!$F$4:$F$151,"Penalty"))</f>
        <v>0</v>
      </c>
      <c r="G13" s="11">
        <f>IF(A13="","",COUNTIFS(Buts!$C$4:$C$151,A13,Buts!$F$4:$F$151,"Coup franc"))</f>
        <v>0</v>
      </c>
      <c r="H13" s="11">
        <f>IF(A13="","",COUNTIF(Buts!$D$4:$D$151,A13))</f>
        <v>0</v>
      </c>
      <c r="I13" s="11">
        <f>IF(A13="","",COUNTIFS(Cartons!$C$4:$C$121,A13,Cartons!$E$4:$E$121,"Jaune"))</f>
        <v>0</v>
      </c>
      <c r="J13" s="11">
        <f>IF(A13="","",COUNTIFS(Cartons!$C$4:$C$121,A13,Cartons!$E$4:$E$121,"Rouge"))</f>
        <v>0</v>
      </c>
      <c r="K13" s="11">
        <f>IF(A13="","",SUMIFS('Convocations &amp; Temps de jeu'!$J$4:$J$675,'Convocations &amp; Temps de jeu'!$B$4:$B$675,A13))</f>
        <v>0</v>
      </c>
      <c r="L13" s="5">
        <f>IF($A13="","",SUMIFS('Convocations &amp; Temps de jeu'!$P$4:$P$675,'Convocations &amp; Temps de jeu'!$B$4:$B$675,$A13))</f>
        <v>0</v>
      </c>
      <c r="M13" s="5">
        <f>IF($A13="","",SUMIFS('Convocations &amp; Temps de jeu'!$Q$4:$Q$675,'Convocations &amp; Temps de jeu'!$B$4:$B$675,$A13))</f>
        <v>0</v>
      </c>
      <c r="N13" s="16" t="str">
        <f t="shared" si="0"/>
        <v/>
      </c>
      <c r="O13" s="16" t="str">
        <f t="shared" si="1"/>
        <v/>
      </c>
      <c r="P13" s="20" t="str">
        <f t="shared" si="2"/>
        <v/>
      </c>
      <c r="Q13" s="5">
        <f>IF($A13="","",COUNTIFS('Convocations &amp; Temps de jeu'!$B$4:$B$675,$A13,'Convocations &amp; Temps de jeu'!$D$4:$D$675,"Non retenu"))</f>
        <v>0</v>
      </c>
      <c r="R13" s="5">
        <f>IF($A13="","",COUNTIFS('Convocations &amp; Temps de jeu'!$B$4:$B$675,$A13,'Convocations &amp; Temps de jeu'!$D$4:$D$675,"Blessé/malade"))</f>
        <v>0</v>
      </c>
      <c r="S13" s="5">
        <f>IF($A13="","",COUNTIFS('Convocations &amp; Temps de jeu'!$B$4:$B$675,$A13,'Convocations &amp; Temps de jeu'!$D$4:$D$675,"Pas venu à l'entraînement"))</f>
        <v>0</v>
      </c>
      <c r="T13" s="5">
        <f>IF($A13="","",COUNTIFS('Convocations &amp; Temps de jeu'!$B$4:$B$675,$A13,'Convocations &amp; Temps de jeu'!$D$4:$D$675,"Autre"))</f>
        <v>0</v>
      </c>
      <c r="U13" s="5">
        <f>IF($A13="","",COUNTIFS(Gardien!$B$4:$B$500,$A13))</f>
        <v>0</v>
      </c>
      <c r="V13" s="5">
        <f>IF($A13="","",COUNTIFS(Gardien!$B$4:$B$500,$A13,Gardien!$D$4:$D$500,"Oui"))</f>
        <v>0</v>
      </c>
      <c r="W13" s="5">
        <f>IF($A13="","",SUMIFS(Gardien!$C$4:$C$500,Gardien!$B$4:$B$500,$A13))</f>
        <v>0</v>
      </c>
    </row>
    <row r="14" spans="1:25" ht="15" customHeight="1" x14ac:dyDescent="0.25">
      <c r="A14" s="11" t="str">
        <f>'Effectif Saison'!E13</f>
        <v>Achille KELLERKNECHT</v>
      </c>
      <c r="B14" s="11" t="str">
        <f>'Effectif Saison'!D13</f>
        <v>Équipe 1</v>
      </c>
      <c r="C14" s="11">
        <f>IF(A14="","",SUMIFS('Convocations &amp; Temps de jeu'!$K$4:$K$675,'Convocations &amp; Temps de jeu'!$B$4:$B$675,A14))</f>
        <v>0</v>
      </c>
      <c r="D14" s="11">
        <f>IF(A14="","",COUNTIF(Buts!$C$4:$C$151,A14))</f>
        <v>0</v>
      </c>
      <c r="E14" s="11">
        <f>IF(A14="","",COUNTIFS(Buts!$C$4:$C$151,A14,Buts!$F$4:$F$151,"Tête"))</f>
        <v>0</v>
      </c>
      <c r="F14" s="11">
        <f>IF(A14="","",COUNTIFS(Buts!$C$4:$C$151,A14,Buts!$F$4:$F$151,"Penalty"))</f>
        <v>0</v>
      </c>
      <c r="G14" s="11">
        <f>IF(A14="","",COUNTIFS(Buts!$C$4:$C$151,A14,Buts!$F$4:$F$151,"Coup franc"))</f>
        <v>0</v>
      </c>
      <c r="H14" s="11">
        <f>IF(A14="","",COUNTIF(Buts!$D$4:$D$151,A14))</f>
        <v>0</v>
      </c>
      <c r="I14" s="11">
        <f>IF(A14="","",COUNTIFS(Cartons!$C$4:$C$121,A14,Cartons!$E$4:$E$121,"Jaune"))</f>
        <v>0</v>
      </c>
      <c r="J14" s="11">
        <f>IF(A14="","",COUNTIFS(Cartons!$C$4:$C$121,A14,Cartons!$E$4:$E$121,"Rouge"))</f>
        <v>0</v>
      </c>
      <c r="K14" s="11">
        <f>IF(A14="","",SUMIFS('Convocations &amp; Temps de jeu'!$J$4:$J$675,'Convocations &amp; Temps de jeu'!$B$4:$B$675,A14))</f>
        <v>0</v>
      </c>
      <c r="L14" s="5">
        <f>IF($A14="","",SUMIFS('Convocations &amp; Temps de jeu'!$P$4:$P$675,'Convocations &amp; Temps de jeu'!$B$4:$B$675,$A14))</f>
        <v>0</v>
      </c>
      <c r="M14" s="5">
        <f>IF($A14="","",SUMIFS('Convocations &amp; Temps de jeu'!$Q$4:$Q$675,'Convocations &amp; Temps de jeu'!$B$4:$B$675,$A14))</f>
        <v>0</v>
      </c>
      <c r="N14" s="16" t="str">
        <f t="shared" si="0"/>
        <v/>
      </c>
      <c r="O14" s="16" t="str">
        <f t="shared" si="1"/>
        <v/>
      </c>
      <c r="P14" s="20" t="str">
        <f t="shared" si="2"/>
        <v/>
      </c>
      <c r="Q14" s="5">
        <f>IF($A14="","",COUNTIFS('Convocations &amp; Temps de jeu'!$B$4:$B$675,$A14,'Convocations &amp; Temps de jeu'!$D$4:$D$675,"Non retenu"))</f>
        <v>0</v>
      </c>
      <c r="R14" s="5">
        <f>IF($A14="","",COUNTIFS('Convocations &amp; Temps de jeu'!$B$4:$B$675,$A14,'Convocations &amp; Temps de jeu'!$D$4:$D$675,"Blessé/malade"))</f>
        <v>0</v>
      </c>
      <c r="S14" s="5">
        <f>IF($A14="","",COUNTIFS('Convocations &amp; Temps de jeu'!$B$4:$B$675,$A14,'Convocations &amp; Temps de jeu'!$D$4:$D$675,"Pas venu à l'entraînement"))</f>
        <v>0</v>
      </c>
      <c r="T14" s="5">
        <f>IF($A14="","",COUNTIFS('Convocations &amp; Temps de jeu'!$B$4:$B$675,$A14,'Convocations &amp; Temps de jeu'!$D$4:$D$675,"Autre"))</f>
        <v>0</v>
      </c>
      <c r="U14" s="5">
        <f>IF($A14="","",COUNTIFS(Gardien!$B$4:$B$500,$A14))</f>
        <v>0</v>
      </c>
      <c r="V14" s="5">
        <f>IF($A14="","",COUNTIFS(Gardien!$B$4:$B$500,$A14,Gardien!$D$4:$D$500,"Oui"))</f>
        <v>0</v>
      </c>
      <c r="W14" s="5">
        <f>IF($A14="","",SUMIFS(Gardien!$C$4:$C$500,Gardien!$B$4:$B$500,$A14))</f>
        <v>0</v>
      </c>
    </row>
    <row r="15" spans="1:25" ht="15" customHeight="1" x14ac:dyDescent="0.25">
      <c r="A15" s="11" t="str">
        <f>'Effectif Saison'!E14</f>
        <v>Charly LEPERT</v>
      </c>
      <c r="B15" s="11" t="str">
        <f>'Effectif Saison'!D14</f>
        <v>Équipe 1</v>
      </c>
      <c r="C15" s="11">
        <f>IF(A15="","",SUMIFS('Convocations &amp; Temps de jeu'!$K$4:$K$675,'Convocations &amp; Temps de jeu'!$B$4:$B$675,A15))</f>
        <v>0</v>
      </c>
      <c r="D15" s="11">
        <f>IF(A15="","",COUNTIF(Buts!$C$4:$C$151,A15))</f>
        <v>0</v>
      </c>
      <c r="E15" s="11">
        <f>IF(A15="","",COUNTIFS(Buts!$C$4:$C$151,A15,Buts!$F$4:$F$151,"Tête"))</f>
        <v>0</v>
      </c>
      <c r="F15" s="11">
        <f>IF(A15="","",COUNTIFS(Buts!$C$4:$C$151,A15,Buts!$F$4:$F$151,"Penalty"))</f>
        <v>0</v>
      </c>
      <c r="G15" s="11">
        <f>IF(A15="","",COUNTIFS(Buts!$C$4:$C$151,A15,Buts!$F$4:$F$151,"Coup franc"))</f>
        <v>0</v>
      </c>
      <c r="H15" s="11">
        <f>IF(A15="","",COUNTIF(Buts!$D$4:$D$151,A15))</f>
        <v>0</v>
      </c>
      <c r="I15" s="11">
        <f>IF(A15="","",COUNTIFS(Cartons!$C$4:$C$121,A15,Cartons!$E$4:$E$121,"Jaune"))</f>
        <v>0</v>
      </c>
      <c r="J15" s="11">
        <f>IF(A15="","",COUNTIFS(Cartons!$C$4:$C$121,A15,Cartons!$E$4:$E$121,"Rouge"))</f>
        <v>0</v>
      </c>
      <c r="K15" s="11">
        <f>IF(A15="","",SUMIFS('Convocations &amp; Temps de jeu'!$J$4:$J$675,'Convocations &amp; Temps de jeu'!$B$4:$B$675,A15))</f>
        <v>0</v>
      </c>
      <c r="L15" s="5">
        <f>IF($A15="","",SUMIFS('Convocations &amp; Temps de jeu'!$P$4:$P$675,'Convocations &amp; Temps de jeu'!$B$4:$B$675,$A15))</f>
        <v>0</v>
      </c>
      <c r="M15" s="5">
        <f>IF($A15="","",SUMIFS('Convocations &amp; Temps de jeu'!$Q$4:$Q$675,'Convocations &amp; Temps de jeu'!$B$4:$B$675,$A15))</f>
        <v>0</v>
      </c>
      <c r="N15" s="16" t="str">
        <f t="shared" si="0"/>
        <v/>
      </c>
      <c r="O15" s="16" t="str">
        <f t="shared" si="1"/>
        <v/>
      </c>
      <c r="P15" s="20" t="str">
        <f t="shared" si="2"/>
        <v/>
      </c>
      <c r="Q15" s="5">
        <f>IF($A15="","",COUNTIFS('Convocations &amp; Temps de jeu'!$B$4:$B$675,$A15,'Convocations &amp; Temps de jeu'!$D$4:$D$675,"Non retenu"))</f>
        <v>0</v>
      </c>
      <c r="R15" s="5">
        <f>IF($A15="","",COUNTIFS('Convocations &amp; Temps de jeu'!$B$4:$B$675,$A15,'Convocations &amp; Temps de jeu'!$D$4:$D$675,"Blessé/malade"))</f>
        <v>0</v>
      </c>
      <c r="S15" s="5">
        <f>IF($A15="","",COUNTIFS('Convocations &amp; Temps de jeu'!$B$4:$B$675,$A15,'Convocations &amp; Temps de jeu'!$D$4:$D$675,"Pas venu à l'entraînement"))</f>
        <v>0</v>
      </c>
      <c r="T15" s="5">
        <f>IF($A15="","",COUNTIFS('Convocations &amp; Temps de jeu'!$B$4:$B$675,$A15,'Convocations &amp; Temps de jeu'!$D$4:$D$675,"Autre"))</f>
        <v>0</v>
      </c>
      <c r="U15" s="5">
        <f>IF($A15="","",COUNTIFS(Gardien!$B$4:$B$500,$A15))</f>
        <v>0</v>
      </c>
      <c r="V15" s="5">
        <f>IF($A15="","",COUNTIFS(Gardien!$B$4:$B$500,$A15,Gardien!$D$4:$D$500,"Oui"))</f>
        <v>0</v>
      </c>
      <c r="W15" s="5">
        <f>IF($A15="","",SUMIFS(Gardien!$C$4:$C$500,Gardien!$B$4:$B$500,$A15))</f>
        <v>0</v>
      </c>
    </row>
    <row r="16" spans="1:25" ht="15" customHeight="1" x14ac:dyDescent="0.25">
      <c r="A16" s="11" t="str">
        <f>'Effectif Saison'!E15</f>
        <v>Basile STANGRET</v>
      </c>
      <c r="B16" s="11" t="str">
        <f>'Effectif Saison'!D15</f>
        <v>Équipe 1</v>
      </c>
      <c r="C16" s="11">
        <f>IF(A16="","",SUMIFS('Convocations &amp; Temps de jeu'!$K$4:$K$675,'Convocations &amp; Temps de jeu'!$B$4:$B$675,A16))</f>
        <v>0</v>
      </c>
      <c r="D16" s="11">
        <f>IF(A16="","",COUNTIF(Buts!$C$4:$C$151,A16))</f>
        <v>0</v>
      </c>
      <c r="E16" s="11">
        <f>IF(A16="","",COUNTIFS(Buts!$C$4:$C$151,A16,Buts!$F$4:$F$151,"Tête"))</f>
        <v>0</v>
      </c>
      <c r="F16" s="11">
        <f>IF(A16="","",COUNTIFS(Buts!$C$4:$C$151,A16,Buts!$F$4:$F$151,"Penalty"))</f>
        <v>0</v>
      </c>
      <c r="G16" s="11">
        <f>IF(A16="","",COUNTIFS(Buts!$C$4:$C$151,A16,Buts!$F$4:$F$151,"Coup franc"))</f>
        <v>0</v>
      </c>
      <c r="H16" s="11">
        <f>IF(A16="","",COUNTIF(Buts!$D$4:$D$151,A16))</f>
        <v>0</v>
      </c>
      <c r="I16" s="11">
        <f>IF(A16="","",COUNTIFS(Cartons!$C$4:$C$121,A16,Cartons!$E$4:$E$121,"Jaune"))</f>
        <v>0</v>
      </c>
      <c r="J16" s="11">
        <f>IF(A16="","",COUNTIFS(Cartons!$C$4:$C$121,A16,Cartons!$E$4:$E$121,"Rouge"))</f>
        <v>0</v>
      </c>
      <c r="K16" s="11">
        <f>IF(A16="","",SUMIFS('Convocations &amp; Temps de jeu'!$J$4:$J$675,'Convocations &amp; Temps de jeu'!$B$4:$B$675,A16))</f>
        <v>0</v>
      </c>
      <c r="L16" s="5">
        <f>IF($A16="","",SUMIFS('Convocations &amp; Temps de jeu'!$P$4:$P$675,'Convocations &amp; Temps de jeu'!$B$4:$B$675,$A16))</f>
        <v>0</v>
      </c>
      <c r="M16" s="5">
        <f>IF($A16="","",SUMIFS('Convocations &amp; Temps de jeu'!$Q$4:$Q$675,'Convocations &amp; Temps de jeu'!$B$4:$B$675,$A16))</f>
        <v>0</v>
      </c>
      <c r="N16" s="16" t="str">
        <f t="shared" si="0"/>
        <v/>
      </c>
      <c r="O16" s="16" t="str">
        <f t="shared" si="1"/>
        <v/>
      </c>
      <c r="P16" s="20" t="str">
        <f t="shared" si="2"/>
        <v/>
      </c>
      <c r="Q16" s="5">
        <f>IF($A16="","",COUNTIFS('Convocations &amp; Temps de jeu'!$B$4:$B$675,$A16,'Convocations &amp; Temps de jeu'!$D$4:$D$675,"Non retenu"))</f>
        <v>0</v>
      </c>
      <c r="R16" s="5">
        <f>IF($A16="","",COUNTIFS('Convocations &amp; Temps de jeu'!$B$4:$B$675,$A16,'Convocations &amp; Temps de jeu'!$D$4:$D$675,"Blessé/malade"))</f>
        <v>0</v>
      </c>
      <c r="S16" s="5">
        <f>IF($A16="","",COUNTIFS('Convocations &amp; Temps de jeu'!$B$4:$B$675,$A16,'Convocations &amp; Temps de jeu'!$D$4:$D$675,"Pas venu à l'entraînement"))</f>
        <v>0</v>
      </c>
      <c r="T16" s="5">
        <f>IF($A16="","",COUNTIFS('Convocations &amp; Temps de jeu'!$B$4:$B$675,$A16,'Convocations &amp; Temps de jeu'!$D$4:$D$675,"Autre"))</f>
        <v>0</v>
      </c>
      <c r="U16" s="5">
        <f>IF($A16="","",COUNTIFS(Gardien!$B$4:$B$500,$A16))</f>
        <v>0</v>
      </c>
      <c r="V16" s="5">
        <f>IF($A16="","",COUNTIFS(Gardien!$B$4:$B$500,$A16,Gardien!$D$4:$D$500,"Oui"))</f>
        <v>0</v>
      </c>
      <c r="W16" s="5">
        <f>IF($A16="","",SUMIFS(Gardien!$C$4:$C$500,Gardien!$B$4:$B$500,$A16))</f>
        <v>0</v>
      </c>
    </row>
    <row r="17" spans="1:23" ht="15" customHeight="1" x14ac:dyDescent="0.25">
      <c r="A17" s="11" t="str">
        <f>'Effectif Saison'!E16</f>
        <v>Maxence KELLER</v>
      </c>
      <c r="B17" s="11" t="str">
        <f>'Effectif Saison'!D16</f>
        <v>Équipe 1</v>
      </c>
      <c r="C17" s="11">
        <f>IF(A17="","",SUMIFS('Convocations &amp; Temps de jeu'!$K$4:$K$675,'Convocations &amp; Temps de jeu'!$B$4:$B$675,A17))</f>
        <v>0</v>
      </c>
      <c r="D17" s="11">
        <f>IF(A17="","",COUNTIF(Buts!$C$4:$C$151,A17))</f>
        <v>0</v>
      </c>
      <c r="E17" s="11">
        <f>IF(A17="","",COUNTIFS(Buts!$C$4:$C$151,A17,Buts!$F$4:$F$151,"Tête"))</f>
        <v>0</v>
      </c>
      <c r="F17" s="11">
        <f>IF(A17="","",COUNTIFS(Buts!$C$4:$C$151,A17,Buts!$F$4:$F$151,"Penalty"))</f>
        <v>0</v>
      </c>
      <c r="G17" s="11">
        <f>IF(A17="","",COUNTIFS(Buts!$C$4:$C$151,A17,Buts!$F$4:$F$151,"Coup franc"))</f>
        <v>0</v>
      </c>
      <c r="H17" s="11">
        <f>IF(A17="","",COUNTIF(Buts!$D$4:$D$151,A17))</f>
        <v>0</v>
      </c>
      <c r="I17" s="11">
        <f>IF(A17="","",COUNTIFS(Cartons!$C$4:$C$121,A17,Cartons!$E$4:$E$121,"Jaune"))</f>
        <v>0</v>
      </c>
      <c r="J17" s="11">
        <f>IF(A17="","",COUNTIFS(Cartons!$C$4:$C$121,A17,Cartons!$E$4:$E$121,"Rouge"))</f>
        <v>0</v>
      </c>
      <c r="K17" s="11">
        <f>IF(A17="","",SUMIFS('Convocations &amp; Temps de jeu'!$J$4:$J$675,'Convocations &amp; Temps de jeu'!$B$4:$B$675,A17))</f>
        <v>0</v>
      </c>
      <c r="L17" s="5">
        <f>IF($A17="","",SUMIFS('Convocations &amp; Temps de jeu'!$P$4:$P$675,'Convocations &amp; Temps de jeu'!$B$4:$B$675,$A17))</f>
        <v>0</v>
      </c>
      <c r="M17" s="5">
        <f>IF($A17="","",SUMIFS('Convocations &amp; Temps de jeu'!$Q$4:$Q$675,'Convocations &amp; Temps de jeu'!$B$4:$B$675,$A17))</f>
        <v>0</v>
      </c>
      <c r="N17" s="16" t="str">
        <f t="shared" si="0"/>
        <v/>
      </c>
      <c r="O17" s="16" t="str">
        <f t="shared" si="1"/>
        <v/>
      </c>
      <c r="P17" s="20" t="str">
        <f t="shared" si="2"/>
        <v/>
      </c>
      <c r="Q17" s="5">
        <f>IF($A17="","",COUNTIFS('Convocations &amp; Temps de jeu'!$B$4:$B$675,$A17,'Convocations &amp; Temps de jeu'!$D$4:$D$675,"Non retenu"))</f>
        <v>0</v>
      </c>
      <c r="R17" s="5">
        <f>IF($A17="","",COUNTIFS('Convocations &amp; Temps de jeu'!$B$4:$B$675,$A17,'Convocations &amp; Temps de jeu'!$D$4:$D$675,"Blessé/malade"))</f>
        <v>0</v>
      </c>
      <c r="S17" s="5">
        <f>IF($A17="","",COUNTIFS('Convocations &amp; Temps de jeu'!$B$4:$B$675,$A17,'Convocations &amp; Temps de jeu'!$D$4:$D$675,"Pas venu à l'entraînement"))</f>
        <v>0</v>
      </c>
      <c r="T17" s="5">
        <f>IF($A17="","",COUNTIFS('Convocations &amp; Temps de jeu'!$B$4:$B$675,$A17,'Convocations &amp; Temps de jeu'!$D$4:$D$675,"Autre"))</f>
        <v>0</v>
      </c>
      <c r="U17" s="5">
        <f>IF($A17="","",COUNTIFS(Gardien!$B$4:$B$500,$A17))</f>
        <v>0</v>
      </c>
      <c r="V17" s="5">
        <f>IF($A17="","",COUNTIFS(Gardien!$B$4:$B$500,$A17,Gardien!$D$4:$D$500,"Oui"))</f>
        <v>0</v>
      </c>
      <c r="W17" s="5">
        <f>IF($A17="","",SUMIFS(Gardien!$C$4:$C$500,Gardien!$B$4:$B$500,$A17))</f>
        <v>0</v>
      </c>
    </row>
    <row r="18" spans="1:23" ht="15" customHeight="1" x14ac:dyDescent="0.25">
      <c r="A18" s="11" t="str">
        <f>'Effectif Saison'!E17</f>
        <v>Evan SCHMITT</v>
      </c>
      <c r="B18" s="11" t="str">
        <f>'Effectif Saison'!D17</f>
        <v>Équipe 1</v>
      </c>
      <c r="C18" s="11">
        <f>IF(A18="","",SUMIFS('Convocations &amp; Temps de jeu'!$K$4:$K$675,'Convocations &amp; Temps de jeu'!$B$4:$B$675,A18))</f>
        <v>0</v>
      </c>
      <c r="D18" s="11">
        <f>IF(A18="","",COUNTIF(Buts!$C$4:$C$151,A18))</f>
        <v>0</v>
      </c>
      <c r="E18" s="11">
        <f>IF(A18="","",COUNTIFS(Buts!$C$4:$C$151,A18,Buts!$F$4:$F$151,"Tête"))</f>
        <v>0</v>
      </c>
      <c r="F18" s="11">
        <f>IF(A18="","",COUNTIFS(Buts!$C$4:$C$151,A18,Buts!$F$4:$F$151,"Penalty"))</f>
        <v>0</v>
      </c>
      <c r="G18" s="11">
        <f>IF(A18="","",COUNTIFS(Buts!$C$4:$C$151,A18,Buts!$F$4:$F$151,"Coup franc"))</f>
        <v>0</v>
      </c>
      <c r="H18" s="11">
        <f>IF(A18="","",COUNTIF(Buts!$D$4:$D$151,A18))</f>
        <v>0</v>
      </c>
      <c r="I18" s="11">
        <f>IF(A18="","",COUNTIFS(Cartons!$C$4:$C$121,A18,Cartons!$E$4:$E$121,"Jaune"))</f>
        <v>0</v>
      </c>
      <c r="J18" s="11">
        <f>IF(A18="","",COUNTIFS(Cartons!$C$4:$C$121,A18,Cartons!$E$4:$E$121,"Rouge"))</f>
        <v>0</v>
      </c>
      <c r="K18" s="11">
        <f>IF(A18="","",SUMIFS('Convocations &amp; Temps de jeu'!$J$4:$J$675,'Convocations &amp; Temps de jeu'!$B$4:$B$675,A18))</f>
        <v>0</v>
      </c>
      <c r="L18" s="5">
        <f>IF($A18="","",SUMIFS('Convocations &amp; Temps de jeu'!$P$4:$P$675,'Convocations &amp; Temps de jeu'!$B$4:$B$675,$A18))</f>
        <v>0</v>
      </c>
      <c r="M18" s="5">
        <f>IF($A18="","",SUMIFS('Convocations &amp; Temps de jeu'!$Q$4:$Q$675,'Convocations &amp; Temps de jeu'!$B$4:$B$675,$A18))</f>
        <v>0</v>
      </c>
      <c r="N18" s="16" t="str">
        <f t="shared" si="0"/>
        <v/>
      </c>
      <c r="O18" s="16" t="str">
        <f t="shared" si="1"/>
        <v/>
      </c>
      <c r="P18" s="20" t="str">
        <f t="shared" si="2"/>
        <v/>
      </c>
      <c r="Q18" s="5">
        <f>IF($A18="","",COUNTIFS('Convocations &amp; Temps de jeu'!$B$4:$B$675,$A18,'Convocations &amp; Temps de jeu'!$D$4:$D$675,"Non retenu"))</f>
        <v>0</v>
      </c>
      <c r="R18" s="5">
        <f>IF($A18="","",COUNTIFS('Convocations &amp; Temps de jeu'!$B$4:$B$675,$A18,'Convocations &amp; Temps de jeu'!$D$4:$D$675,"Blessé/malade"))</f>
        <v>0</v>
      </c>
      <c r="S18" s="5">
        <f>IF($A18="","",COUNTIFS('Convocations &amp; Temps de jeu'!$B$4:$B$675,$A18,'Convocations &amp; Temps de jeu'!$D$4:$D$675,"Pas venu à l'entraînement"))</f>
        <v>0</v>
      </c>
      <c r="T18" s="5">
        <f>IF($A18="","",COUNTIFS('Convocations &amp; Temps de jeu'!$B$4:$B$675,$A18,'Convocations &amp; Temps de jeu'!$D$4:$D$675,"Autre"))</f>
        <v>0</v>
      </c>
      <c r="U18" s="5">
        <f>IF($A18="","",COUNTIFS(Gardien!$B$4:$B$500,$A18))</f>
        <v>0</v>
      </c>
      <c r="V18" s="5">
        <f>IF($A18="","",COUNTIFS(Gardien!$B$4:$B$500,$A18,Gardien!$D$4:$D$500,"Oui"))</f>
        <v>0</v>
      </c>
      <c r="W18" s="5">
        <f>IF($A18="","",SUMIFS(Gardien!$C$4:$C$500,Gardien!$B$4:$B$500,$A18))</f>
        <v>0</v>
      </c>
    </row>
    <row r="19" spans="1:23" ht="15" customHeight="1" x14ac:dyDescent="0.25">
      <c r="A19" s="11" t="str">
        <f>'Effectif Saison'!E18</f>
        <v>William SIMON</v>
      </c>
      <c r="B19" s="11" t="str">
        <f>'Effectif Saison'!D18</f>
        <v>Équipe 1</v>
      </c>
      <c r="C19" s="11">
        <f>IF(A19="","",SUMIFS('Convocations &amp; Temps de jeu'!$K$4:$K$675,'Convocations &amp; Temps de jeu'!$B$4:$B$675,A19))</f>
        <v>0</v>
      </c>
      <c r="D19" s="11">
        <f>IF(A19="","",COUNTIF(Buts!$C$4:$C$151,A19))</f>
        <v>0</v>
      </c>
      <c r="E19" s="11">
        <f>IF(A19="","",COUNTIFS(Buts!$C$4:$C$151,A19,Buts!$F$4:$F$151,"Tête"))</f>
        <v>0</v>
      </c>
      <c r="F19" s="11">
        <f>IF(A19="","",COUNTIFS(Buts!$C$4:$C$151,A19,Buts!$F$4:$F$151,"Penalty"))</f>
        <v>0</v>
      </c>
      <c r="G19" s="11">
        <f>IF(A19="","",COUNTIFS(Buts!$C$4:$C$151,A19,Buts!$F$4:$F$151,"Coup franc"))</f>
        <v>0</v>
      </c>
      <c r="H19" s="11">
        <f>IF(A19="","",COUNTIF(Buts!$D$4:$D$151,A19))</f>
        <v>0</v>
      </c>
      <c r="I19" s="11">
        <f>IF(A19="","",COUNTIFS(Cartons!$C$4:$C$121,A19,Cartons!$E$4:$E$121,"Jaune"))</f>
        <v>0</v>
      </c>
      <c r="J19" s="11">
        <f>IF(A19="","",COUNTIFS(Cartons!$C$4:$C$121,A19,Cartons!$E$4:$E$121,"Rouge"))</f>
        <v>0</v>
      </c>
      <c r="K19" s="11">
        <f>IF(A19="","",SUMIFS('Convocations &amp; Temps de jeu'!$J$4:$J$675,'Convocations &amp; Temps de jeu'!$B$4:$B$675,A19))</f>
        <v>0</v>
      </c>
      <c r="L19" s="5">
        <f>IF($A19="","",SUMIFS('Convocations &amp; Temps de jeu'!$P$4:$P$675,'Convocations &amp; Temps de jeu'!$B$4:$B$675,$A19))</f>
        <v>0</v>
      </c>
      <c r="M19" s="5">
        <f>IF($A19="","",SUMIFS('Convocations &amp; Temps de jeu'!$Q$4:$Q$675,'Convocations &amp; Temps de jeu'!$B$4:$B$675,$A19))</f>
        <v>0</v>
      </c>
      <c r="N19" s="16" t="str">
        <f t="shared" si="0"/>
        <v/>
      </c>
      <c r="O19" s="16" t="str">
        <f t="shared" si="1"/>
        <v/>
      </c>
      <c r="P19" s="20" t="str">
        <f t="shared" si="2"/>
        <v/>
      </c>
      <c r="Q19" s="5">
        <f>IF($A19="","",COUNTIFS('Convocations &amp; Temps de jeu'!$B$4:$B$675,$A19,'Convocations &amp; Temps de jeu'!$D$4:$D$675,"Non retenu"))</f>
        <v>0</v>
      </c>
      <c r="R19" s="5">
        <f>IF($A19="","",COUNTIFS('Convocations &amp; Temps de jeu'!$B$4:$B$675,$A19,'Convocations &amp; Temps de jeu'!$D$4:$D$675,"Blessé/malade"))</f>
        <v>0</v>
      </c>
      <c r="S19" s="5">
        <f>IF($A19="","",COUNTIFS('Convocations &amp; Temps de jeu'!$B$4:$B$675,$A19,'Convocations &amp; Temps de jeu'!$D$4:$D$675,"Pas venu à l'entraînement"))</f>
        <v>0</v>
      </c>
      <c r="T19" s="5">
        <f>IF($A19="","",COUNTIFS('Convocations &amp; Temps de jeu'!$B$4:$B$675,$A19,'Convocations &amp; Temps de jeu'!$D$4:$D$675,"Autre"))</f>
        <v>0</v>
      </c>
      <c r="U19" s="5">
        <f>IF($A19="","",COUNTIFS(Gardien!$B$4:$B$500,$A19))</f>
        <v>0</v>
      </c>
      <c r="V19" s="5">
        <f>IF($A19="","",COUNTIFS(Gardien!$B$4:$B$500,$A19,Gardien!$D$4:$D$500,"Oui"))</f>
        <v>0</v>
      </c>
      <c r="W19" s="5">
        <f>IF($A19="","",SUMIFS(Gardien!$C$4:$C$500,Gardien!$B$4:$B$500,$A19))</f>
        <v>0</v>
      </c>
    </row>
    <row r="20" spans="1:23" ht="15" customHeight="1" x14ac:dyDescent="0.25">
      <c r="A20" s="11" t="str">
        <f>'Effectif Saison'!E19</f>
        <v>Lenny LEPPER</v>
      </c>
      <c r="B20" s="11" t="str">
        <f>'Effectif Saison'!D19</f>
        <v>Équipe 1</v>
      </c>
      <c r="C20" s="11">
        <f>IF(A20="","",SUMIFS('Convocations &amp; Temps de jeu'!$K$4:$K$675,'Convocations &amp; Temps de jeu'!$B$4:$B$675,A20))</f>
        <v>0</v>
      </c>
      <c r="D20" s="11">
        <f>IF(A20="","",COUNTIF(Buts!$C$4:$C$151,A20))</f>
        <v>0</v>
      </c>
      <c r="E20" s="11">
        <f>IF(A20="","",COUNTIFS(Buts!$C$4:$C$151,A20,Buts!$F$4:$F$151,"Tête"))</f>
        <v>0</v>
      </c>
      <c r="F20" s="11">
        <f>IF(A20="","",COUNTIFS(Buts!$C$4:$C$151,A20,Buts!$F$4:$F$151,"Penalty"))</f>
        <v>0</v>
      </c>
      <c r="G20" s="11">
        <f>IF(A20="","",COUNTIFS(Buts!$C$4:$C$151,A20,Buts!$F$4:$F$151,"Coup franc"))</f>
        <v>0</v>
      </c>
      <c r="H20" s="11">
        <f>IF(A20="","",COUNTIF(Buts!$D$4:$D$151,A20))</f>
        <v>0</v>
      </c>
      <c r="I20" s="11">
        <f>IF(A20="","",COUNTIFS(Cartons!$C$4:$C$121,A20,Cartons!$E$4:$E$121,"Jaune"))</f>
        <v>0</v>
      </c>
      <c r="J20" s="11">
        <f>IF(A20="","",COUNTIFS(Cartons!$C$4:$C$121,A20,Cartons!$E$4:$E$121,"Rouge"))</f>
        <v>0</v>
      </c>
      <c r="K20" s="11">
        <f>IF(A20="","",SUMIFS('Convocations &amp; Temps de jeu'!$J$4:$J$675,'Convocations &amp; Temps de jeu'!$B$4:$B$675,A20))</f>
        <v>0</v>
      </c>
      <c r="L20" s="5">
        <f>IF($A20="","",SUMIFS('Convocations &amp; Temps de jeu'!$P$4:$P$675,'Convocations &amp; Temps de jeu'!$B$4:$B$675,$A20))</f>
        <v>0</v>
      </c>
      <c r="M20" s="5">
        <f>IF($A20="","",SUMIFS('Convocations &amp; Temps de jeu'!$Q$4:$Q$675,'Convocations &amp; Temps de jeu'!$B$4:$B$675,$A20))</f>
        <v>0</v>
      </c>
      <c r="N20" s="16" t="str">
        <f t="shared" si="0"/>
        <v/>
      </c>
      <c r="O20" s="16" t="str">
        <f t="shared" si="1"/>
        <v/>
      </c>
      <c r="P20" s="20" t="str">
        <f t="shared" si="2"/>
        <v/>
      </c>
      <c r="Q20" s="5">
        <f>IF($A20="","",COUNTIFS('Convocations &amp; Temps de jeu'!$B$4:$B$675,$A20,'Convocations &amp; Temps de jeu'!$D$4:$D$675,"Non retenu"))</f>
        <v>0</v>
      </c>
      <c r="R20" s="5">
        <f>IF($A20="","",COUNTIFS('Convocations &amp; Temps de jeu'!$B$4:$B$675,$A20,'Convocations &amp; Temps de jeu'!$D$4:$D$675,"Blessé/malade"))</f>
        <v>0</v>
      </c>
      <c r="S20" s="5">
        <f>IF($A20="","",COUNTIFS('Convocations &amp; Temps de jeu'!$B$4:$B$675,$A20,'Convocations &amp; Temps de jeu'!$D$4:$D$675,"Pas venu à l'entraînement"))</f>
        <v>0</v>
      </c>
      <c r="T20" s="5">
        <f>IF($A20="","",COUNTIFS('Convocations &amp; Temps de jeu'!$B$4:$B$675,$A20,'Convocations &amp; Temps de jeu'!$D$4:$D$675,"Autre"))</f>
        <v>0</v>
      </c>
      <c r="U20" s="5">
        <f>IF($A20="","",COUNTIFS(Gardien!$B$4:$B$500,$A20))</f>
        <v>0</v>
      </c>
      <c r="V20" s="5">
        <f>IF($A20="","",COUNTIFS(Gardien!$B$4:$B$500,$A20,Gardien!$D$4:$D$500,"Oui"))</f>
        <v>0</v>
      </c>
      <c r="W20" s="5">
        <f>IF($A20="","",SUMIFS(Gardien!$C$4:$C$500,Gardien!$B$4:$B$500,$A20))</f>
        <v>0</v>
      </c>
    </row>
    <row r="21" spans="1:23" ht="15" customHeight="1" x14ac:dyDescent="0.25">
      <c r="A21" s="11" t="str">
        <f>'Effectif Saison'!E20</f>
        <v>Malo KELLER</v>
      </c>
      <c r="B21" s="11" t="str">
        <f>'Effectif Saison'!D20</f>
        <v>Équipe 1</v>
      </c>
      <c r="C21" s="11">
        <f>IF(A21="","",SUMIFS('Convocations &amp; Temps de jeu'!$K$4:$K$675,'Convocations &amp; Temps de jeu'!$B$4:$B$675,A21))</f>
        <v>0</v>
      </c>
      <c r="D21" s="11">
        <f>IF(A21="","",COUNTIF(Buts!$C$4:$C$151,A21))</f>
        <v>0</v>
      </c>
      <c r="E21" s="11">
        <f>IF(A21="","",COUNTIFS(Buts!$C$4:$C$151,A21,Buts!$F$4:$F$151,"Tête"))</f>
        <v>0</v>
      </c>
      <c r="F21" s="11">
        <f>IF(A21="","",COUNTIFS(Buts!$C$4:$C$151,A21,Buts!$F$4:$F$151,"Penalty"))</f>
        <v>0</v>
      </c>
      <c r="G21" s="11">
        <f>IF(A21="","",COUNTIFS(Buts!$C$4:$C$151,A21,Buts!$F$4:$F$151,"Coup franc"))</f>
        <v>0</v>
      </c>
      <c r="H21" s="11">
        <f>IF(A21="","",COUNTIF(Buts!$D$4:$D$151,A21))</f>
        <v>0</v>
      </c>
      <c r="I21" s="11">
        <f>IF(A21="","",COUNTIFS(Cartons!$C$4:$C$121,A21,Cartons!$E$4:$E$121,"Jaune"))</f>
        <v>0</v>
      </c>
      <c r="J21" s="11">
        <f>IF(A21="","",COUNTIFS(Cartons!$C$4:$C$121,A21,Cartons!$E$4:$E$121,"Rouge"))</f>
        <v>0</v>
      </c>
      <c r="K21" s="11">
        <f>IF(A21="","",SUMIFS('Convocations &amp; Temps de jeu'!$J$4:$J$675,'Convocations &amp; Temps de jeu'!$B$4:$B$675,A21))</f>
        <v>0</v>
      </c>
      <c r="L21" s="5">
        <f>IF($A21="","",SUMIFS('Convocations &amp; Temps de jeu'!$P$4:$P$675,'Convocations &amp; Temps de jeu'!$B$4:$B$675,$A21))</f>
        <v>0</v>
      </c>
      <c r="M21" s="5">
        <f>IF($A21="","",SUMIFS('Convocations &amp; Temps de jeu'!$Q$4:$Q$675,'Convocations &amp; Temps de jeu'!$B$4:$B$675,$A21))</f>
        <v>0</v>
      </c>
      <c r="N21" s="16" t="str">
        <f t="shared" si="0"/>
        <v/>
      </c>
      <c r="O21" s="16" t="str">
        <f t="shared" si="1"/>
        <v/>
      </c>
      <c r="P21" s="20" t="str">
        <f t="shared" si="2"/>
        <v/>
      </c>
      <c r="Q21" s="5">
        <f>IF($A21="","",COUNTIFS('Convocations &amp; Temps de jeu'!$B$4:$B$675,$A21,'Convocations &amp; Temps de jeu'!$D$4:$D$675,"Non retenu"))</f>
        <v>0</v>
      </c>
      <c r="R21" s="5">
        <f>IF($A21="","",COUNTIFS('Convocations &amp; Temps de jeu'!$B$4:$B$675,$A21,'Convocations &amp; Temps de jeu'!$D$4:$D$675,"Blessé/malade"))</f>
        <v>0</v>
      </c>
      <c r="S21" s="5">
        <f>IF($A21="","",COUNTIFS('Convocations &amp; Temps de jeu'!$B$4:$B$675,$A21,'Convocations &amp; Temps de jeu'!$D$4:$D$675,"Pas venu à l'entraînement"))</f>
        <v>0</v>
      </c>
      <c r="T21" s="5">
        <f>IF($A21="","",COUNTIFS('Convocations &amp; Temps de jeu'!$B$4:$B$675,$A21,'Convocations &amp; Temps de jeu'!$D$4:$D$675,"Autre"))</f>
        <v>0</v>
      </c>
      <c r="U21" s="5">
        <f>IF($A21="","",COUNTIFS(Gardien!$B$4:$B$500,$A21))</f>
        <v>0</v>
      </c>
      <c r="V21" s="5">
        <f>IF($A21="","",COUNTIFS(Gardien!$B$4:$B$500,$A21,Gardien!$D$4:$D$500,"Oui"))</f>
        <v>0</v>
      </c>
      <c r="W21" s="5">
        <f>IF($A21="","",SUMIFS(Gardien!$C$4:$C$500,Gardien!$B$4:$B$500,$A21))</f>
        <v>0</v>
      </c>
    </row>
    <row r="22" spans="1:23" ht="15" customHeight="1" x14ac:dyDescent="0.25">
      <c r="A22" s="11" t="str">
        <f>'Effectif Saison'!E21</f>
        <v>Tom SCHILLER</v>
      </c>
      <c r="B22" s="11" t="str">
        <f>'Effectif Saison'!D21</f>
        <v>Équipe 1</v>
      </c>
      <c r="C22" s="11">
        <f>IF(A22="","",SUMIFS('Convocations &amp; Temps de jeu'!$K$4:$K$675,'Convocations &amp; Temps de jeu'!$B$4:$B$675,A22))</f>
        <v>0</v>
      </c>
      <c r="D22" s="11">
        <f>IF(A22="","",COUNTIF(Buts!$C$4:$C$151,A22))</f>
        <v>0</v>
      </c>
      <c r="E22" s="11">
        <f>IF(A22="","",COUNTIFS(Buts!$C$4:$C$151,A22,Buts!$F$4:$F$151,"Tête"))</f>
        <v>0</v>
      </c>
      <c r="F22" s="11">
        <f>IF(A22="","",COUNTIFS(Buts!$C$4:$C$151,A22,Buts!$F$4:$F$151,"Penalty"))</f>
        <v>0</v>
      </c>
      <c r="G22" s="11">
        <f>IF(A22="","",COUNTIFS(Buts!$C$4:$C$151,A22,Buts!$F$4:$F$151,"Coup franc"))</f>
        <v>0</v>
      </c>
      <c r="H22" s="11">
        <f>IF(A22="","",COUNTIF(Buts!$D$4:$D$151,A22))</f>
        <v>0</v>
      </c>
      <c r="I22" s="11">
        <f>IF(A22="","",COUNTIFS(Cartons!$C$4:$C$121,A22,Cartons!$E$4:$E$121,"Jaune"))</f>
        <v>0</v>
      </c>
      <c r="J22" s="11">
        <f>IF(A22="","",COUNTIFS(Cartons!$C$4:$C$121,A22,Cartons!$E$4:$E$121,"Rouge"))</f>
        <v>0</v>
      </c>
      <c r="K22" s="11">
        <f>IF(A22="","",SUMIFS('Convocations &amp; Temps de jeu'!$J$4:$J$675,'Convocations &amp; Temps de jeu'!$B$4:$B$675,A22))</f>
        <v>0</v>
      </c>
      <c r="L22" s="5">
        <f>IF($A22="","",SUMIFS('Convocations &amp; Temps de jeu'!$P$4:$P$675,'Convocations &amp; Temps de jeu'!$B$4:$B$675,$A22))</f>
        <v>0</v>
      </c>
      <c r="M22" s="5">
        <f>IF($A22="","",SUMIFS('Convocations &amp; Temps de jeu'!$Q$4:$Q$675,'Convocations &amp; Temps de jeu'!$B$4:$B$675,$A22))</f>
        <v>0</v>
      </c>
      <c r="N22" s="16" t="str">
        <f t="shared" si="0"/>
        <v/>
      </c>
      <c r="O22" s="16" t="str">
        <f t="shared" si="1"/>
        <v/>
      </c>
      <c r="P22" s="20" t="str">
        <f t="shared" si="2"/>
        <v/>
      </c>
      <c r="Q22" s="5">
        <f>IF($A22="","",COUNTIFS('Convocations &amp; Temps de jeu'!$B$4:$B$675,$A22,'Convocations &amp; Temps de jeu'!$D$4:$D$675,"Non retenu"))</f>
        <v>0</v>
      </c>
      <c r="R22" s="5">
        <f>IF($A22="","",COUNTIFS('Convocations &amp; Temps de jeu'!$B$4:$B$675,$A22,'Convocations &amp; Temps de jeu'!$D$4:$D$675,"Blessé/malade"))</f>
        <v>0</v>
      </c>
      <c r="S22" s="5">
        <f>IF($A22="","",COUNTIFS('Convocations &amp; Temps de jeu'!$B$4:$B$675,$A22,'Convocations &amp; Temps de jeu'!$D$4:$D$675,"Pas venu à l'entraînement"))</f>
        <v>0</v>
      </c>
      <c r="T22" s="5">
        <f>IF($A22="","",COUNTIFS('Convocations &amp; Temps de jeu'!$B$4:$B$675,$A22,'Convocations &amp; Temps de jeu'!$D$4:$D$675,"Autre"))</f>
        <v>0</v>
      </c>
      <c r="U22" s="5">
        <f>IF($A22="","",COUNTIFS(Gardien!$B$4:$B$500,$A22))</f>
        <v>0</v>
      </c>
      <c r="V22" s="5">
        <f>IF($A22="","",COUNTIFS(Gardien!$B$4:$B$500,$A22,Gardien!$D$4:$D$500,"Oui"))</f>
        <v>0</v>
      </c>
      <c r="W22" s="5">
        <f>IF($A22="","",SUMIFS(Gardien!$C$4:$C$500,Gardien!$B$4:$B$500,$A22))</f>
        <v>0</v>
      </c>
    </row>
    <row r="23" spans="1:23" ht="15" customHeight="1" x14ac:dyDescent="0.25">
      <c r="A23" s="11" t="str">
        <f>'Effectif Saison'!E22</f>
        <v>Eliot LEIBY</v>
      </c>
      <c r="B23" s="11" t="str">
        <f>'Effectif Saison'!D22</f>
        <v>Équipe 1</v>
      </c>
      <c r="C23" s="11">
        <f>IF(A23="","",SUMIFS('Convocations &amp; Temps de jeu'!$K$4:$K$675,'Convocations &amp; Temps de jeu'!$B$4:$B$675,A23))</f>
        <v>0</v>
      </c>
      <c r="D23" s="11">
        <f>IF(A23="","",COUNTIF(Buts!$C$4:$C$151,A23))</f>
        <v>0</v>
      </c>
      <c r="E23" s="11">
        <f>IF(A23="","",COUNTIFS(Buts!$C$4:$C$151,A23,Buts!$F$4:$F$151,"Tête"))</f>
        <v>0</v>
      </c>
      <c r="F23" s="11">
        <f>IF(A23="","",COUNTIFS(Buts!$C$4:$C$151,A23,Buts!$F$4:$F$151,"Penalty"))</f>
        <v>0</v>
      </c>
      <c r="G23" s="11">
        <f>IF(A23="","",COUNTIFS(Buts!$C$4:$C$151,A23,Buts!$F$4:$F$151,"Coup franc"))</f>
        <v>0</v>
      </c>
      <c r="H23" s="11">
        <f>IF(A23="","",COUNTIF(Buts!$D$4:$D$151,A23))</f>
        <v>0</v>
      </c>
      <c r="I23" s="11">
        <f>IF(A23="","",COUNTIFS(Cartons!$C$4:$C$121,A23,Cartons!$E$4:$E$121,"Jaune"))</f>
        <v>0</v>
      </c>
      <c r="J23" s="11">
        <f>IF(A23="","",COUNTIFS(Cartons!$C$4:$C$121,A23,Cartons!$E$4:$E$121,"Rouge"))</f>
        <v>0</v>
      </c>
      <c r="K23" s="11">
        <f>IF(A23="","",SUMIFS('Convocations &amp; Temps de jeu'!$J$4:$J$675,'Convocations &amp; Temps de jeu'!$B$4:$B$675,A23))</f>
        <v>0</v>
      </c>
      <c r="L23" s="5">
        <f>IF($A23="","",SUMIFS('Convocations &amp; Temps de jeu'!$P$4:$P$675,'Convocations &amp; Temps de jeu'!$B$4:$B$675,$A23))</f>
        <v>0</v>
      </c>
      <c r="M23" s="5">
        <f>IF($A23="","",SUMIFS('Convocations &amp; Temps de jeu'!$Q$4:$Q$675,'Convocations &amp; Temps de jeu'!$B$4:$B$675,$A23))</f>
        <v>0</v>
      </c>
      <c r="N23" s="16" t="str">
        <f t="shared" si="0"/>
        <v/>
      </c>
      <c r="O23" s="16" t="str">
        <f t="shared" si="1"/>
        <v/>
      </c>
      <c r="P23" s="20" t="str">
        <f t="shared" si="2"/>
        <v/>
      </c>
      <c r="Q23" s="5">
        <f>IF($A23="","",COUNTIFS('Convocations &amp; Temps de jeu'!$B$4:$B$675,$A23,'Convocations &amp; Temps de jeu'!$D$4:$D$675,"Non retenu"))</f>
        <v>0</v>
      </c>
      <c r="R23" s="5">
        <f>IF($A23="","",COUNTIFS('Convocations &amp; Temps de jeu'!$B$4:$B$675,$A23,'Convocations &amp; Temps de jeu'!$D$4:$D$675,"Blessé/malade"))</f>
        <v>0</v>
      </c>
      <c r="S23" s="5">
        <f>IF($A23="","",COUNTIFS('Convocations &amp; Temps de jeu'!$B$4:$B$675,$A23,'Convocations &amp; Temps de jeu'!$D$4:$D$675,"Pas venu à l'entraînement"))</f>
        <v>0</v>
      </c>
      <c r="T23" s="5">
        <f>IF($A23="","",COUNTIFS('Convocations &amp; Temps de jeu'!$B$4:$B$675,$A23,'Convocations &amp; Temps de jeu'!$D$4:$D$675,"Autre"))</f>
        <v>0</v>
      </c>
      <c r="U23" s="5">
        <f>IF($A23="","",COUNTIFS(Gardien!$B$4:$B$500,$A23))</f>
        <v>0</v>
      </c>
      <c r="V23" s="5">
        <f>IF($A23="","",COUNTIFS(Gardien!$B$4:$B$500,$A23,Gardien!$D$4:$D$500,"Oui"))</f>
        <v>0</v>
      </c>
      <c r="W23" s="5">
        <f>IF($A23="","",SUMIFS(Gardien!$C$4:$C$500,Gardien!$B$4:$B$500,$A23))</f>
        <v>0</v>
      </c>
    </row>
    <row r="24" spans="1:23" ht="15" customHeight="1" x14ac:dyDescent="0.25">
      <c r="A24" s="11" t="str">
        <f>'Effectif Saison'!E23</f>
        <v>Mathias STRAUB</v>
      </c>
      <c r="B24" s="11" t="str">
        <f>'Effectif Saison'!D23</f>
        <v>Équipe 2</v>
      </c>
      <c r="C24" s="11">
        <f>IF(A24="","",SUMIFS('Convocations &amp; Temps de jeu'!$K$4:$K$675,'Convocations &amp; Temps de jeu'!$B$4:$B$675,A24))</f>
        <v>0</v>
      </c>
      <c r="D24" s="11">
        <f>IF(A24="","",COUNTIF(Buts!$C$4:$C$151,A24))</f>
        <v>0</v>
      </c>
      <c r="E24" s="11">
        <f>IF(A24="","",COUNTIFS(Buts!$C$4:$C$151,A24,Buts!$F$4:$F$151,"Tête"))</f>
        <v>0</v>
      </c>
      <c r="F24" s="11">
        <f>IF(A24="","",COUNTIFS(Buts!$C$4:$C$151,A24,Buts!$F$4:$F$151,"Penalty"))</f>
        <v>0</v>
      </c>
      <c r="G24" s="11">
        <f>IF(A24="","",COUNTIFS(Buts!$C$4:$C$151,A24,Buts!$F$4:$F$151,"Coup franc"))</f>
        <v>0</v>
      </c>
      <c r="H24" s="11">
        <f>IF(A24="","",COUNTIF(Buts!$D$4:$D$151,A24))</f>
        <v>0</v>
      </c>
      <c r="I24" s="11">
        <f>IF(A24="","",COUNTIFS(Cartons!$C$4:$C$121,A24,Cartons!$E$4:$E$121,"Jaune"))</f>
        <v>0</v>
      </c>
      <c r="J24" s="11">
        <f>IF(A24="","",COUNTIFS(Cartons!$C$4:$C$121,A24,Cartons!$E$4:$E$121,"Rouge"))</f>
        <v>0</v>
      </c>
      <c r="K24" s="11">
        <f>IF(A24="","",SUMIFS('Convocations &amp; Temps de jeu'!$J$4:$J$675,'Convocations &amp; Temps de jeu'!$B$4:$B$675,A24))</f>
        <v>0</v>
      </c>
      <c r="L24" s="5">
        <f>IF($A24="","",SUMIFS('Convocations &amp; Temps de jeu'!$P$4:$P$675,'Convocations &amp; Temps de jeu'!$B$4:$B$675,$A24))</f>
        <v>0</v>
      </c>
      <c r="M24" s="5">
        <f>IF($A24="","",SUMIFS('Convocations &amp; Temps de jeu'!$Q$4:$Q$675,'Convocations &amp; Temps de jeu'!$B$4:$B$675,$A24))</f>
        <v>0</v>
      </c>
      <c r="N24" s="16" t="str">
        <f t="shared" si="0"/>
        <v/>
      </c>
      <c r="O24" s="16" t="str">
        <f t="shared" si="1"/>
        <v/>
      </c>
      <c r="P24" s="20" t="str">
        <f t="shared" si="2"/>
        <v/>
      </c>
      <c r="Q24" s="5">
        <f>IF($A24="","",COUNTIFS('Convocations &amp; Temps de jeu'!$B$4:$B$675,$A24,'Convocations &amp; Temps de jeu'!$D$4:$D$675,"Non retenu"))</f>
        <v>0</v>
      </c>
      <c r="R24" s="5">
        <f>IF($A24="","",COUNTIFS('Convocations &amp; Temps de jeu'!$B$4:$B$675,$A24,'Convocations &amp; Temps de jeu'!$D$4:$D$675,"Blessé/malade"))</f>
        <v>0</v>
      </c>
      <c r="S24" s="5">
        <f>IF($A24="","",COUNTIFS('Convocations &amp; Temps de jeu'!$B$4:$B$675,$A24,'Convocations &amp; Temps de jeu'!$D$4:$D$675,"Pas venu à l'entraînement"))</f>
        <v>0</v>
      </c>
      <c r="T24" s="5">
        <f>IF($A24="","",COUNTIFS('Convocations &amp; Temps de jeu'!$B$4:$B$675,$A24,'Convocations &amp; Temps de jeu'!$D$4:$D$675,"Autre"))</f>
        <v>0</v>
      </c>
      <c r="U24" s="5">
        <f>IF($A24="","",COUNTIFS(Gardien!$B$4:$B$500,$A24))</f>
        <v>0</v>
      </c>
      <c r="V24" s="5">
        <f>IF($A24="","",COUNTIFS(Gardien!$B$4:$B$500,$A24,Gardien!$D$4:$D$500,"Oui"))</f>
        <v>0</v>
      </c>
      <c r="W24" s="5">
        <f>IF($A24="","",SUMIFS(Gardien!$C$4:$C$500,Gardien!$B$4:$B$500,$A24))</f>
        <v>0</v>
      </c>
    </row>
    <row r="25" spans="1:23" ht="15" customHeight="1" x14ac:dyDescent="0.25">
      <c r="A25" s="11" t="str">
        <f>'Effectif Saison'!E24</f>
        <v>Paul GENDRIN</v>
      </c>
      <c r="B25" s="11" t="str">
        <f>'Effectif Saison'!D24</f>
        <v>Équipe 2</v>
      </c>
      <c r="C25" s="11">
        <f>IF(A25="","",SUMIFS('Convocations &amp; Temps de jeu'!$K$4:$K$675,'Convocations &amp; Temps de jeu'!$B$4:$B$675,A25))</f>
        <v>0</v>
      </c>
      <c r="D25" s="11">
        <f>IF(A25="","",COUNTIF(Buts!$C$4:$C$151,A25))</f>
        <v>0</v>
      </c>
      <c r="E25" s="11">
        <f>IF(A25="","",COUNTIFS(Buts!$C$4:$C$151,A25,Buts!$F$4:$F$151,"Tête"))</f>
        <v>0</v>
      </c>
      <c r="F25" s="11">
        <f>IF(A25="","",COUNTIFS(Buts!$C$4:$C$151,A25,Buts!$F$4:$F$151,"Penalty"))</f>
        <v>0</v>
      </c>
      <c r="G25" s="11">
        <f>IF(A25="","",COUNTIFS(Buts!$C$4:$C$151,A25,Buts!$F$4:$F$151,"Coup franc"))</f>
        <v>0</v>
      </c>
      <c r="H25" s="11">
        <f>IF(A25="","",COUNTIF(Buts!$D$4:$D$151,A25))</f>
        <v>0</v>
      </c>
      <c r="I25" s="11">
        <f>IF(A25="","",COUNTIFS(Cartons!$C$4:$C$121,A25,Cartons!$E$4:$E$121,"Jaune"))</f>
        <v>0</v>
      </c>
      <c r="J25" s="11">
        <f>IF(A25="","",COUNTIFS(Cartons!$C$4:$C$121,A25,Cartons!$E$4:$E$121,"Rouge"))</f>
        <v>0</v>
      </c>
      <c r="K25" s="11">
        <f>IF(A25="","",SUMIFS('Convocations &amp; Temps de jeu'!$J$4:$J$675,'Convocations &amp; Temps de jeu'!$B$4:$B$675,A25))</f>
        <v>0</v>
      </c>
      <c r="L25" s="5">
        <f>IF($A25="","",SUMIFS('Convocations &amp; Temps de jeu'!$P$4:$P$675,'Convocations &amp; Temps de jeu'!$B$4:$B$675,$A25))</f>
        <v>0</v>
      </c>
      <c r="M25" s="5">
        <f>IF($A25="","",SUMIFS('Convocations &amp; Temps de jeu'!$Q$4:$Q$675,'Convocations &amp; Temps de jeu'!$B$4:$B$675,$A25))</f>
        <v>0</v>
      </c>
      <c r="N25" s="16" t="str">
        <f t="shared" si="0"/>
        <v/>
      </c>
      <c r="O25" s="16" t="str">
        <f t="shared" si="1"/>
        <v/>
      </c>
      <c r="P25" s="20" t="str">
        <f t="shared" si="2"/>
        <v/>
      </c>
      <c r="Q25" s="5">
        <f>IF($A25="","",COUNTIFS('Convocations &amp; Temps de jeu'!$B$4:$B$675,$A25,'Convocations &amp; Temps de jeu'!$D$4:$D$675,"Non retenu"))</f>
        <v>0</v>
      </c>
      <c r="R25" s="5">
        <f>IF($A25="","",COUNTIFS('Convocations &amp; Temps de jeu'!$B$4:$B$675,$A25,'Convocations &amp; Temps de jeu'!$D$4:$D$675,"Blessé/malade"))</f>
        <v>0</v>
      </c>
      <c r="S25" s="5">
        <f>IF($A25="","",COUNTIFS('Convocations &amp; Temps de jeu'!$B$4:$B$675,$A25,'Convocations &amp; Temps de jeu'!$D$4:$D$675,"Pas venu à l'entraînement"))</f>
        <v>0</v>
      </c>
      <c r="T25" s="5">
        <f>IF($A25="","",COUNTIFS('Convocations &amp; Temps de jeu'!$B$4:$B$675,$A25,'Convocations &amp; Temps de jeu'!$D$4:$D$675,"Autre"))</f>
        <v>0</v>
      </c>
      <c r="U25" s="5">
        <f>IF($A25="","",COUNTIFS(Gardien!$B$4:$B$500,$A25))</f>
        <v>0</v>
      </c>
      <c r="V25" s="5">
        <f>IF($A25="","",COUNTIFS(Gardien!$B$4:$B$500,$A25,Gardien!$D$4:$D$500,"Oui"))</f>
        <v>0</v>
      </c>
      <c r="W25" s="5">
        <f>IF($A25="","",SUMIFS(Gardien!$C$4:$C$500,Gardien!$B$4:$B$500,$A25))</f>
        <v>0</v>
      </c>
    </row>
    <row r="26" spans="1:23" ht="15" customHeight="1" x14ac:dyDescent="0.25">
      <c r="A26" s="11" t="str">
        <f>'Effectif Saison'!E25</f>
        <v>Jules JEHL</v>
      </c>
      <c r="B26" s="11" t="str">
        <f>'Effectif Saison'!D25</f>
        <v>Équipe 2</v>
      </c>
      <c r="C26" s="11">
        <f>IF(A26="","",SUMIFS('Convocations &amp; Temps de jeu'!$K$4:$K$675,'Convocations &amp; Temps de jeu'!$B$4:$B$675,A26))</f>
        <v>0</v>
      </c>
      <c r="D26" s="11">
        <f>IF(A26="","",COUNTIF(Buts!$C$4:$C$151,A26))</f>
        <v>0</v>
      </c>
      <c r="E26" s="11">
        <f>IF(A26="","",COUNTIFS(Buts!$C$4:$C$151,A26,Buts!$F$4:$F$151,"Tête"))</f>
        <v>0</v>
      </c>
      <c r="F26" s="11">
        <f>IF(A26="","",COUNTIFS(Buts!$C$4:$C$151,A26,Buts!$F$4:$F$151,"Penalty"))</f>
        <v>0</v>
      </c>
      <c r="G26" s="11">
        <f>IF(A26="","",COUNTIFS(Buts!$C$4:$C$151,A26,Buts!$F$4:$F$151,"Coup franc"))</f>
        <v>0</v>
      </c>
      <c r="H26" s="11">
        <f>IF(A26="","",COUNTIF(Buts!$D$4:$D$151,A26))</f>
        <v>0</v>
      </c>
      <c r="I26" s="11">
        <f>IF(A26="","",COUNTIFS(Cartons!$C$4:$C$121,A26,Cartons!$E$4:$E$121,"Jaune"))</f>
        <v>0</v>
      </c>
      <c r="J26" s="11">
        <f>IF(A26="","",COUNTIFS(Cartons!$C$4:$C$121,A26,Cartons!$E$4:$E$121,"Rouge"))</f>
        <v>0</v>
      </c>
      <c r="K26" s="11">
        <f>IF(A26="","",SUMIFS('Convocations &amp; Temps de jeu'!$J$4:$J$675,'Convocations &amp; Temps de jeu'!$B$4:$B$675,A26))</f>
        <v>0</v>
      </c>
      <c r="L26" s="5">
        <f>IF($A26="","",SUMIFS('Convocations &amp; Temps de jeu'!$P$4:$P$675,'Convocations &amp; Temps de jeu'!$B$4:$B$675,$A26))</f>
        <v>0</v>
      </c>
      <c r="M26" s="5">
        <f>IF($A26="","",SUMIFS('Convocations &amp; Temps de jeu'!$Q$4:$Q$675,'Convocations &amp; Temps de jeu'!$B$4:$B$675,$A26))</f>
        <v>0</v>
      </c>
      <c r="N26" s="16" t="str">
        <f t="shared" si="0"/>
        <v/>
      </c>
      <c r="O26" s="16" t="str">
        <f t="shared" si="1"/>
        <v/>
      </c>
      <c r="P26" s="20" t="str">
        <f t="shared" si="2"/>
        <v/>
      </c>
      <c r="Q26" s="5">
        <f>IF($A26="","",COUNTIFS('Convocations &amp; Temps de jeu'!$B$4:$B$675,$A26,'Convocations &amp; Temps de jeu'!$D$4:$D$675,"Non retenu"))</f>
        <v>0</v>
      </c>
      <c r="R26" s="5">
        <f>IF($A26="","",COUNTIFS('Convocations &amp; Temps de jeu'!$B$4:$B$675,$A26,'Convocations &amp; Temps de jeu'!$D$4:$D$675,"Blessé/malade"))</f>
        <v>0</v>
      </c>
      <c r="S26" s="5">
        <f>IF($A26="","",COUNTIFS('Convocations &amp; Temps de jeu'!$B$4:$B$675,$A26,'Convocations &amp; Temps de jeu'!$D$4:$D$675,"Pas venu à l'entraînement"))</f>
        <v>0</v>
      </c>
      <c r="T26" s="5">
        <f>IF($A26="","",COUNTIFS('Convocations &amp; Temps de jeu'!$B$4:$B$675,$A26,'Convocations &amp; Temps de jeu'!$D$4:$D$675,"Autre"))</f>
        <v>0</v>
      </c>
      <c r="U26" s="5">
        <f>IF($A26="","",COUNTIFS(Gardien!$B$4:$B$500,$A26))</f>
        <v>0</v>
      </c>
      <c r="V26" s="5">
        <f>IF($A26="","",COUNTIFS(Gardien!$B$4:$B$500,$A26,Gardien!$D$4:$D$500,"Oui"))</f>
        <v>0</v>
      </c>
      <c r="W26" s="5">
        <f>IF($A26="","",SUMIFS(Gardien!$C$4:$C$500,Gardien!$B$4:$B$500,$A26))</f>
        <v>0</v>
      </c>
    </row>
    <row r="27" spans="1:23" ht="15" customHeight="1" x14ac:dyDescent="0.25">
      <c r="A27" s="11" t="str">
        <f>'Effectif Saison'!E26</f>
        <v>Bastien BOHN</v>
      </c>
      <c r="B27" s="11" t="str">
        <f>'Effectif Saison'!D26</f>
        <v>Équipe 2</v>
      </c>
      <c r="C27" s="11">
        <f>IF(A27="","",SUMIFS('Convocations &amp; Temps de jeu'!$K$4:$K$675,'Convocations &amp; Temps de jeu'!$B$4:$B$675,A27))</f>
        <v>0</v>
      </c>
      <c r="D27" s="11">
        <f>IF(A27="","",COUNTIF(Buts!$C$4:$C$151,A27))</f>
        <v>0</v>
      </c>
      <c r="E27" s="11">
        <f>IF(A27="","",COUNTIFS(Buts!$C$4:$C$151,A27,Buts!$F$4:$F$151,"Tête"))</f>
        <v>0</v>
      </c>
      <c r="F27" s="11">
        <f>IF(A27="","",COUNTIFS(Buts!$C$4:$C$151,A27,Buts!$F$4:$F$151,"Penalty"))</f>
        <v>0</v>
      </c>
      <c r="G27" s="11">
        <f>IF(A27="","",COUNTIFS(Buts!$C$4:$C$151,A27,Buts!$F$4:$F$151,"Coup franc"))</f>
        <v>0</v>
      </c>
      <c r="H27" s="11">
        <f>IF(A27="","",COUNTIF(Buts!$D$4:$D$151,A27))</f>
        <v>0</v>
      </c>
      <c r="I27" s="11">
        <f>IF(A27="","",COUNTIFS(Cartons!$C$4:$C$121,A27,Cartons!$E$4:$E$121,"Jaune"))</f>
        <v>0</v>
      </c>
      <c r="J27" s="11">
        <f>IF(A27="","",COUNTIFS(Cartons!$C$4:$C$121,A27,Cartons!$E$4:$E$121,"Rouge"))</f>
        <v>0</v>
      </c>
      <c r="K27" s="11">
        <f>IF(A27="","",SUMIFS('Convocations &amp; Temps de jeu'!$J$4:$J$675,'Convocations &amp; Temps de jeu'!$B$4:$B$675,A27))</f>
        <v>0</v>
      </c>
      <c r="L27" s="5">
        <f>IF($A27="","",SUMIFS('Convocations &amp; Temps de jeu'!$P$4:$P$675,'Convocations &amp; Temps de jeu'!$B$4:$B$675,$A27))</f>
        <v>0</v>
      </c>
      <c r="M27" s="5">
        <f>IF($A27="","",SUMIFS('Convocations &amp; Temps de jeu'!$Q$4:$Q$675,'Convocations &amp; Temps de jeu'!$B$4:$B$675,$A27))</f>
        <v>0</v>
      </c>
      <c r="N27" s="16" t="str">
        <f t="shared" si="0"/>
        <v/>
      </c>
      <c r="O27" s="16" t="str">
        <f t="shared" si="1"/>
        <v/>
      </c>
      <c r="P27" s="20" t="str">
        <f t="shared" si="2"/>
        <v/>
      </c>
      <c r="Q27" s="5">
        <f>IF($A27="","",COUNTIFS('Convocations &amp; Temps de jeu'!$B$4:$B$675,$A27,'Convocations &amp; Temps de jeu'!$D$4:$D$675,"Non retenu"))</f>
        <v>0</v>
      </c>
      <c r="R27" s="5">
        <f>IF($A27="","",COUNTIFS('Convocations &amp; Temps de jeu'!$B$4:$B$675,$A27,'Convocations &amp; Temps de jeu'!$D$4:$D$675,"Blessé/malade"))</f>
        <v>0</v>
      </c>
      <c r="S27" s="5">
        <f>IF($A27="","",COUNTIFS('Convocations &amp; Temps de jeu'!$B$4:$B$675,$A27,'Convocations &amp; Temps de jeu'!$D$4:$D$675,"Pas venu à l'entraînement"))</f>
        <v>0</v>
      </c>
      <c r="T27" s="5">
        <f>IF($A27="","",COUNTIFS('Convocations &amp; Temps de jeu'!$B$4:$B$675,$A27,'Convocations &amp; Temps de jeu'!$D$4:$D$675,"Autre"))</f>
        <v>0</v>
      </c>
      <c r="U27" s="5">
        <f>IF($A27="","",COUNTIFS(Gardien!$B$4:$B$500,$A27))</f>
        <v>0</v>
      </c>
      <c r="V27" s="5">
        <f>IF($A27="","",COUNTIFS(Gardien!$B$4:$B$500,$A27,Gardien!$D$4:$D$500,"Oui"))</f>
        <v>0</v>
      </c>
      <c r="W27" s="5">
        <f>IF($A27="","",SUMIFS(Gardien!$C$4:$C$500,Gardien!$B$4:$B$500,$A27))</f>
        <v>0</v>
      </c>
    </row>
    <row r="28" spans="1:23" ht="15" customHeight="1" x14ac:dyDescent="0.25">
      <c r="A28" s="11" t="str">
        <f>'Effectif Saison'!E27</f>
        <v>Victor KUHLMANN</v>
      </c>
      <c r="B28" s="11" t="str">
        <f>'Effectif Saison'!D27</f>
        <v>Équipe 2</v>
      </c>
      <c r="C28" s="11">
        <f>IF(A28="","",SUMIFS('Convocations &amp; Temps de jeu'!$K$4:$K$675,'Convocations &amp; Temps de jeu'!$B$4:$B$675,A28))</f>
        <v>0</v>
      </c>
      <c r="D28" s="11">
        <f>IF(A28="","",COUNTIF(Buts!$C$4:$C$151,A28))</f>
        <v>0</v>
      </c>
      <c r="E28" s="11">
        <f>IF(A28="","",COUNTIFS(Buts!$C$4:$C$151,A28,Buts!$F$4:$F$151,"Tête"))</f>
        <v>0</v>
      </c>
      <c r="F28" s="11">
        <f>IF(A28="","",COUNTIFS(Buts!$C$4:$C$151,A28,Buts!$F$4:$F$151,"Penalty"))</f>
        <v>0</v>
      </c>
      <c r="G28" s="11">
        <f>IF(A28="","",COUNTIFS(Buts!$C$4:$C$151,A28,Buts!$F$4:$F$151,"Coup franc"))</f>
        <v>0</v>
      </c>
      <c r="H28" s="11">
        <f>IF(A28="","",COUNTIF(Buts!$D$4:$D$151,A28))</f>
        <v>0</v>
      </c>
      <c r="I28" s="11">
        <f>IF(A28="","",COUNTIFS(Cartons!$C$4:$C$121,A28,Cartons!$E$4:$E$121,"Jaune"))</f>
        <v>0</v>
      </c>
      <c r="J28" s="11">
        <f>IF(A28="","",COUNTIFS(Cartons!$C$4:$C$121,A28,Cartons!$E$4:$E$121,"Rouge"))</f>
        <v>0</v>
      </c>
      <c r="K28" s="11">
        <f>IF(A28="","",SUMIFS('Convocations &amp; Temps de jeu'!$J$4:$J$675,'Convocations &amp; Temps de jeu'!$B$4:$B$675,A28))</f>
        <v>0</v>
      </c>
      <c r="L28" s="5">
        <f>IF($A28="","",SUMIFS('Convocations &amp; Temps de jeu'!$P$4:$P$675,'Convocations &amp; Temps de jeu'!$B$4:$B$675,$A28))</f>
        <v>0</v>
      </c>
      <c r="M28" s="5">
        <f>IF($A28="","",SUMIFS('Convocations &amp; Temps de jeu'!$Q$4:$Q$675,'Convocations &amp; Temps de jeu'!$B$4:$B$675,$A28))</f>
        <v>0</v>
      </c>
      <c r="N28" s="16" t="str">
        <f t="shared" si="0"/>
        <v/>
      </c>
      <c r="O28" s="16" t="str">
        <f t="shared" si="1"/>
        <v/>
      </c>
      <c r="P28" s="20" t="str">
        <f t="shared" si="2"/>
        <v/>
      </c>
      <c r="Q28" s="5">
        <f>IF($A28="","",COUNTIFS('Convocations &amp; Temps de jeu'!$B$4:$B$675,$A28,'Convocations &amp; Temps de jeu'!$D$4:$D$675,"Non retenu"))</f>
        <v>0</v>
      </c>
      <c r="R28" s="5">
        <f>IF($A28="","",COUNTIFS('Convocations &amp; Temps de jeu'!$B$4:$B$675,$A28,'Convocations &amp; Temps de jeu'!$D$4:$D$675,"Blessé/malade"))</f>
        <v>0</v>
      </c>
      <c r="S28" s="5">
        <f>IF($A28="","",COUNTIFS('Convocations &amp; Temps de jeu'!$B$4:$B$675,$A28,'Convocations &amp; Temps de jeu'!$D$4:$D$675,"Pas venu à l'entraînement"))</f>
        <v>0</v>
      </c>
      <c r="T28" s="5">
        <f>IF($A28="","",COUNTIFS('Convocations &amp; Temps de jeu'!$B$4:$B$675,$A28,'Convocations &amp; Temps de jeu'!$D$4:$D$675,"Autre"))</f>
        <v>0</v>
      </c>
      <c r="U28" s="5">
        <f>IF($A28="","",COUNTIFS(Gardien!$B$4:$B$500,$A28))</f>
        <v>0</v>
      </c>
      <c r="V28" s="5">
        <f>IF($A28="","",COUNTIFS(Gardien!$B$4:$B$500,$A28,Gardien!$D$4:$D$500,"Oui"))</f>
        <v>0</v>
      </c>
      <c r="W28" s="5">
        <f>IF($A28="","",SUMIFS(Gardien!$C$4:$C$500,Gardien!$B$4:$B$500,$A28))</f>
        <v>0</v>
      </c>
    </row>
    <row r="29" spans="1:23" ht="15" customHeight="1" x14ac:dyDescent="0.25">
      <c r="A29" s="11" t="str">
        <f>'Effectif Saison'!E28</f>
        <v>Nathan GOERIG</v>
      </c>
      <c r="B29" s="11" t="str">
        <f>'Effectif Saison'!D28</f>
        <v>Équipe 2</v>
      </c>
      <c r="C29" s="11">
        <f>IF(A29="","",SUMIFS('Convocations &amp; Temps de jeu'!$K$4:$K$675,'Convocations &amp; Temps de jeu'!$B$4:$B$675,A29))</f>
        <v>0</v>
      </c>
      <c r="D29" s="11">
        <f>IF(A29="","",COUNTIF(Buts!$C$4:$C$151,A29))</f>
        <v>0</v>
      </c>
      <c r="E29" s="11">
        <f>IF(A29="","",COUNTIFS(Buts!$C$4:$C$151,A29,Buts!$F$4:$F$151,"Tête"))</f>
        <v>0</v>
      </c>
      <c r="F29" s="11">
        <f>IF(A29="","",COUNTIFS(Buts!$C$4:$C$151,A29,Buts!$F$4:$F$151,"Penalty"))</f>
        <v>0</v>
      </c>
      <c r="G29" s="11">
        <f>IF(A29="","",COUNTIFS(Buts!$C$4:$C$151,A29,Buts!$F$4:$F$151,"Coup franc"))</f>
        <v>0</v>
      </c>
      <c r="H29" s="11">
        <f>IF(A29="","",COUNTIF(Buts!$D$4:$D$151,A29))</f>
        <v>0</v>
      </c>
      <c r="I29" s="11">
        <f>IF(A29="","",COUNTIFS(Cartons!$C$4:$C$121,A29,Cartons!$E$4:$E$121,"Jaune"))</f>
        <v>0</v>
      </c>
      <c r="J29" s="11">
        <f>IF(A29="","",COUNTIFS(Cartons!$C$4:$C$121,A29,Cartons!$E$4:$E$121,"Rouge"))</f>
        <v>0</v>
      </c>
      <c r="K29" s="11">
        <f>IF(A29="","",SUMIFS('Convocations &amp; Temps de jeu'!$J$4:$J$675,'Convocations &amp; Temps de jeu'!$B$4:$B$675,A29))</f>
        <v>0</v>
      </c>
      <c r="L29" s="5">
        <f>IF($A29="","",SUMIFS('Convocations &amp; Temps de jeu'!$P$4:$P$675,'Convocations &amp; Temps de jeu'!$B$4:$B$675,$A29))</f>
        <v>0</v>
      </c>
      <c r="M29" s="5">
        <f>IF($A29="","",SUMIFS('Convocations &amp; Temps de jeu'!$Q$4:$Q$675,'Convocations &amp; Temps de jeu'!$B$4:$B$675,$A29))</f>
        <v>0</v>
      </c>
      <c r="N29" s="16" t="str">
        <f t="shared" si="0"/>
        <v/>
      </c>
      <c r="O29" s="16" t="str">
        <f t="shared" si="1"/>
        <v/>
      </c>
      <c r="P29" s="20" t="str">
        <f t="shared" si="2"/>
        <v/>
      </c>
      <c r="Q29" s="5">
        <f>IF($A29="","",COUNTIFS('Convocations &amp; Temps de jeu'!$B$4:$B$675,$A29,'Convocations &amp; Temps de jeu'!$D$4:$D$675,"Non retenu"))</f>
        <v>0</v>
      </c>
      <c r="R29" s="5">
        <f>IF($A29="","",COUNTIFS('Convocations &amp; Temps de jeu'!$B$4:$B$675,$A29,'Convocations &amp; Temps de jeu'!$D$4:$D$675,"Blessé/malade"))</f>
        <v>0</v>
      </c>
      <c r="S29" s="5">
        <f>IF($A29="","",COUNTIFS('Convocations &amp; Temps de jeu'!$B$4:$B$675,$A29,'Convocations &amp; Temps de jeu'!$D$4:$D$675,"Pas venu à l'entraînement"))</f>
        <v>0</v>
      </c>
      <c r="T29" s="5">
        <f>IF($A29="","",COUNTIFS('Convocations &amp; Temps de jeu'!$B$4:$B$675,$A29,'Convocations &amp; Temps de jeu'!$D$4:$D$675,"Autre"))</f>
        <v>0</v>
      </c>
      <c r="U29" s="5">
        <f>IF($A29="","",COUNTIFS(Gardien!$B$4:$B$500,$A29))</f>
        <v>0</v>
      </c>
      <c r="V29" s="5">
        <f>IF($A29="","",COUNTIFS(Gardien!$B$4:$B$500,$A29,Gardien!$D$4:$D$500,"Oui"))</f>
        <v>0</v>
      </c>
      <c r="W29" s="5">
        <f>IF($A29="","",SUMIFS(Gardien!$C$4:$C$500,Gardien!$B$4:$B$500,$A29))</f>
        <v>0</v>
      </c>
    </row>
    <row r="30" spans="1:23" ht="15" customHeight="1" x14ac:dyDescent="0.25">
      <c r="A30" s="11" t="str">
        <f>'Effectif Saison'!E29</f>
        <v>Florian OPPERMANN</v>
      </c>
      <c r="B30" s="11" t="str">
        <f>'Effectif Saison'!D29</f>
        <v>Équipe 2</v>
      </c>
      <c r="C30" s="11">
        <f>IF(A30="","",SUMIFS('Convocations &amp; Temps de jeu'!$K$4:$K$675,'Convocations &amp; Temps de jeu'!$B$4:$B$675,A30))</f>
        <v>0</v>
      </c>
      <c r="D30" s="11">
        <f>IF(A30="","",COUNTIF(Buts!$C$4:$C$151,A30))</f>
        <v>0</v>
      </c>
      <c r="E30" s="11">
        <f>IF(A30="","",COUNTIFS(Buts!$C$4:$C$151,A30,Buts!$F$4:$F$151,"Tête"))</f>
        <v>0</v>
      </c>
      <c r="F30" s="11">
        <f>IF(A30="","",COUNTIFS(Buts!$C$4:$C$151,A30,Buts!$F$4:$F$151,"Penalty"))</f>
        <v>0</v>
      </c>
      <c r="G30" s="11">
        <f>IF(A30="","",COUNTIFS(Buts!$C$4:$C$151,A30,Buts!$F$4:$F$151,"Coup franc"))</f>
        <v>0</v>
      </c>
      <c r="H30" s="11">
        <f>IF(A30="","",COUNTIF(Buts!$D$4:$D$151,A30))</f>
        <v>0</v>
      </c>
      <c r="I30" s="11">
        <f>IF(A30="","",COUNTIFS(Cartons!$C$4:$C$121,A30,Cartons!$E$4:$E$121,"Jaune"))</f>
        <v>0</v>
      </c>
      <c r="J30" s="11">
        <f>IF(A30="","",COUNTIFS(Cartons!$C$4:$C$121,A30,Cartons!$E$4:$E$121,"Rouge"))</f>
        <v>0</v>
      </c>
      <c r="K30" s="11">
        <f>IF(A30="","",SUMIFS('Convocations &amp; Temps de jeu'!$J$4:$J$675,'Convocations &amp; Temps de jeu'!$B$4:$B$675,A30))</f>
        <v>0</v>
      </c>
      <c r="L30" s="5">
        <f>IF($A30="","",SUMIFS('Convocations &amp; Temps de jeu'!$P$4:$P$675,'Convocations &amp; Temps de jeu'!$B$4:$B$675,$A30))</f>
        <v>0</v>
      </c>
      <c r="M30" s="5">
        <f>IF($A30="","",SUMIFS('Convocations &amp; Temps de jeu'!$Q$4:$Q$675,'Convocations &amp; Temps de jeu'!$B$4:$B$675,$A30))</f>
        <v>0</v>
      </c>
      <c r="N30" s="16" t="str">
        <f t="shared" si="0"/>
        <v/>
      </c>
      <c r="O30" s="16" t="str">
        <f t="shared" si="1"/>
        <v/>
      </c>
      <c r="P30" s="20" t="str">
        <f t="shared" si="2"/>
        <v/>
      </c>
      <c r="Q30" s="5">
        <f>IF($A30="","",COUNTIFS('Convocations &amp; Temps de jeu'!$B$4:$B$675,$A30,'Convocations &amp; Temps de jeu'!$D$4:$D$675,"Non retenu"))</f>
        <v>0</v>
      </c>
      <c r="R30" s="5">
        <f>IF($A30="","",COUNTIFS('Convocations &amp; Temps de jeu'!$B$4:$B$675,$A30,'Convocations &amp; Temps de jeu'!$D$4:$D$675,"Blessé/malade"))</f>
        <v>0</v>
      </c>
      <c r="S30" s="5">
        <f>IF($A30="","",COUNTIFS('Convocations &amp; Temps de jeu'!$B$4:$B$675,$A30,'Convocations &amp; Temps de jeu'!$D$4:$D$675,"Pas venu à l'entraînement"))</f>
        <v>0</v>
      </c>
      <c r="T30" s="5">
        <f>IF($A30="","",COUNTIFS('Convocations &amp; Temps de jeu'!$B$4:$B$675,$A30,'Convocations &amp; Temps de jeu'!$D$4:$D$675,"Autre"))</f>
        <v>0</v>
      </c>
      <c r="U30" s="5">
        <f>IF($A30="","",COUNTIFS(Gardien!$B$4:$B$500,$A30))</f>
        <v>0</v>
      </c>
      <c r="V30" s="5">
        <f>IF($A30="","",COUNTIFS(Gardien!$B$4:$B$500,$A30,Gardien!$D$4:$D$500,"Oui"))</f>
        <v>0</v>
      </c>
      <c r="W30" s="5">
        <f>IF($A30="","",SUMIFS(Gardien!$C$4:$C$500,Gardien!$B$4:$B$500,$A30))</f>
        <v>0</v>
      </c>
    </row>
    <row r="31" spans="1:23" ht="15" customHeight="1" x14ac:dyDescent="0.25">
      <c r="A31" s="11" t="str">
        <f>'Effectif Saison'!E30</f>
        <v>Evan OBRECHT</v>
      </c>
      <c r="B31" s="11" t="str">
        <f>'Effectif Saison'!D30</f>
        <v>Équipe 2</v>
      </c>
      <c r="C31" s="11">
        <f>IF(A31="","",SUMIFS('Convocations &amp; Temps de jeu'!$K$4:$K$675,'Convocations &amp; Temps de jeu'!$B$4:$B$675,A31))</f>
        <v>0</v>
      </c>
      <c r="D31" s="11">
        <f>IF(A31="","",COUNTIF(Buts!$C$4:$C$151,A31))</f>
        <v>0</v>
      </c>
      <c r="E31" s="11">
        <f>IF(A31="","",COUNTIFS(Buts!$C$4:$C$151,A31,Buts!$F$4:$F$151,"Tête"))</f>
        <v>0</v>
      </c>
      <c r="F31" s="11">
        <f>IF(A31="","",COUNTIFS(Buts!$C$4:$C$151,A31,Buts!$F$4:$F$151,"Penalty"))</f>
        <v>0</v>
      </c>
      <c r="G31" s="11">
        <f>IF(A31="","",COUNTIFS(Buts!$C$4:$C$151,A31,Buts!$F$4:$F$151,"Coup franc"))</f>
        <v>0</v>
      </c>
      <c r="H31" s="11">
        <f>IF(A31="","",COUNTIF(Buts!$D$4:$D$151,A31))</f>
        <v>0</v>
      </c>
      <c r="I31" s="11">
        <f>IF(A31="","",COUNTIFS(Cartons!$C$4:$C$121,A31,Cartons!$E$4:$E$121,"Jaune"))</f>
        <v>0</v>
      </c>
      <c r="J31" s="11">
        <f>IF(A31="","",COUNTIFS(Cartons!$C$4:$C$121,A31,Cartons!$E$4:$E$121,"Rouge"))</f>
        <v>0</v>
      </c>
      <c r="K31" s="11">
        <f>IF(A31="","",SUMIFS('Convocations &amp; Temps de jeu'!$J$4:$J$675,'Convocations &amp; Temps de jeu'!$B$4:$B$675,A31))</f>
        <v>0</v>
      </c>
      <c r="L31" s="5">
        <f>IF($A31="","",SUMIFS('Convocations &amp; Temps de jeu'!$P$4:$P$675,'Convocations &amp; Temps de jeu'!$B$4:$B$675,$A31))</f>
        <v>0</v>
      </c>
      <c r="M31" s="5">
        <f>IF($A31="","",SUMIFS('Convocations &amp; Temps de jeu'!$Q$4:$Q$675,'Convocations &amp; Temps de jeu'!$B$4:$B$675,$A31))</f>
        <v>0</v>
      </c>
      <c r="N31" s="16" t="str">
        <f t="shared" si="0"/>
        <v/>
      </c>
      <c r="O31" s="16" t="str">
        <f t="shared" si="1"/>
        <v/>
      </c>
      <c r="P31" s="20" t="str">
        <f t="shared" si="2"/>
        <v/>
      </c>
      <c r="Q31" s="5">
        <f>IF($A31="","",COUNTIFS('Convocations &amp; Temps de jeu'!$B$4:$B$675,$A31,'Convocations &amp; Temps de jeu'!$D$4:$D$675,"Non retenu"))</f>
        <v>0</v>
      </c>
      <c r="R31" s="5">
        <f>IF($A31="","",COUNTIFS('Convocations &amp; Temps de jeu'!$B$4:$B$675,$A31,'Convocations &amp; Temps de jeu'!$D$4:$D$675,"Blessé/malade"))</f>
        <v>0</v>
      </c>
      <c r="S31" s="5">
        <f>IF($A31="","",COUNTIFS('Convocations &amp; Temps de jeu'!$B$4:$B$675,$A31,'Convocations &amp; Temps de jeu'!$D$4:$D$675,"Pas venu à l'entraînement"))</f>
        <v>0</v>
      </c>
      <c r="T31" s="5">
        <f>IF($A31="","",COUNTIFS('Convocations &amp; Temps de jeu'!$B$4:$B$675,$A31,'Convocations &amp; Temps de jeu'!$D$4:$D$675,"Autre"))</f>
        <v>0</v>
      </c>
      <c r="U31" s="5">
        <f>IF($A31="","",COUNTIFS(Gardien!$B$4:$B$500,$A31))</f>
        <v>0</v>
      </c>
      <c r="V31" s="5">
        <f>IF($A31="","",COUNTIFS(Gardien!$B$4:$B$500,$A31,Gardien!$D$4:$D$500,"Oui"))</f>
        <v>0</v>
      </c>
      <c r="W31" s="5">
        <f>IF($A31="","",SUMIFS(Gardien!$C$4:$C$500,Gardien!$B$4:$B$500,$A31))</f>
        <v>0</v>
      </c>
    </row>
    <row r="32" spans="1:23" ht="15" customHeight="1" x14ac:dyDescent="0.25">
      <c r="A32" s="11" t="str">
        <f>'Effectif Saison'!E31</f>
        <v>Arthur GASS</v>
      </c>
      <c r="B32" s="11" t="str">
        <f>'Effectif Saison'!D31</f>
        <v>Équipe 2</v>
      </c>
      <c r="C32" s="11">
        <f>IF(A32="","",SUMIFS('Convocations &amp; Temps de jeu'!$K$4:$K$675,'Convocations &amp; Temps de jeu'!$B$4:$B$675,A32))</f>
        <v>0</v>
      </c>
      <c r="D32" s="11">
        <f>IF(A32="","",COUNTIF(Buts!$C$4:$C$151,A32))</f>
        <v>0</v>
      </c>
      <c r="E32" s="11">
        <f>IF(A32="","",COUNTIFS(Buts!$C$4:$C$151,A32,Buts!$F$4:$F$151,"Tête"))</f>
        <v>0</v>
      </c>
      <c r="F32" s="11">
        <f>IF(A32="","",COUNTIFS(Buts!$C$4:$C$151,A32,Buts!$F$4:$F$151,"Penalty"))</f>
        <v>0</v>
      </c>
      <c r="G32" s="11">
        <f>IF(A32="","",COUNTIFS(Buts!$C$4:$C$151,A32,Buts!$F$4:$F$151,"Coup franc"))</f>
        <v>0</v>
      </c>
      <c r="H32" s="11">
        <f>IF(A32="","",COUNTIF(Buts!$D$4:$D$151,A32))</f>
        <v>0</v>
      </c>
      <c r="I32" s="11">
        <f>IF(A32="","",COUNTIFS(Cartons!$C$4:$C$121,A32,Cartons!$E$4:$E$121,"Jaune"))</f>
        <v>0</v>
      </c>
      <c r="J32" s="11">
        <f>IF(A32="","",COUNTIFS(Cartons!$C$4:$C$121,A32,Cartons!$E$4:$E$121,"Rouge"))</f>
        <v>0</v>
      </c>
      <c r="K32" s="11">
        <f>IF(A32="","",SUMIFS('Convocations &amp; Temps de jeu'!$J$4:$J$675,'Convocations &amp; Temps de jeu'!$B$4:$B$675,A32))</f>
        <v>0</v>
      </c>
      <c r="L32" s="5">
        <f>IF($A32="","",SUMIFS('Convocations &amp; Temps de jeu'!$P$4:$P$675,'Convocations &amp; Temps de jeu'!$B$4:$B$675,$A32))</f>
        <v>0</v>
      </c>
      <c r="M32" s="5">
        <f>IF($A32="","",SUMIFS('Convocations &amp; Temps de jeu'!$Q$4:$Q$675,'Convocations &amp; Temps de jeu'!$B$4:$B$675,$A32))</f>
        <v>0</v>
      </c>
      <c r="N32" s="16" t="str">
        <f t="shared" si="0"/>
        <v/>
      </c>
      <c r="O32" s="16" t="str">
        <f t="shared" si="1"/>
        <v/>
      </c>
      <c r="P32" s="20" t="str">
        <f t="shared" si="2"/>
        <v/>
      </c>
      <c r="Q32" s="5">
        <f>IF($A32="","",COUNTIFS('Convocations &amp; Temps de jeu'!$B$4:$B$675,$A32,'Convocations &amp; Temps de jeu'!$D$4:$D$675,"Non retenu"))</f>
        <v>0</v>
      </c>
      <c r="R32" s="5">
        <f>IF($A32="","",COUNTIFS('Convocations &amp; Temps de jeu'!$B$4:$B$675,$A32,'Convocations &amp; Temps de jeu'!$D$4:$D$675,"Blessé/malade"))</f>
        <v>0</v>
      </c>
      <c r="S32" s="5">
        <f>IF($A32="","",COUNTIFS('Convocations &amp; Temps de jeu'!$B$4:$B$675,$A32,'Convocations &amp; Temps de jeu'!$D$4:$D$675,"Pas venu à l'entraînement"))</f>
        <v>0</v>
      </c>
      <c r="T32" s="5">
        <f>IF($A32="","",COUNTIFS('Convocations &amp; Temps de jeu'!$B$4:$B$675,$A32,'Convocations &amp; Temps de jeu'!$D$4:$D$675,"Autre"))</f>
        <v>0</v>
      </c>
      <c r="U32" s="5">
        <f>IF($A32="","",COUNTIFS(Gardien!$B$4:$B$500,$A32))</f>
        <v>0</v>
      </c>
      <c r="V32" s="5">
        <f>IF($A32="","",COUNTIFS(Gardien!$B$4:$B$500,$A32,Gardien!$D$4:$D$500,"Oui"))</f>
        <v>0</v>
      </c>
      <c r="W32" s="5">
        <f>IF($A32="","",SUMIFS(Gardien!$C$4:$C$500,Gardien!$B$4:$B$500,$A32))</f>
        <v>0</v>
      </c>
    </row>
    <row r="33" spans="1:23" ht="15" customHeight="1" x14ac:dyDescent="0.25">
      <c r="A33" s="11" t="str">
        <f>'Effectif Saison'!E32</f>
        <v>Alex TROESTER</v>
      </c>
      <c r="B33" s="11" t="str">
        <f>'Effectif Saison'!D32</f>
        <v>Équipe 2</v>
      </c>
      <c r="C33" s="11">
        <f>IF(A33="","",SUMIFS('Convocations &amp; Temps de jeu'!$K$4:$K$675,'Convocations &amp; Temps de jeu'!$B$4:$B$675,A33))</f>
        <v>0</v>
      </c>
      <c r="D33" s="11">
        <f>IF(A33="","",COUNTIF(Buts!$C$4:$C$151,A33))</f>
        <v>0</v>
      </c>
      <c r="E33" s="11">
        <f>IF(A33="","",COUNTIFS(Buts!$C$4:$C$151,A33,Buts!$F$4:$F$151,"Tête"))</f>
        <v>0</v>
      </c>
      <c r="F33" s="11">
        <f>IF(A33="","",COUNTIFS(Buts!$C$4:$C$151,A33,Buts!$F$4:$F$151,"Penalty"))</f>
        <v>0</v>
      </c>
      <c r="G33" s="11">
        <f>IF(A33="","",COUNTIFS(Buts!$C$4:$C$151,A33,Buts!$F$4:$F$151,"Coup franc"))</f>
        <v>0</v>
      </c>
      <c r="H33" s="11">
        <f>IF(A33="","",COUNTIF(Buts!$D$4:$D$151,A33))</f>
        <v>0</v>
      </c>
      <c r="I33" s="11">
        <f>IF(A33="","",COUNTIFS(Cartons!$C$4:$C$121,A33,Cartons!$E$4:$E$121,"Jaune"))</f>
        <v>0</v>
      </c>
      <c r="J33" s="11">
        <f>IF(A33="","",COUNTIFS(Cartons!$C$4:$C$121,A33,Cartons!$E$4:$E$121,"Rouge"))</f>
        <v>0</v>
      </c>
      <c r="K33" s="11">
        <f>IF(A33="","",SUMIFS('Convocations &amp; Temps de jeu'!$J$4:$J$675,'Convocations &amp; Temps de jeu'!$B$4:$B$675,A33))</f>
        <v>0</v>
      </c>
      <c r="L33" s="5">
        <f>IF($A33="","",SUMIFS('Convocations &amp; Temps de jeu'!$P$4:$P$675,'Convocations &amp; Temps de jeu'!$B$4:$B$675,$A33))</f>
        <v>0</v>
      </c>
      <c r="M33" s="5">
        <f>IF($A33="","",SUMIFS('Convocations &amp; Temps de jeu'!$Q$4:$Q$675,'Convocations &amp; Temps de jeu'!$B$4:$B$675,$A33))</f>
        <v>0</v>
      </c>
      <c r="N33" s="16" t="str">
        <f t="shared" si="0"/>
        <v/>
      </c>
      <c r="O33" s="16" t="str">
        <f t="shared" si="1"/>
        <v/>
      </c>
      <c r="P33" s="20" t="str">
        <f t="shared" si="2"/>
        <v/>
      </c>
      <c r="Q33" s="5">
        <f>IF($A33="","",COUNTIFS('Convocations &amp; Temps de jeu'!$B$4:$B$675,$A33,'Convocations &amp; Temps de jeu'!$D$4:$D$675,"Non retenu"))</f>
        <v>0</v>
      </c>
      <c r="R33" s="5">
        <f>IF($A33="","",COUNTIFS('Convocations &amp; Temps de jeu'!$B$4:$B$675,$A33,'Convocations &amp; Temps de jeu'!$D$4:$D$675,"Blessé/malade"))</f>
        <v>0</v>
      </c>
      <c r="S33" s="5">
        <f>IF($A33="","",COUNTIFS('Convocations &amp; Temps de jeu'!$B$4:$B$675,$A33,'Convocations &amp; Temps de jeu'!$D$4:$D$675,"Pas venu à l'entraînement"))</f>
        <v>0</v>
      </c>
      <c r="T33" s="5">
        <f>IF($A33="","",COUNTIFS('Convocations &amp; Temps de jeu'!$B$4:$B$675,$A33,'Convocations &amp; Temps de jeu'!$D$4:$D$675,"Autre"))</f>
        <v>0</v>
      </c>
      <c r="U33" s="5">
        <f>IF($A33="","",COUNTIFS(Gardien!$B$4:$B$500,$A33))</f>
        <v>0</v>
      </c>
      <c r="V33" s="5">
        <f>IF($A33="","",COUNTIFS(Gardien!$B$4:$B$500,$A33,Gardien!$D$4:$D$500,"Oui"))</f>
        <v>0</v>
      </c>
      <c r="W33" s="5">
        <f>IF($A33="","",SUMIFS(Gardien!$C$4:$C$500,Gardien!$B$4:$B$500,$A33))</f>
        <v>0</v>
      </c>
    </row>
    <row r="34" spans="1:23" ht="15" customHeight="1" x14ac:dyDescent="0.25">
      <c r="A34" s="11" t="str">
        <f>'Effectif Saison'!E33</f>
        <v>Tristan MEYER</v>
      </c>
      <c r="B34" s="11" t="str">
        <f>'Effectif Saison'!D33</f>
        <v>Équipe 2</v>
      </c>
      <c r="C34" s="11">
        <f>IF(A34="","",SUMIFS('Convocations &amp; Temps de jeu'!$K$4:$K$675,'Convocations &amp; Temps de jeu'!$B$4:$B$675,A34))</f>
        <v>0</v>
      </c>
      <c r="D34" s="11">
        <f>IF(A34="","",COUNTIF(Buts!$C$4:$C$151,A34))</f>
        <v>0</v>
      </c>
      <c r="E34" s="11">
        <f>IF(A34="","",COUNTIFS(Buts!$C$4:$C$151,A34,Buts!$F$4:$F$151,"Tête"))</f>
        <v>0</v>
      </c>
      <c r="F34" s="11">
        <f>IF(A34="","",COUNTIFS(Buts!$C$4:$C$151,A34,Buts!$F$4:$F$151,"Penalty"))</f>
        <v>0</v>
      </c>
      <c r="G34" s="11">
        <f>IF(A34="","",COUNTIFS(Buts!$C$4:$C$151,A34,Buts!$F$4:$F$151,"Coup franc"))</f>
        <v>0</v>
      </c>
      <c r="H34" s="11">
        <f>IF(A34="","",COUNTIF(Buts!$D$4:$D$151,A34))</f>
        <v>0</v>
      </c>
      <c r="I34" s="11">
        <f>IF(A34="","",COUNTIFS(Cartons!$C$4:$C$121,A34,Cartons!$E$4:$E$121,"Jaune"))</f>
        <v>0</v>
      </c>
      <c r="J34" s="11">
        <f>IF(A34="","",COUNTIFS(Cartons!$C$4:$C$121,A34,Cartons!$E$4:$E$121,"Rouge"))</f>
        <v>0</v>
      </c>
      <c r="K34" s="11">
        <f>IF(A34="","",SUMIFS('Convocations &amp; Temps de jeu'!$J$4:$J$675,'Convocations &amp; Temps de jeu'!$B$4:$B$675,A34))</f>
        <v>0</v>
      </c>
      <c r="L34" s="5">
        <f>IF($A34="","",SUMIFS('Convocations &amp; Temps de jeu'!$P$4:$P$675,'Convocations &amp; Temps de jeu'!$B$4:$B$675,$A34))</f>
        <v>0</v>
      </c>
      <c r="M34" s="5">
        <f>IF($A34="","",SUMIFS('Convocations &amp; Temps de jeu'!$Q$4:$Q$675,'Convocations &amp; Temps de jeu'!$B$4:$B$675,$A34))</f>
        <v>0</v>
      </c>
      <c r="N34" s="16" t="str">
        <f t="shared" si="0"/>
        <v/>
      </c>
      <c r="O34" s="16" t="str">
        <f t="shared" si="1"/>
        <v/>
      </c>
      <c r="P34" s="20" t="str">
        <f t="shared" si="2"/>
        <v/>
      </c>
      <c r="Q34" s="5">
        <f>IF($A34="","",COUNTIFS('Convocations &amp; Temps de jeu'!$B$4:$B$675,$A34,'Convocations &amp; Temps de jeu'!$D$4:$D$675,"Non retenu"))</f>
        <v>0</v>
      </c>
      <c r="R34" s="5">
        <f>IF($A34="","",COUNTIFS('Convocations &amp; Temps de jeu'!$B$4:$B$675,$A34,'Convocations &amp; Temps de jeu'!$D$4:$D$675,"Blessé/malade"))</f>
        <v>0</v>
      </c>
      <c r="S34" s="5">
        <f>IF($A34="","",COUNTIFS('Convocations &amp; Temps de jeu'!$B$4:$B$675,$A34,'Convocations &amp; Temps de jeu'!$D$4:$D$675,"Pas venu à l'entraînement"))</f>
        <v>0</v>
      </c>
      <c r="T34" s="5">
        <f>IF($A34="","",COUNTIFS('Convocations &amp; Temps de jeu'!$B$4:$B$675,$A34,'Convocations &amp; Temps de jeu'!$D$4:$D$675,"Autre"))</f>
        <v>0</v>
      </c>
      <c r="U34" s="5">
        <f>IF($A34="","",COUNTIFS(Gardien!$B$4:$B$500,$A34))</f>
        <v>0</v>
      </c>
      <c r="V34" s="5">
        <f>IF($A34="","",COUNTIFS(Gardien!$B$4:$B$500,$A34,Gardien!$D$4:$D$500,"Oui"))</f>
        <v>0</v>
      </c>
      <c r="W34" s="5">
        <f>IF($A34="","",SUMIFS(Gardien!$C$4:$C$500,Gardien!$B$4:$B$500,$A34))</f>
        <v>0</v>
      </c>
    </row>
    <row r="35" spans="1:23" ht="15" customHeight="1" x14ac:dyDescent="0.25">
      <c r="A35" s="11" t="str">
        <f>'Effectif Saison'!E34</f>
        <v>Noam AHAMADA</v>
      </c>
      <c r="B35" s="11" t="str">
        <f>'Effectif Saison'!D34</f>
        <v>Équipe 2</v>
      </c>
      <c r="C35" s="11">
        <f>IF(A35="","",SUMIFS('Convocations &amp; Temps de jeu'!$K$4:$K$675,'Convocations &amp; Temps de jeu'!$B$4:$B$675,A35))</f>
        <v>0</v>
      </c>
      <c r="D35" s="11">
        <f>IF(A35="","",COUNTIF(Buts!$C$4:$C$151,A35))</f>
        <v>0</v>
      </c>
      <c r="E35" s="11">
        <f>IF(A35="","",COUNTIFS(Buts!$C$4:$C$151,A35,Buts!$F$4:$F$151,"Tête"))</f>
        <v>0</v>
      </c>
      <c r="F35" s="11">
        <f>IF(A35="","",COUNTIFS(Buts!$C$4:$C$151,A35,Buts!$F$4:$F$151,"Penalty"))</f>
        <v>0</v>
      </c>
      <c r="G35" s="11">
        <f>IF(A35="","",COUNTIFS(Buts!$C$4:$C$151,A35,Buts!$F$4:$F$151,"Coup franc"))</f>
        <v>0</v>
      </c>
      <c r="H35" s="11">
        <f>IF(A35="","",COUNTIF(Buts!$D$4:$D$151,A35))</f>
        <v>0</v>
      </c>
      <c r="I35" s="11">
        <f>IF(A35="","",COUNTIFS(Cartons!$C$4:$C$121,A35,Cartons!$E$4:$E$121,"Jaune"))</f>
        <v>0</v>
      </c>
      <c r="J35" s="11">
        <f>IF(A35="","",COUNTIFS(Cartons!$C$4:$C$121,A35,Cartons!$E$4:$E$121,"Rouge"))</f>
        <v>0</v>
      </c>
      <c r="K35" s="11">
        <f>IF(A35="","",SUMIFS('Convocations &amp; Temps de jeu'!$J$4:$J$675,'Convocations &amp; Temps de jeu'!$B$4:$B$675,A35))</f>
        <v>0</v>
      </c>
      <c r="L35" s="5">
        <f>IF($A35="","",SUMIFS('Convocations &amp; Temps de jeu'!$P$4:$P$675,'Convocations &amp; Temps de jeu'!$B$4:$B$675,$A35))</f>
        <v>0</v>
      </c>
      <c r="M35" s="5">
        <f>IF($A35="","",SUMIFS('Convocations &amp; Temps de jeu'!$Q$4:$Q$675,'Convocations &amp; Temps de jeu'!$B$4:$B$675,$A35))</f>
        <v>0</v>
      </c>
      <c r="N35" s="16" t="str">
        <f t="shared" si="0"/>
        <v/>
      </c>
      <c r="O35" s="16" t="str">
        <f t="shared" si="1"/>
        <v/>
      </c>
      <c r="P35" s="20" t="str">
        <f t="shared" si="2"/>
        <v/>
      </c>
      <c r="Q35" s="5">
        <f>IF($A35="","",COUNTIFS('Convocations &amp; Temps de jeu'!$B$4:$B$675,$A35,'Convocations &amp; Temps de jeu'!$D$4:$D$675,"Non retenu"))</f>
        <v>0</v>
      </c>
      <c r="R35" s="5">
        <f>IF($A35="","",COUNTIFS('Convocations &amp; Temps de jeu'!$B$4:$B$675,$A35,'Convocations &amp; Temps de jeu'!$D$4:$D$675,"Blessé/malade"))</f>
        <v>0</v>
      </c>
      <c r="S35" s="5">
        <f>IF($A35="","",COUNTIFS('Convocations &amp; Temps de jeu'!$B$4:$B$675,$A35,'Convocations &amp; Temps de jeu'!$D$4:$D$675,"Pas venu à l'entraînement"))</f>
        <v>0</v>
      </c>
      <c r="T35" s="5">
        <f>IF($A35="","",COUNTIFS('Convocations &amp; Temps de jeu'!$B$4:$B$675,$A35,'Convocations &amp; Temps de jeu'!$D$4:$D$675,"Autre"))</f>
        <v>0</v>
      </c>
      <c r="U35" s="5">
        <f>IF($A35="","",COUNTIFS(Gardien!$B$4:$B$500,$A35))</f>
        <v>0</v>
      </c>
      <c r="V35" s="5">
        <f>IF($A35="","",COUNTIFS(Gardien!$B$4:$B$500,$A35,Gardien!$D$4:$D$500,"Oui"))</f>
        <v>0</v>
      </c>
      <c r="W35" s="5">
        <f>IF($A35="","",SUMIFS(Gardien!$C$4:$C$500,Gardien!$B$4:$B$500,$A35))</f>
        <v>0</v>
      </c>
    </row>
    <row r="36" spans="1:23" ht="15" customHeight="1" x14ac:dyDescent="0.25">
      <c r="A36" s="11" t="str">
        <f>'Effectif Saison'!E35</f>
        <v>Baptiste NOUVELOT</v>
      </c>
      <c r="B36" s="11" t="str">
        <f>'Effectif Saison'!D35</f>
        <v>Équipe 2</v>
      </c>
      <c r="C36" s="11">
        <f>IF(A36="","",SUMIFS('Convocations &amp; Temps de jeu'!$K$4:$K$675,'Convocations &amp; Temps de jeu'!$B$4:$B$675,A36))</f>
        <v>0</v>
      </c>
      <c r="D36" s="11">
        <f>IF(A36="","",COUNTIF(Buts!$C$4:$C$151,A36))</f>
        <v>0</v>
      </c>
      <c r="E36" s="11">
        <f>IF(A36="","",COUNTIFS(Buts!$C$4:$C$151,A36,Buts!$F$4:$F$151,"Tête"))</f>
        <v>0</v>
      </c>
      <c r="F36" s="11">
        <f>IF(A36="","",COUNTIFS(Buts!$C$4:$C$151,A36,Buts!$F$4:$F$151,"Penalty"))</f>
        <v>0</v>
      </c>
      <c r="G36" s="11">
        <f>IF(A36="","",COUNTIFS(Buts!$C$4:$C$151,A36,Buts!$F$4:$F$151,"Coup franc"))</f>
        <v>0</v>
      </c>
      <c r="H36" s="11">
        <f>IF(A36="","",COUNTIF(Buts!$D$4:$D$151,A36))</f>
        <v>0</v>
      </c>
      <c r="I36" s="11">
        <f>IF(A36="","",COUNTIFS(Cartons!$C$4:$C$121,A36,Cartons!$E$4:$E$121,"Jaune"))</f>
        <v>0</v>
      </c>
      <c r="J36" s="11">
        <f>IF(A36="","",COUNTIFS(Cartons!$C$4:$C$121,A36,Cartons!$E$4:$E$121,"Rouge"))</f>
        <v>0</v>
      </c>
      <c r="K36" s="11">
        <f>IF(A36="","",SUMIFS('Convocations &amp; Temps de jeu'!$J$4:$J$675,'Convocations &amp; Temps de jeu'!$B$4:$B$675,A36))</f>
        <v>0</v>
      </c>
      <c r="L36" s="5">
        <f>IF($A36="","",SUMIFS('Convocations &amp; Temps de jeu'!$P$4:$P$675,'Convocations &amp; Temps de jeu'!$B$4:$B$675,$A36))</f>
        <v>0</v>
      </c>
      <c r="M36" s="5">
        <f>IF($A36="","",SUMIFS('Convocations &amp; Temps de jeu'!$Q$4:$Q$675,'Convocations &amp; Temps de jeu'!$B$4:$B$675,$A36))</f>
        <v>0</v>
      </c>
      <c r="N36" s="16" t="str">
        <f t="shared" si="0"/>
        <v/>
      </c>
      <c r="O36" s="16" t="str">
        <f t="shared" si="1"/>
        <v/>
      </c>
      <c r="P36" s="20" t="str">
        <f t="shared" si="2"/>
        <v/>
      </c>
      <c r="Q36" s="5">
        <f>IF($A36="","",COUNTIFS('Convocations &amp; Temps de jeu'!$B$4:$B$675,$A36,'Convocations &amp; Temps de jeu'!$D$4:$D$675,"Non retenu"))</f>
        <v>0</v>
      </c>
      <c r="R36" s="5">
        <f>IF($A36="","",COUNTIFS('Convocations &amp; Temps de jeu'!$B$4:$B$675,$A36,'Convocations &amp; Temps de jeu'!$D$4:$D$675,"Blessé/malade"))</f>
        <v>0</v>
      </c>
      <c r="S36" s="5">
        <f>IF($A36="","",COUNTIFS('Convocations &amp; Temps de jeu'!$B$4:$B$675,$A36,'Convocations &amp; Temps de jeu'!$D$4:$D$675,"Pas venu à l'entraînement"))</f>
        <v>0</v>
      </c>
      <c r="T36" s="5">
        <f>IF($A36="","",COUNTIFS('Convocations &amp; Temps de jeu'!$B$4:$B$675,$A36,'Convocations &amp; Temps de jeu'!$D$4:$D$675,"Autre"))</f>
        <v>0</v>
      </c>
      <c r="U36" s="5">
        <f>IF($A36="","",COUNTIFS(Gardien!$B$4:$B$500,$A36))</f>
        <v>0</v>
      </c>
      <c r="V36" s="5">
        <f>IF($A36="","",COUNTIFS(Gardien!$B$4:$B$500,$A36,Gardien!$D$4:$D$500,"Oui"))</f>
        <v>0</v>
      </c>
      <c r="W36" s="5">
        <f>IF($A36="","",SUMIFS(Gardien!$C$4:$C$500,Gardien!$B$4:$B$500,$A36))</f>
        <v>0</v>
      </c>
    </row>
    <row r="37" spans="1:23" ht="15" customHeight="1" x14ac:dyDescent="0.25">
      <c r="A37" s="11" t="str">
        <f>'Effectif Saison'!E36</f>
        <v>Mael JEHAN</v>
      </c>
      <c r="B37" s="11" t="str">
        <f>'Effectif Saison'!D36</f>
        <v>Équipe 2</v>
      </c>
      <c r="C37" s="11">
        <f>IF(A37="","",SUMIFS('Convocations &amp; Temps de jeu'!$K$4:$K$675,'Convocations &amp; Temps de jeu'!$B$4:$B$675,A37))</f>
        <v>0</v>
      </c>
      <c r="D37" s="11">
        <f>IF(A37="","",COUNTIF(Buts!$C$4:$C$151,A37))</f>
        <v>0</v>
      </c>
      <c r="E37" s="11">
        <f>IF(A37="","",COUNTIFS(Buts!$C$4:$C$151,A37,Buts!$F$4:$F$151,"Tête"))</f>
        <v>0</v>
      </c>
      <c r="F37" s="11">
        <f>IF(A37="","",COUNTIFS(Buts!$C$4:$C$151,A37,Buts!$F$4:$F$151,"Penalty"))</f>
        <v>0</v>
      </c>
      <c r="G37" s="11">
        <f>IF(A37="","",COUNTIFS(Buts!$C$4:$C$151,A37,Buts!$F$4:$F$151,"Coup franc"))</f>
        <v>0</v>
      </c>
      <c r="H37" s="11">
        <f>IF(A37="","",COUNTIF(Buts!$D$4:$D$151,A37))</f>
        <v>0</v>
      </c>
      <c r="I37" s="11">
        <f>IF(A37="","",COUNTIFS(Cartons!$C$4:$C$121,A37,Cartons!$E$4:$E$121,"Jaune"))</f>
        <v>0</v>
      </c>
      <c r="J37" s="11">
        <f>IF(A37="","",COUNTIFS(Cartons!$C$4:$C$121,A37,Cartons!$E$4:$E$121,"Rouge"))</f>
        <v>0</v>
      </c>
      <c r="K37" s="11">
        <f>IF(A37="","",SUMIFS('Convocations &amp; Temps de jeu'!$J$4:$J$675,'Convocations &amp; Temps de jeu'!$B$4:$B$675,A37))</f>
        <v>0</v>
      </c>
      <c r="L37" s="5">
        <f>IF($A37="","",SUMIFS('Convocations &amp; Temps de jeu'!$P$4:$P$675,'Convocations &amp; Temps de jeu'!$B$4:$B$675,$A37))</f>
        <v>0</v>
      </c>
      <c r="M37" s="5">
        <f>IF($A37="","",SUMIFS('Convocations &amp; Temps de jeu'!$Q$4:$Q$675,'Convocations &amp; Temps de jeu'!$B$4:$B$675,$A37))</f>
        <v>0</v>
      </c>
      <c r="N37" s="16" t="str">
        <f t="shared" si="0"/>
        <v/>
      </c>
      <c r="O37" s="16" t="str">
        <f t="shared" si="1"/>
        <v/>
      </c>
      <c r="P37" s="20" t="str">
        <f t="shared" si="2"/>
        <v/>
      </c>
      <c r="Q37" s="5">
        <f>IF($A37="","",COUNTIFS('Convocations &amp; Temps de jeu'!$B$4:$B$675,$A37,'Convocations &amp; Temps de jeu'!$D$4:$D$675,"Non retenu"))</f>
        <v>0</v>
      </c>
      <c r="R37" s="5">
        <f>IF($A37="","",COUNTIFS('Convocations &amp; Temps de jeu'!$B$4:$B$675,$A37,'Convocations &amp; Temps de jeu'!$D$4:$D$675,"Blessé/malade"))</f>
        <v>0</v>
      </c>
      <c r="S37" s="5">
        <f>IF($A37="","",COUNTIFS('Convocations &amp; Temps de jeu'!$B$4:$B$675,$A37,'Convocations &amp; Temps de jeu'!$D$4:$D$675,"Pas venu à l'entraînement"))</f>
        <v>0</v>
      </c>
      <c r="T37" s="5">
        <f>IF($A37="","",COUNTIFS('Convocations &amp; Temps de jeu'!$B$4:$B$675,$A37,'Convocations &amp; Temps de jeu'!$D$4:$D$675,"Autre"))</f>
        <v>0</v>
      </c>
      <c r="U37" s="5">
        <f>IF($A37="","",COUNTIFS(Gardien!$B$4:$B$500,$A37))</f>
        <v>0</v>
      </c>
      <c r="V37" s="5">
        <f>IF($A37="","",COUNTIFS(Gardien!$B$4:$B$500,$A37,Gardien!$D$4:$D$500,"Oui"))</f>
        <v>0</v>
      </c>
      <c r="W37" s="5">
        <f>IF($A37="","",SUMIFS(Gardien!$C$4:$C$500,Gardien!$B$4:$B$500,$A37))</f>
        <v>0</v>
      </c>
    </row>
    <row r="38" spans="1:23" ht="15" customHeight="1" x14ac:dyDescent="0.25">
      <c r="A38" s="11" t="str">
        <f>'Effectif Saison'!E37</f>
        <v>Maxime WOLF</v>
      </c>
      <c r="B38" s="11" t="str">
        <f>'Effectif Saison'!D37</f>
        <v>Équipe 2</v>
      </c>
      <c r="C38" s="11">
        <f>IF(A38="","",SUMIFS('Convocations &amp; Temps de jeu'!$K$4:$K$675,'Convocations &amp; Temps de jeu'!$B$4:$B$675,A38))</f>
        <v>0</v>
      </c>
      <c r="D38" s="11">
        <f>IF(A38="","",COUNTIF(Buts!$C$4:$C$151,A38))</f>
        <v>0</v>
      </c>
      <c r="E38" s="11">
        <f>IF(A38="","",COUNTIFS(Buts!$C$4:$C$151,A38,Buts!$F$4:$F$151,"Tête"))</f>
        <v>0</v>
      </c>
      <c r="F38" s="11">
        <f>IF(A38="","",COUNTIFS(Buts!$C$4:$C$151,A38,Buts!$F$4:$F$151,"Penalty"))</f>
        <v>0</v>
      </c>
      <c r="G38" s="11">
        <f>IF(A38="","",COUNTIFS(Buts!$C$4:$C$151,A38,Buts!$F$4:$F$151,"Coup franc"))</f>
        <v>0</v>
      </c>
      <c r="H38" s="11">
        <f>IF(A38="","",COUNTIF(Buts!$D$4:$D$151,A38))</f>
        <v>0</v>
      </c>
      <c r="I38" s="11">
        <f>IF(A38="","",COUNTIFS(Cartons!$C$4:$C$121,A38,Cartons!$E$4:$E$121,"Jaune"))</f>
        <v>0</v>
      </c>
      <c r="J38" s="11">
        <f>IF(A38="","",COUNTIFS(Cartons!$C$4:$C$121,A38,Cartons!$E$4:$E$121,"Rouge"))</f>
        <v>0</v>
      </c>
      <c r="K38" s="11">
        <f>IF(A38="","",SUMIFS('Convocations &amp; Temps de jeu'!$J$4:$J$675,'Convocations &amp; Temps de jeu'!$B$4:$B$675,A38))</f>
        <v>0</v>
      </c>
      <c r="L38" s="5">
        <f>IF($A38="","",SUMIFS('Convocations &amp; Temps de jeu'!$P$4:$P$675,'Convocations &amp; Temps de jeu'!$B$4:$B$675,$A38))</f>
        <v>0</v>
      </c>
      <c r="M38" s="5">
        <f>IF($A38="","",SUMIFS('Convocations &amp; Temps de jeu'!$Q$4:$Q$675,'Convocations &amp; Temps de jeu'!$B$4:$B$675,$A38))</f>
        <v>0</v>
      </c>
      <c r="N38" s="16" t="str">
        <f t="shared" si="0"/>
        <v/>
      </c>
      <c r="O38" s="16" t="str">
        <f t="shared" si="1"/>
        <v/>
      </c>
      <c r="P38" s="20" t="str">
        <f t="shared" si="2"/>
        <v/>
      </c>
      <c r="Q38" s="5">
        <f>IF($A38="","",COUNTIFS('Convocations &amp; Temps de jeu'!$B$4:$B$675,$A38,'Convocations &amp; Temps de jeu'!$D$4:$D$675,"Non retenu"))</f>
        <v>0</v>
      </c>
      <c r="R38" s="5">
        <f>IF($A38="","",COUNTIFS('Convocations &amp; Temps de jeu'!$B$4:$B$675,$A38,'Convocations &amp; Temps de jeu'!$D$4:$D$675,"Blessé/malade"))</f>
        <v>0</v>
      </c>
      <c r="S38" s="5">
        <f>IF($A38="","",COUNTIFS('Convocations &amp; Temps de jeu'!$B$4:$B$675,$A38,'Convocations &amp; Temps de jeu'!$D$4:$D$675,"Pas venu à l'entraînement"))</f>
        <v>0</v>
      </c>
      <c r="T38" s="5">
        <f>IF($A38="","",COUNTIFS('Convocations &amp; Temps de jeu'!$B$4:$B$675,$A38,'Convocations &amp; Temps de jeu'!$D$4:$D$675,"Autre"))</f>
        <v>0</v>
      </c>
      <c r="U38" s="5">
        <f>IF($A38="","",COUNTIFS(Gardien!$B$4:$B$500,$A38))</f>
        <v>0</v>
      </c>
      <c r="V38" s="5">
        <f>IF($A38="","",COUNTIFS(Gardien!$B$4:$B$500,$A38,Gardien!$D$4:$D$500,"Oui"))</f>
        <v>0</v>
      </c>
      <c r="W38" s="5">
        <f>IF($A38="","",SUMIFS(Gardien!$C$4:$C$500,Gardien!$B$4:$B$500,$A38))</f>
        <v>0</v>
      </c>
    </row>
    <row r="39" spans="1:23" ht="15" customHeight="1" x14ac:dyDescent="0.25">
      <c r="A39" s="11" t="str">
        <f>'Effectif Saison'!E38</f>
        <v>Devran MART</v>
      </c>
      <c r="B39" s="11" t="str">
        <f>'Effectif Saison'!D38</f>
        <v>Équipe 2</v>
      </c>
      <c r="C39" s="11">
        <f>IF(A39="","",SUMIFS('Convocations &amp; Temps de jeu'!$K$4:$K$675,'Convocations &amp; Temps de jeu'!$B$4:$B$675,A39))</f>
        <v>0</v>
      </c>
      <c r="D39" s="11">
        <f>IF(A39="","",COUNTIF(Buts!$C$4:$C$151,A39))</f>
        <v>0</v>
      </c>
      <c r="E39" s="11">
        <f>IF(A39="","",COUNTIFS(Buts!$C$4:$C$151,A39,Buts!$F$4:$F$151,"Tête"))</f>
        <v>0</v>
      </c>
      <c r="F39" s="11">
        <f>IF(A39="","",COUNTIFS(Buts!$C$4:$C$151,A39,Buts!$F$4:$F$151,"Penalty"))</f>
        <v>0</v>
      </c>
      <c r="G39" s="11">
        <f>IF(A39="","",COUNTIFS(Buts!$C$4:$C$151,A39,Buts!$F$4:$F$151,"Coup franc"))</f>
        <v>0</v>
      </c>
      <c r="H39" s="11">
        <f>IF(A39="","",COUNTIF(Buts!$D$4:$D$151,A39))</f>
        <v>0</v>
      </c>
      <c r="I39" s="11">
        <f>IF(A39="","",COUNTIFS(Cartons!$C$4:$C$121,A39,Cartons!$E$4:$E$121,"Jaune"))</f>
        <v>0</v>
      </c>
      <c r="J39" s="11">
        <f>IF(A39="","",COUNTIFS(Cartons!$C$4:$C$121,A39,Cartons!$E$4:$E$121,"Rouge"))</f>
        <v>0</v>
      </c>
      <c r="K39" s="11">
        <f>IF(A39="","",SUMIFS('Convocations &amp; Temps de jeu'!$J$4:$J$675,'Convocations &amp; Temps de jeu'!$B$4:$B$675,A39))</f>
        <v>0</v>
      </c>
      <c r="L39" s="5">
        <f>IF($A39="","",SUMIFS('Convocations &amp; Temps de jeu'!$P$4:$P$675,'Convocations &amp; Temps de jeu'!$B$4:$B$675,$A39))</f>
        <v>0</v>
      </c>
      <c r="M39" s="5">
        <f>IF($A39="","",SUMIFS('Convocations &amp; Temps de jeu'!$Q$4:$Q$675,'Convocations &amp; Temps de jeu'!$B$4:$B$675,$A39))</f>
        <v>0</v>
      </c>
      <c r="N39" s="16" t="str">
        <f t="shared" si="0"/>
        <v/>
      </c>
      <c r="O39" s="16" t="str">
        <f t="shared" si="1"/>
        <v/>
      </c>
      <c r="P39" s="20" t="str">
        <f t="shared" si="2"/>
        <v/>
      </c>
      <c r="Q39" s="5">
        <f>IF($A39="","",COUNTIFS('Convocations &amp; Temps de jeu'!$B$4:$B$675,$A39,'Convocations &amp; Temps de jeu'!$D$4:$D$675,"Non retenu"))</f>
        <v>0</v>
      </c>
      <c r="R39" s="5">
        <f>IF($A39="","",COUNTIFS('Convocations &amp; Temps de jeu'!$B$4:$B$675,$A39,'Convocations &amp; Temps de jeu'!$D$4:$D$675,"Blessé/malade"))</f>
        <v>0</v>
      </c>
      <c r="S39" s="5">
        <f>IF($A39="","",COUNTIFS('Convocations &amp; Temps de jeu'!$B$4:$B$675,$A39,'Convocations &amp; Temps de jeu'!$D$4:$D$675,"Pas venu à l'entraînement"))</f>
        <v>0</v>
      </c>
      <c r="T39" s="5">
        <f>IF($A39="","",COUNTIFS('Convocations &amp; Temps de jeu'!$B$4:$B$675,$A39,'Convocations &amp; Temps de jeu'!$D$4:$D$675,"Autre"))</f>
        <v>0</v>
      </c>
      <c r="U39" s="5">
        <f>IF($A39="","",COUNTIFS(Gardien!$B$4:$B$500,$A39))</f>
        <v>0</v>
      </c>
      <c r="V39" s="5">
        <f>IF($A39="","",COUNTIFS(Gardien!$B$4:$B$500,$A39,Gardien!$D$4:$D$500,"Oui"))</f>
        <v>0</v>
      </c>
      <c r="W39" s="5">
        <f>IF($A39="","",SUMIFS(Gardien!$C$4:$C$500,Gardien!$B$4:$B$500,$A39))</f>
        <v>0</v>
      </c>
    </row>
    <row r="40" spans="1:23" ht="15" customHeight="1" x14ac:dyDescent="0.25">
      <c r="A40" s="11" t="str">
        <f>'Effectif Saison'!E39</f>
        <v>Nathéo KLEIN</v>
      </c>
      <c r="B40" s="11" t="str">
        <f>'Effectif Saison'!D39</f>
        <v>Équipe 2</v>
      </c>
      <c r="C40" s="11">
        <f>IF(A40="","",SUMIFS('Convocations &amp; Temps de jeu'!$K$4:$K$675,'Convocations &amp; Temps de jeu'!$B$4:$B$675,A40))</f>
        <v>0</v>
      </c>
      <c r="D40" s="11">
        <f>IF(A40="","",COUNTIF(Buts!$C$4:$C$151,A40))</f>
        <v>0</v>
      </c>
      <c r="E40" s="11">
        <f>IF(A40="","",COUNTIFS(Buts!$C$4:$C$151,A40,Buts!$F$4:$F$151,"Tête"))</f>
        <v>0</v>
      </c>
      <c r="F40" s="11">
        <f>IF(A40="","",COUNTIFS(Buts!$C$4:$C$151,A40,Buts!$F$4:$F$151,"Penalty"))</f>
        <v>0</v>
      </c>
      <c r="G40" s="11">
        <f>IF(A40="","",COUNTIFS(Buts!$C$4:$C$151,A40,Buts!$F$4:$F$151,"Coup franc"))</f>
        <v>0</v>
      </c>
      <c r="H40" s="11">
        <f>IF(A40="","",COUNTIF(Buts!$D$4:$D$151,A40))</f>
        <v>0</v>
      </c>
      <c r="I40" s="11">
        <f>IF(A40="","",COUNTIFS(Cartons!$C$4:$C$121,A40,Cartons!$E$4:$E$121,"Jaune"))</f>
        <v>0</v>
      </c>
      <c r="J40" s="11">
        <f>IF(A40="","",COUNTIFS(Cartons!$C$4:$C$121,A40,Cartons!$E$4:$E$121,"Rouge"))</f>
        <v>0</v>
      </c>
      <c r="K40" s="11">
        <f>IF(A40="","",SUMIFS('Convocations &amp; Temps de jeu'!$J$4:$J$675,'Convocations &amp; Temps de jeu'!$B$4:$B$675,A40))</f>
        <v>0</v>
      </c>
      <c r="L40" s="5">
        <f>IF($A40="","",SUMIFS('Convocations &amp; Temps de jeu'!$P$4:$P$675,'Convocations &amp; Temps de jeu'!$B$4:$B$675,$A40))</f>
        <v>0</v>
      </c>
      <c r="M40" s="5">
        <f>IF($A40="","",SUMIFS('Convocations &amp; Temps de jeu'!$Q$4:$Q$675,'Convocations &amp; Temps de jeu'!$B$4:$B$675,$A40))</f>
        <v>0</v>
      </c>
      <c r="N40" s="16" t="str">
        <f t="shared" si="0"/>
        <v/>
      </c>
      <c r="O40" s="16" t="str">
        <f t="shared" si="1"/>
        <v/>
      </c>
      <c r="P40" s="20" t="str">
        <f t="shared" si="2"/>
        <v/>
      </c>
      <c r="Q40" s="5">
        <f>IF($A40="","",COUNTIFS('Convocations &amp; Temps de jeu'!$B$4:$B$675,$A40,'Convocations &amp; Temps de jeu'!$D$4:$D$675,"Non retenu"))</f>
        <v>0</v>
      </c>
      <c r="R40" s="5">
        <f>IF($A40="","",COUNTIFS('Convocations &amp; Temps de jeu'!$B$4:$B$675,$A40,'Convocations &amp; Temps de jeu'!$D$4:$D$675,"Blessé/malade"))</f>
        <v>0</v>
      </c>
      <c r="S40" s="5">
        <f>IF($A40="","",COUNTIFS('Convocations &amp; Temps de jeu'!$B$4:$B$675,$A40,'Convocations &amp; Temps de jeu'!$D$4:$D$675,"Pas venu à l'entraînement"))</f>
        <v>0</v>
      </c>
      <c r="T40" s="5">
        <f>IF($A40="","",COUNTIFS('Convocations &amp; Temps de jeu'!$B$4:$B$675,$A40,'Convocations &amp; Temps de jeu'!$D$4:$D$675,"Autre"))</f>
        <v>0</v>
      </c>
      <c r="U40" s="5">
        <f>IF($A40="","",COUNTIFS(Gardien!$B$4:$B$500,$A40))</f>
        <v>0</v>
      </c>
      <c r="V40" s="5">
        <f>IF($A40="","",COUNTIFS(Gardien!$B$4:$B$500,$A40,Gardien!$D$4:$D$500,"Oui"))</f>
        <v>0</v>
      </c>
      <c r="W40" s="5">
        <f>IF($A40="","",SUMIFS(Gardien!$C$4:$C$500,Gardien!$B$4:$B$500,$A40))</f>
        <v>0</v>
      </c>
    </row>
    <row r="41" spans="1:23" ht="15" customHeight="1" x14ac:dyDescent="0.25">
      <c r="A41" s="11" t="str">
        <f>'Effectif Saison'!E40</f>
        <v>Jérémy LUDAESCHER</v>
      </c>
      <c r="B41" s="11" t="str">
        <f>'Effectif Saison'!D40</f>
        <v>Équipe 2</v>
      </c>
      <c r="C41" s="11">
        <f>IF(A41="","",SUMIFS('Convocations &amp; Temps de jeu'!$K$4:$K$675,'Convocations &amp; Temps de jeu'!$B$4:$B$675,A41))</f>
        <v>0</v>
      </c>
      <c r="D41" s="11">
        <f>IF(A41="","",COUNTIF(Buts!$C$4:$C$151,A41))</f>
        <v>0</v>
      </c>
      <c r="E41" s="11">
        <f>IF(A41="","",COUNTIFS(Buts!$C$4:$C$151,A41,Buts!$F$4:$F$151,"Tête"))</f>
        <v>0</v>
      </c>
      <c r="F41" s="11">
        <f>IF(A41="","",COUNTIFS(Buts!$C$4:$C$151,A41,Buts!$F$4:$F$151,"Penalty"))</f>
        <v>0</v>
      </c>
      <c r="G41" s="11">
        <f>IF(A41="","",COUNTIFS(Buts!$C$4:$C$151,A41,Buts!$F$4:$F$151,"Coup franc"))</f>
        <v>0</v>
      </c>
      <c r="H41" s="11">
        <f>IF(A41="","",COUNTIF(Buts!$D$4:$D$151,A41))</f>
        <v>0</v>
      </c>
      <c r="I41" s="11">
        <f>IF(A41="","",COUNTIFS(Cartons!$C$4:$C$121,A41,Cartons!$E$4:$E$121,"Jaune"))</f>
        <v>0</v>
      </c>
      <c r="J41" s="11">
        <f>IF(A41="","",COUNTIFS(Cartons!$C$4:$C$121,A41,Cartons!$E$4:$E$121,"Rouge"))</f>
        <v>0</v>
      </c>
      <c r="K41" s="11">
        <f>IF(A41="","",SUMIFS('Convocations &amp; Temps de jeu'!$J$4:$J$675,'Convocations &amp; Temps de jeu'!$B$4:$B$675,A41))</f>
        <v>0</v>
      </c>
      <c r="L41" s="5">
        <f>IF($A41="","",SUMIFS('Convocations &amp; Temps de jeu'!$P$4:$P$675,'Convocations &amp; Temps de jeu'!$B$4:$B$675,$A41))</f>
        <v>0</v>
      </c>
      <c r="M41" s="5">
        <f>IF($A41="","",SUMIFS('Convocations &amp; Temps de jeu'!$Q$4:$Q$675,'Convocations &amp; Temps de jeu'!$B$4:$B$675,$A41))</f>
        <v>0</v>
      </c>
      <c r="N41" s="16" t="str">
        <f t="shared" si="0"/>
        <v/>
      </c>
      <c r="O41" s="16" t="str">
        <f t="shared" si="1"/>
        <v/>
      </c>
      <c r="P41" s="20" t="str">
        <f t="shared" si="2"/>
        <v/>
      </c>
      <c r="Q41" s="5">
        <f>IF($A41="","",COUNTIFS('Convocations &amp; Temps de jeu'!$B$4:$B$675,$A41,'Convocations &amp; Temps de jeu'!$D$4:$D$675,"Non retenu"))</f>
        <v>0</v>
      </c>
      <c r="R41" s="5">
        <f>IF($A41="","",COUNTIFS('Convocations &amp; Temps de jeu'!$B$4:$B$675,$A41,'Convocations &amp; Temps de jeu'!$D$4:$D$675,"Blessé/malade"))</f>
        <v>0</v>
      </c>
      <c r="S41" s="5">
        <f>IF($A41="","",COUNTIFS('Convocations &amp; Temps de jeu'!$B$4:$B$675,$A41,'Convocations &amp; Temps de jeu'!$D$4:$D$675,"Pas venu à l'entraînement"))</f>
        <v>0</v>
      </c>
      <c r="T41" s="5">
        <f>IF($A41="","",COUNTIFS('Convocations &amp; Temps de jeu'!$B$4:$B$675,$A41,'Convocations &amp; Temps de jeu'!$D$4:$D$675,"Autre"))</f>
        <v>0</v>
      </c>
      <c r="U41" s="5">
        <f>IF($A41="","",COUNTIFS(Gardien!$B$4:$B$500,$A41))</f>
        <v>0</v>
      </c>
      <c r="V41" s="5">
        <f>IF($A41="","",COUNTIFS(Gardien!$B$4:$B$500,$A41,Gardien!$D$4:$D$500,"Oui"))</f>
        <v>0</v>
      </c>
      <c r="W41" s="5">
        <f>IF($A41="","",SUMIFS(Gardien!$C$4:$C$500,Gardien!$B$4:$B$500,$A41))</f>
        <v>0</v>
      </c>
    </row>
    <row r="42" spans="1:23" ht="15" customHeight="1" x14ac:dyDescent="0.25">
      <c r="A42" s="11" t="str">
        <f>'Effectif Saison'!E41</f>
        <v>Anthony WIOLAND</v>
      </c>
      <c r="B42" s="11" t="str">
        <f>'Effectif Saison'!D41</f>
        <v>Équipe 2</v>
      </c>
      <c r="C42" s="11">
        <f>IF(A42="","",SUMIFS('Convocations &amp; Temps de jeu'!$K$4:$K$675,'Convocations &amp; Temps de jeu'!$B$4:$B$675,A42))</f>
        <v>0</v>
      </c>
      <c r="D42" s="11">
        <f>IF(A42="","",COUNTIF(Buts!$C$4:$C$151,A42))</f>
        <v>0</v>
      </c>
      <c r="E42" s="11">
        <f>IF(A42="","",COUNTIFS(Buts!$C$4:$C$151,A42,Buts!$F$4:$F$151,"Tête"))</f>
        <v>0</v>
      </c>
      <c r="F42" s="11">
        <f>IF(A42="","",COUNTIFS(Buts!$C$4:$C$151,A42,Buts!$F$4:$F$151,"Penalty"))</f>
        <v>0</v>
      </c>
      <c r="G42" s="11">
        <f>IF(A42="","",COUNTIFS(Buts!$C$4:$C$151,A42,Buts!$F$4:$F$151,"Coup franc"))</f>
        <v>0</v>
      </c>
      <c r="H42" s="11">
        <f>IF(A42="","",COUNTIF(Buts!$D$4:$D$151,A42))</f>
        <v>0</v>
      </c>
      <c r="I42" s="11">
        <f>IF(A42="","",COUNTIFS(Cartons!$C$4:$C$121,A42,Cartons!$E$4:$E$121,"Jaune"))</f>
        <v>0</v>
      </c>
      <c r="J42" s="11">
        <f>IF(A42="","",COUNTIFS(Cartons!$C$4:$C$121,A42,Cartons!$E$4:$E$121,"Rouge"))</f>
        <v>0</v>
      </c>
      <c r="K42" s="11">
        <f>IF(A42="","",SUMIFS('Convocations &amp; Temps de jeu'!$J$4:$J$675,'Convocations &amp; Temps de jeu'!$B$4:$B$675,A42))</f>
        <v>0</v>
      </c>
      <c r="L42" s="5">
        <f>IF($A42="","",SUMIFS('Convocations &amp; Temps de jeu'!$P$4:$P$675,'Convocations &amp; Temps de jeu'!$B$4:$B$675,$A42))</f>
        <v>0</v>
      </c>
      <c r="M42" s="5">
        <f>IF($A42="","",SUMIFS('Convocations &amp; Temps de jeu'!$Q$4:$Q$675,'Convocations &amp; Temps de jeu'!$B$4:$B$675,$A42))</f>
        <v>0</v>
      </c>
      <c r="N42" s="16" t="str">
        <f t="shared" si="0"/>
        <v/>
      </c>
      <c r="O42" s="16" t="str">
        <f t="shared" si="1"/>
        <v/>
      </c>
      <c r="P42" s="20" t="str">
        <f t="shared" si="2"/>
        <v/>
      </c>
      <c r="Q42" s="5">
        <f>IF($A42="","",COUNTIFS('Convocations &amp; Temps de jeu'!$B$4:$B$675,$A42,'Convocations &amp; Temps de jeu'!$D$4:$D$675,"Non retenu"))</f>
        <v>0</v>
      </c>
      <c r="R42" s="5">
        <f>IF($A42="","",COUNTIFS('Convocations &amp; Temps de jeu'!$B$4:$B$675,$A42,'Convocations &amp; Temps de jeu'!$D$4:$D$675,"Blessé/malade"))</f>
        <v>0</v>
      </c>
      <c r="S42" s="5">
        <f>IF($A42="","",COUNTIFS('Convocations &amp; Temps de jeu'!$B$4:$B$675,$A42,'Convocations &amp; Temps de jeu'!$D$4:$D$675,"Pas venu à l'entraînement"))</f>
        <v>0</v>
      </c>
      <c r="T42" s="5">
        <f>IF($A42="","",COUNTIFS('Convocations &amp; Temps de jeu'!$B$4:$B$675,$A42,'Convocations &amp; Temps de jeu'!$D$4:$D$675,"Autre"))</f>
        <v>0</v>
      </c>
      <c r="U42" s="5">
        <f>IF($A42="","",COUNTIFS(Gardien!$B$4:$B$500,$A42))</f>
        <v>0</v>
      </c>
      <c r="V42" s="5">
        <f>IF($A42="","",COUNTIFS(Gardien!$B$4:$B$500,$A42,Gardien!$D$4:$D$500,"Oui"))</f>
        <v>0</v>
      </c>
      <c r="W42" s="5">
        <f>IF($A42="","",SUMIFS(Gardien!$C$4:$C$500,Gardien!$B$4:$B$500,$A42))</f>
        <v>0</v>
      </c>
    </row>
    <row r="43" spans="1:23" ht="15" customHeight="1" x14ac:dyDescent="0.25">
      <c r="A43" s="11" t="str">
        <f>'Effectif Saison'!E42</f>
        <v/>
      </c>
      <c r="B43" s="11">
        <f>'Effectif Saison'!D42</f>
        <v>0</v>
      </c>
      <c r="C43" s="11" t="str">
        <f>IF(A43="","",SUMIFS('Convocations &amp; Temps de jeu'!$K$4:$K$675,'Convocations &amp; Temps de jeu'!$B$4:$B$675,A43))</f>
        <v>0</v>
      </c>
      <c r="D43" s="11" t="str">
        <f>IF(A43="","",COUNTIF(Buts!$C$4:$C$151,A43))</f>
        <v>0</v>
      </c>
      <c r="E43" s="11" t="str">
        <f>IF(A43="","",COUNTIFS(Buts!$C$4:$C$151,A43,Buts!$F$4:$F$151,"Tête"))</f>
        <v>0</v>
      </c>
      <c r="F43" s="11" t="str">
        <f>IF(A43="","",COUNTIFS(Buts!$C$4:$C$151,A43,Buts!$F$4:$F$151,"Penalty"))</f>
        <v>0</v>
      </c>
      <c r="G43" s="11" t="str">
        <f>IF(A43="","",COUNTIFS(Buts!$C$4:$C$151,A43,Buts!$F$4:$F$151,"Coup franc"))</f>
        <v>0</v>
      </c>
      <c r="H43" s="11" t="str">
        <f>IF(A43="","",COUNTIF(Buts!$D$4:$D$151,A43))</f>
        <v>0</v>
      </c>
      <c r="I43" s="11" t="str">
        <f>IF(A43="","",COUNTIFS(Cartons!$C$4:$C$121,A43,Cartons!$E$4:$E$121,"Jaune"))</f>
        <v>0</v>
      </c>
      <c r="J43" s="11" t="str">
        <f>IF(A43="","",COUNTIFS(Cartons!$C$4:$C$121,A43,Cartons!$E$4:$E$121,"Rouge"))</f>
        <v>0</v>
      </c>
      <c r="K43" s="11" t="str">
        <f>IF(A43="","",SUMIFS('Convocations &amp; Temps de jeu'!$J$4:$J$675,'Convocations &amp; Temps de jeu'!$B$4:$B$675,A43))</f>
        <v>0</v>
      </c>
      <c r="L43" s="5" t="str">
        <f>IF($A43="","",SUMIFS('Convocations &amp; Temps de jeu'!$P$4:$P$675,'Convocations &amp; Temps de jeu'!$B$4:$B$675,$A43))</f>
        <v>0</v>
      </c>
      <c r="M43" s="5" t="str">
        <f>IF($A43="","",SUMIFS('Convocations &amp; Temps de jeu'!$Q$4:$Q$675,'Convocations &amp; Temps de jeu'!$B$4:$B$675,$A43))</f>
        <v>0</v>
      </c>
      <c r="N43" s="16" t="str">
        <f t="shared" si="0"/>
        <v/>
      </c>
      <c r="O43" s="16" t="str">
        <f t="shared" si="1"/>
        <v/>
      </c>
      <c r="P43" s="20" t="str">
        <f t="shared" si="2"/>
        <v/>
      </c>
      <c r="Q43" s="5" t="str">
        <f>IF($A43="","",COUNTIFS('Convocations &amp; Temps de jeu'!$B$4:$B$675,$A43,'Convocations &amp; Temps de jeu'!$D$4:$D$675,"Non retenu"))</f>
        <v>0</v>
      </c>
      <c r="R43" s="5" t="str">
        <f>IF($A43="","",COUNTIFS('Convocations &amp; Temps de jeu'!$B$4:$B$675,$A43,'Convocations &amp; Temps de jeu'!$D$4:$D$675,"Blessé/malade"))</f>
        <v>0</v>
      </c>
      <c r="S43" s="5" t="str">
        <f>IF($A43="","",COUNTIFS('Convocations &amp; Temps de jeu'!$B$4:$B$675,$A43,'Convocations &amp; Temps de jeu'!$D$4:$D$675,"Pas venu à l'entraînement"))</f>
        <v>0</v>
      </c>
      <c r="T43" s="5" t="str">
        <f>IF($A43="","",COUNTIFS('Convocations &amp; Temps de jeu'!$B$4:$B$675,$A43,'Convocations &amp; Temps de jeu'!$D$4:$D$675,"Autre"))</f>
        <v>0</v>
      </c>
      <c r="U43" s="5" t="str">
        <f>IF($A43="","",COUNTIFS(Gardien!$B$4:$B$500,$A43))</f>
        <v>0</v>
      </c>
      <c r="V43" s="5" t="str">
        <f>IF($A43="","",COUNTIFS(Gardien!$B$4:$B$500,$A43,Gardien!$D$4:$D$500,"Oui"))</f>
        <v>0</v>
      </c>
      <c r="W43" s="5" t="str">
        <f>IF($A43="","",SUMIFS(Gardien!$C$4:$C$500,Gardien!$B$4:$B$500,$A43))</f>
        <v>0</v>
      </c>
    </row>
    <row r="44" spans="1:23" ht="15" customHeight="1" x14ac:dyDescent="0.25">
      <c r="A44" s="11" t="str">
        <f>'Effectif Saison'!E43</f>
        <v/>
      </c>
      <c r="B44" s="11">
        <f>'Effectif Saison'!D43</f>
        <v>0</v>
      </c>
      <c r="C44" s="11" t="str">
        <f>IF(A44="","",SUMIFS('Convocations &amp; Temps de jeu'!$K$4:$K$675,'Convocations &amp; Temps de jeu'!$B$4:$B$675,A44))</f>
        <v>0</v>
      </c>
      <c r="D44" s="11" t="str">
        <f>IF(A44="","",COUNTIF(Buts!$C$4:$C$151,A44))</f>
        <v>0</v>
      </c>
      <c r="E44" s="11" t="str">
        <f>IF(A44="","",COUNTIFS(Buts!$C$4:$C$151,A44,Buts!$F$4:$F$151,"Tête"))</f>
        <v>0</v>
      </c>
      <c r="F44" s="11" t="str">
        <f>IF(A44="","",COUNTIFS(Buts!$C$4:$C$151,A44,Buts!$F$4:$F$151,"Penalty"))</f>
        <v>0</v>
      </c>
      <c r="G44" s="11" t="str">
        <f>IF(A44="","",COUNTIFS(Buts!$C$4:$C$151,A44,Buts!$F$4:$F$151,"Coup franc"))</f>
        <v>0</v>
      </c>
      <c r="H44" s="11" t="str">
        <f>IF(A44="","",COUNTIF(Buts!$D$4:$D$151,A44))</f>
        <v>0</v>
      </c>
      <c r="I44" s="11" t="str">
        <f>IF(A44="","",COUNTIFS(Cartons!$C$4:$C$121,A44,Cartons!$E$4:$E$121,"Jaune"))</f>
        <v>0</v>
      </c>
      <c r="J44" s="11" t="str">
        <f>IF(A44="","",COUNTIFS(Cartons!$C$4:$C$121,A44,Cartons!$E$4:$E$121,"Rouge"))</f>
        <v>0</v>
      </c>
      <c r="K44" s="11" t="str">
        <f>IF(A44="","",SUMIFS('Convocations &amp; Temps de jeu'!$J$4:$J$675,'Convocations &amp; Temps de jeu'!$B$4:$B$675,A44))</f>
        <v>0</v>
      </c>
      <c r="L44" s="5" t="str">
        <f>IF($A44="","",SUMIFS('Convocations &amp; Temps de jeu'!$P$4:$P$675,'Convocations &amp; Temps de jeu'!$B$4:$B$675,$A44))</f>
        <v>0</v>
      </c>
      <c r="M44" s="5" t="str">
        <f>IF($A44="","",SUMIFS('Convocations &amp; Temps de jeu'!$Q$4:$Q$675,'Convocations &amp; Temps de jeu'!$B$4:$B$675,$A44))</f>
        <v>0</v>
      </c>
      <c r="N44" s="16" t="str">
        <f t="shared" si="0"/>
        <v/>
      </c>
      <c r="O44" s="16" t="str">
        <f t="shared" si="1"/>
        <v/>
      </c>
      <c r="P44" s="20" t="str">
        <f t="shared" si="2"/>
        <v/>
      </c>
      <c r="Q44" s="5" t="str">
        <f>IF($A44="","",COUNTIFS('Convocations &amp; Temps de jeu'!$B$4:$B$675,$A44,'Convocations &amp; Temps de jeu'!$D$4:$D$675,"Non retenu"))</f>
        <v>0</v>
      </c>
      <c r="R44" s="5" t="str">
        <f>IF($A44="","",COUNTIFS('Convocations &amp; Temps de jeu'!$B$4:$B$675,$A44,'Convocations &amp; Temps de jeu'!$D$4:$D$675,"Blessé/malade"))</f>
        <v>0</v>
      </c>
      <c r="S44" s="5" t="str">
        <f>IF($A44="","",COUNTIFS('Convocations &amp; Temps de jeu'!$B$4:$B$675,$A44,'Convocations &amp; Temps de jeu'!$D$4:$D$675,"Pas venu à l'entraînement"))</f>
        <v>0</v>
      </c>
      <c r="T44" s="5" t="str">
        <f>IF($A44="","",COUNTIFS('Convocations &amp; Temps de jeu'!$B$4:$B$675,$A44,'Convocations &amp; Temps de jeu'!$D$4:$D$675,"Autre"))</f>
        <v>0</v>
      </c>
      <c r="U44" s="5" t="str">
        <f>IF($A44="","",COUNTIFS(Gardien!$B$4:$B$500,$A44))</f>
        <v>0</v>
      </c>
      <c r="V44" s="5" t="str">
        <f>IF($A44="","",COUNTIFS(Gardien!$B$4:$B$500,$A44,Gardien!$D$4:$D$500,"Oui"))</f>
        <v>0</v>
      </c>
      <c r="W44" s="5" t="str">
        <f>IF($A44="","",SUMIFS(Gardien!$C$4:$C$500,Gardien!$B$4:$B$500,$A44))</f>
        <v>0</v>
      </c>
    </row>
    <row r="45" spans="1:23" ht="15" customHeight="1" x14ac:dyDescent="0.25">
      <c r="A45" s="11" t="str">
        <f>'Effectif Saison'!E44</f>
        <v/>
      </c>
      <c r="B45" s="11">
        <f>'Effectif Saison'!D44</f>
        <v>0</v>
      </c>
      <c r="C45" s="11" t="str">
        <f>IF(A45="","",SUMIFS('Convocations &amp; Temps de jeu'!$K$4:$K$675,'Convocations &amp; Temps de jeu'!$B$4:$B$675,A45))</f>
        <v>0</v>
      </c>
      <c r="D45" s="11" t="str">
        <f>IF(A45="","",COUNTIF(Buts!$C$4:$C$151,A45))</f>
        <v>0</v>
      </c>
      <c r="E45" s="11" t="str">
        <f>IF(A45="","",COUNTIFS(Buts!$C$4:$C$151,A45,Buts!$F$4:$F$151,"Tête"))</f>
        <v>0</v>
      </c>
      <c r="F45" s="11" t="str">
        <f>IF(A45="","",COUNTIFS(Buts!$C$4:$C$151,A45,Buts!$F$4:$F$151,"Penalty"))</f>
        <v>0</v>
      </c>
      <c r="G45" s="11" t="str">
        <f>IF(A45="","",COUNTIFS(Buts!$C$4:$C$151,A45,Buts!$F$4:$F$151,"Coup franc"))</f>
        <v>0</v>
      </c>
      <c r="H45" s="11" t="str">
        <f>IF(A45="","",COUNTIF(Buts!$D$4:$D$151,A45))</f>
        <v>0</v>
      </c>
      <c r="I45" s="11" t="str">
        <f>IF(A45="","",COUNTIFS(Cartons!$C$4:$C$121,A45,Cartons!$E$4:$E$121,"Jaune"))</f>
        <v>0</v>
      </c>
      <c r="J45" s="11" t="str">
        <f>IF(A45="","",COUNTIFS(Cartons!$C$4:$C$121,A45,Cartons!$E$4:$E$121,"Rouge"))</f>
        <v>0</v>
      </c>
      <c r="K45" s="11" t="str">
        <f>IF(A45="","",SUMIFS('Convocations &amp; Temps de jeu'!$J$4:$J$675,'Convocations &amp; Temps de jeu'!$B$4:$B$675,A45))</f>
        <v>0</v>
      </c>
      <c r="L45" s="5" t="str">
        <f>IF($A45="","",SUMIFS('Convocations &amp; Temps de jeu'!$P$4:$P$675,'Convocations &amp; Temps de jeu'!$B$4:$B$675,$A45))</f>
        <v>0</v>
      </c>
      <c r="M45" s="5" t="str">
        <f>IF($A45="","",SUMIFS('Convocations &amp; Temps de jeu'!$Q$4:$Q$675,'Convocations &amp; Temps de jeu'!$B$4:$B$675,$A45))</f>
        <v>0</v>
      </c>
      <c r="N45" s="16" t="str">
        <f t="shared" si="0"/>
        <v/>
      </c>
      <c r="O45" s="16" t="str">
        <f t="shared" si="1"/>
        <v/>
      </c>
      <c r="P45" s="20" t="str">
        <f t="shared" si="2"/>
        <v/>
      </c>
      <c r="Q45" s="5" t="str">
        <f>IF($A45="","",COUNTIFS('Convocations &amp; Temps de jeu'!$B$4:$B$675,$A45,'Convocations &amp; Temps de jeu'!$D$4:$D$675,"Non retenu"))</f>
        <v>0</v>
      </c>
      <c r="R45" s="5" t="str">
        <f>IF($A45="","",COUNTIFS('Convocations &amp; Temps de jeu'!$B$4:$B$675,$A45,'Convocations &amp; Temps de jeu'!$D$4:$D$675,"Blessé/malade"))</f>
        <v>0</v>
      </c>
      <c r="S45" s="5" t="str">
        <f>IF($A45="","",COUNTIFS('Convocations &amp; Temps de jeu'!$B$4:$B$675,$A45,'Convocations &amp; Temps de jeu'!$D$4:$D$675,"Pas venu à l'entraînement"))</f>
        <v>0</v>
      </c>
      <c r="T45" s="5" t="str">
        <f>IF($A45="","",COUNTIFS('Convocations &amp; Temps de jeu'!$B$4:$B$675,$A45,'Convocations &amp; Temps de jeu'!$D$4:$D$675,"Autre"))</f>
        <v>0</v>
      </c>
      <c r="U45" s="5" t="str">
        <f>IF($A45="","",COUNTIFS(Gardien!$B$4:$B$500,$A45))</f>
        <v>0</v>
      </c>
      <c r="V45" s="5" t="str">
        <f>IF($A45="","",COUNTIFS(Gardien!$B$4:$B$500,$A45,Gardien!$D$4:$D$500,"Oui"))</f>
        <v>0</v>
      </c>
      <c r="W45" s="5" t="str">
        <f>IF($A45="","",SUMIFS(Gardien!$C$4:$C$500,Gardien!$B$4:$B$500,$A45))</f>
        <v>0</v>
      </c>
    </row>
    <row r="46" spans="1:23" ht="15" customHeight="1" x14ac:dyDescent="0.25">
      <c r="A46" s="11" t="str">
        <f>'Effectif Saison'!E45</f>
        <v/>
      </c>
      <c r="B46" s="11">
        <f>'Effectif Saison'!D45</f>
        <v>0</v>
      </c>
      <c r="C46" s="11" t="str">
        <f>IF(A46="","",SUMIFS('Convocations &amp; Temps de jeu'!$K$4:$K$675,'Convocations &amp; Temps de jeu'!$B$4:$B$675,A46))</f>
        <v>0</v>
      </c>
      <c r="D46" s="11" t="str">
        <f>IF(A46="","",COUNTIF(Buts!$C$4:$C$151,A46))</f>
        <v>0</v>
      </c>
      <c r="E46" s="11" t="str">
        <f>IF(A46="","",COUNTIFS(Buts!$C$4:$C$151,A46,Buts!$F$4:$F$151,"Tête"))</f>
        <v>0</v>
      </c>
      <c r="F46" s="11" t="str">
        <f>IF(A46="","",COUNTIFS(Buts!$C$4:$C$151,A46,Buts!$F$4:$F$151,"Penalty"))</f>
        <v>0</v>
      </c>
      <c r="G46" s="11" t="str">
        <f>IF(A46="","",COUNTIFS(Buts!$C$4:$C$151,A46,Buts!$F$4:$F$151,"Coup franc"))</f>
        <v>0</v>
      </c>
      <c r="H46" s="11" t="str">
        <f>IF(A46="","",COUNTIF(Buts!$D$4:$D$151,A46))</f>
        <v>0</v>
      </c>
      <c r="I46" s="11" t="str">
        <f>IF(A46="","",COUNTIFS(Cartons!$C$4:$C$121,A46,Cartons!$E$4:$E$121,"Jaune"))</f>
        <v>0</v>
      </c>
      <c r="J46" s="11" t="str">
        <f>IF(A46="","",COUNTIFS(Cartons!$C$4:$C$121,A46,Cartons!$E$4:$E$121,"Rouge"))</f>
        <v>0</v>
      </c>
      <c r="K46" s="11" t="str">
        <f>IF(A46="","",SUMIFS('Convocations &amp; Temps de jeu'!$J$4:$J$675,'Convocations &amp; Temps de jeu'!$B$4:$B$675,A46))</f>
        <v>0</v>
      </c>
      <c r="L46" s="5" t="str">
        <f>IF($A46="","",SUMIFS('Convocations &amp; Temps de jeu'!$P$4:$P$675,'Convocations &amp; Temps de jeu'!$B$4:$B$675,$A46))</f>
        <v>0</v>
      </c>
      <c r="M46" s="5" t="str">
        <f>IF($A46="","",SUMIFS('Convocations &amp; Temps de jeu'!$Q$4:$Q$675,'Convocations &amp; Temps de jeu'!$B$4:$B$675,$A46))</f>
        <v>0</v>
      </c>
      <c r="N46" s="16" t="str">
        <f t="shared" si="0"/>
        <v/>
      </c>
      <c r="O46" s="16" t="str">
        <f t="shared" si="1"/>
        <v/>
      </c>
      <c r="P46" s="20" t="str">
        <f t="shared" si="2"/>
        <v/>
      </c>
      <c r="Q46" s="5" t="str">
        <f>IF($A46="","",COUNTIFS('Convocations &amp; Temps de jeu'!$B$4:$B$675,$A46,'Convocations &amp; Temps de jeu'!$D$4:$D$675,"Non retenu"))</f>
        <v>0</v>
      </c>
      <c r="R46" s="5" t="str">
        <f>IF($A46="","",COUNTIFS('Convocations &amp; Temps de jeu'!$B$4:$B$675,$A46,'Convocations &amp; Temps de jeu'!$D$4:$D$675,"Blessé/malade"))</f>
        <v>0</v>
      </c>
      <c r="S46" s="5" t="str">
        <f>IF($A46="","",COUNTIFS('Convocations &amp; Temps de jeu'!$B$4:$B$675,$A46,'Convocations &amp; Temps de jeu'!$D$4:$D$675,"Pas venu à l'entraînement"))</f>
        <v>0</v>
      </c>
      <c r="T46" s="5" t="str">
        <f>IF($A46="","",COUNTIFS('Convocations &amp; Temps de jeu'!$B$4:$B$675,$A46,'Convocations &amp; Temps de jeu'!$D$4:$D$675,"Autre"))</f>
        <v>0</v>
      </c>
      <c r="U46" s="5" t="str">
        <f>IF($A46="","",COUNTIFS(Gardien!$B$4:$B$500,$A46))</f>
        <v>0</v>
      </c>
      <c r="V46" s="5" t="str">
        <f>IF($A46="","",COUNTIFS(Gardien!$B$4:$B$500,$A46,Gardien!$D$4:$D$500,"Oui"))</f>
        <v>0</v>
      </c>
      <c r="W46" s="5" t="str">
        <f>IF($A46="","",SUMIFS(Gardien!$C$4:$C$500,Gardien!$B$4:$B$500,$A46))</f>
        <v>0</v>
      </c>
    </row>
    <row r="47" spans="1:23" ht="15" customHeight="1" x14ac:dyDescent="0.25">
      <c r="A47" s="11" t="str">
        <f>'Effectif Saison'!E46</f>
        <v/>
      </c>
      <c r="B47" s="11">
        <f>'Effectif Saison'!D46</f>
        <v>0</v>
      </c>
      <c r="C47" s="11" t="str">
        <f>IF(A47="","",SUMIFS('Convocations &amp; Temps de jeu'!$K$4:$K$675,'Convocations &amp; Temps de jeu'!$B$4:$B$675,A47))</f>
        <v>0</v>
      </c>
      <c r="D47" s="11" t="str">
        <f>IF(A47="","",COUNTIF(Buts!$C$4:$C$151,A47))</f>
        <v>0</v>
      </c>
      <c r="E47" s="11" t="str">
        <f>IF(A47="","",COUNTIFS(Buts!$C$4:$C$151,A47,Buts!$F$4:$F$151,"Tête"))</f>
        <v>0</v>
      </c>
      <c r="F47" s="11" t="str">
        <f>IF(A47="","",COUNTIFS(Buts!$C$4:$C$151,A47,Buts!$F$4:$F$151,"Penalty"))</f>
        <v>0</v>
      </c>
      <c r="G47" s="11" t="str">
        <f>IF(A47="","",COUNTIFS(Buts!$C$4:$C$151,A47,Buts!$F$4:$F$151,"Coup franc"))</f>
        <v>0</v>
      </c>
      <c r="H47" s="11" t="str">
        <f>IF(A47="","",COUNTIF(Buts!$D$4:$D$151,A47))</f>
        <v>0</v>
      </c>
      <c r="I47" s="11" t="str">
        <f>IF(A47="","",COUNTIFS(Cartons!$C$4:$C$121,A47,Cartons!$E$4:$E$121,"Jaune"))</f>
        <v>0</v>
      </c>
      <c r="J47" s="11" t="str">
        <f>IF(A47="","",COUNTIFS(Cartons!$C$4:$C$121,A47,Cartons!$E$4:$E$121,"Rouge"))</f>
        <v>0</v>
      </c>
      <c r="K47" s="11" t="str">
        <f>IF(A47="","",SUMIFS('Convocations &amp; Temps de jeu'!$J$4:$J$675,'Convocations &amp; Temps de jeu'!$B$4:$B$675,A47))</f>
        <v>0</v>
      </c>
      <c r="L47" s="5" t="str">
        <f>IF($A47="","",SUMIFS('Convocations &amp; Temps de jeu'!$P$4:$P$675,'Convocations &amp; Temps de jeu'!$B$4:$B$675,$A47))</f>
        <v>0</v>
      </c>
      <c r="M47" s="5" t="str">
        <f>IF($A47="","",SUMIFS('Convocations &amp; Temps de jeu'!$Q$4:$Q$675,'Convocations &amp; Temps de jeu'!$B$4:$B$675,$A47))</f>
        <v>0</v>
      </c>
      <c r="N47" s="16" t="str">
        <f t="shared" si="0"/>
        <v/>
      </c>
      <c r="O47" s="16" t="str">
        <f t="shared" si="1"/>
        <v/>
      </c>
      <c r="P47" s="20" t="str">
        <f t="shared" si="2"/>
        <v/>
      </c>
      <c r="Q47" s="5" t="str">
        <f>IF($A47="","",COUNTIFS('Convocations &amp; Temps de jeu'!$B$4:$B$675,$A47,'Convocations &amp; Temps de jeu'!$D$4:$D$675,"Non retenu"))</f>
        <v>0</v>
      </c>
      <c r="R47" s="5" t="str">
        <f>IF($A47="","",COUNTIFS('Convocations &amp; Temps de jeu'!$B$4:$B$675,$A47,'Convocations &amp; Temps de jeu'!$D$4:$D$675,"Blessé/malade"))</f>
        <v>0</v>
      </c>
      <c r="S47" s="5" t="str">
        <f>IF($A47="","",COUNTIFS('Convocations &amp; Temps de jeu'!$B$4:$B$675,$A47,'Convocations &amp; Temps de jeu'!$D$4:$D$675,"Pas venu à l'entraînement"))</f>
        <v>0</v>
      </c>
      <c r="T47" s="5" t="str">
        <f>IF($A47="","",COUNTIFS('Convocations &amp; Temps de jeu'!$B$4:$B$675,$A47,'Convocations &amp; Temps de jeu'!$D$4:$D$675,"Autre"))</f>
        <v>0</v>
      </c>
      <c r="U47" s="5" t="str">
        <f>IF($A47="","",COUNTIFS(Gardien!$B$4:$B$500,$A47))</f>
        <v>0</v>
      </c>
      <c r="V47" s="5" t="str">
        <f>IF($A47="","",COUNTIFS(Gardien!$B$4:$B$500,$A47,Gardien!$D$4:$D$500,"Oui"))</f>
        <v>0</v>
      </c>
      <c r="W47" s="5" t="str">
        <f>IF($A47="","",SUMIFS(Gardien!$C$4:$C$500,Gardien!$B$4:$B$500,$A47))</f>
        <v>0</v>
      </c>
    </row>
    <row r="48" spans="1:23" ht="15" customHeight="1" x14ac:dyDescent="0.25">
      <c r="A48" s="11" t="str">
        <f>'Effectif Saison'!E47</f>
        <v/>
      </c>
      <c r="B48" s="11">
        <f>'Effectif Saison'!D47</f>
        <v>0</v>
      </c>
      <c r="C48" s="11" t="str">
        <f>IF(A48="","",SUMIFS('Convocations &amp; Temps de jeu'!$K$4:$K$675,'Convocations &amp; Temps de jeu'!$B$4:$B$675,A48))</f>
        <v>0</v>
      </c>
      <c r="D48" s="11" t="str">
        <f>IF(A48="","",COUNTIF(Buts!$C$4:$C$151,A48))</f>
        <v>0</v>
      </c>
      <c r="E48" s="11" t="str">
        <f>IF(A48="","",COUNTIFS(Buts!$C$4:$C$151,A48,Buts!$F$4:$F$151,"Tête"))</f>
        <v>0</v>
      </c>
      <c r="F48" s="11" t="str">
        <f>IF(A48="","",COUNTIFS(Buts!$C$4:$C$151,A48,Buts!$F$4:$F$151,"Penalty"))</f>
        <v>0</v>
      </c>
      <c r="G48" s="11" t="str">
        <f>IF(A48="","",COUNTIFS(Buts!$C$4:$C$151,A48,Buts!$F$4:$F$151,"Coup franc"))</f>
        <v>0</v>
      </c>
      <c r="H48" s="11" t="str">
        <f>IF(A48="","",COUNTIF(Buts!$D$4:$D$151,A48))</f>
        <v>0</v>
      </c>
      <c r="I48" s="11" t="str">
        <f>IF(A48="","",COUNTIFS(Cartons!$C$4:$C$121,A48,Cartons!$E$4:$E$121,"Jaune"))</f>
        <v>0</v>
      </c>
      <c r="J48" s="11" t="str">
        <f>IF(A48="","",COUNTIFS(Cartons!$C$4:$C$121,A48,Cartons!$E$4:$E$121,"Rouge"))</f>
        <v>0</v>
      </c>
      <c r="K48" s="11" t="str">
        <f>IF(A48="","",SUMIFS('Convocations &amp; Temps de jeu'!$J$4:$J$675,'Convocations &amp; Temps de jeu'!$B$4:$B$675,A48))</f>
        <v>0</v>
      </c>
      <c r="L48" s="5" t="str">
        <f>IF($A48="","",SUMIFS('Convocations &amp; Temps de jeu'!$P$4:$P$675,'Convocations &amp; Temps de jeu'!$B$4:$B$675,$A48))</f>
        <v>0</v>
      </c>
      <c r="M48" s="5" t="str">
        <f>IF($A48="","",SUMIFS('Convocations &amp; Temps de jeu'!$Q$4:$Q$675,'Convocations &amp; Temps de jeu'!$B$4:$B$675,$A48))</f>
        <v>0</v>
      </c>
      <c r="N48" s="16" t="str">
        <f t="shared" si="0"/>
        <v/>
      </c>
      <c r="O48" s="16" t="str">
        <f t="shared" si="1"/>
        <v/>
      </c>
      <c r="P48" s="20" t="str">
        <f t="shared" si="2"/>
        <v/>
      </c>
      <c r="Q48" s="5" t="str">
        <f>IF($A48="","",COUNTIFS('Convocations &amp; Temps de jeu'!$B$4:$B$675,$A48,'Convocations &amp; Temps de jeu'!$D$4:$D$675,"Non retenu"))</f>
        <v>0</v>
      </c>
      <c r="R48" s="5" t="str">
        <f>IF($A48="","",COUNTIFS('Convocations &amp; Temps de jeu'!$B$4:$B$675,$A48,'Convocations &amp; Temps de jeu'!$D$4:$D$675,"Blessé/malade"))</f>
        <v>0</v>
      </c>
      <c r="S48" s="5" t="str">
        <f>IF($A48="","",COUNTIFS('Convocations &amp; Temps de jeu'!$B$4:$B$675,$A48,'Convocations &amp; Temps de jeu'!$D$4:$D$675,"Pas venu à l'entraînement"))</f>
        <v>0</v>
      </c>
      <c r="T48" s="5" t="str">
        <f>IF($A48="","",COUNTIFS('Convocations &amp; Temps de jeu'!$B$4:$B$675,$A48,'Convocations &amp; Temps de jeu'!$D$4:$D$675,"Autre"))</f>
        <v>0</v>
      </c>
      <c r="U48" s="5" t="str">
        <f>IF($A48="","",COUNTIFS(Gardien!$B$4:$B$500,$A48))</f>
        <v>0</v>
      </c>
      <c r="V48" s="5" t="str">
        <f>IF($A48="","",COUNTIFS(Gardien!$B$4:$B$500,$A48,Gardien!$D$4:$D$500,"Oui"))</f>
        <v>0</v>
      </c>
      <c r="W48" s="5" t="str">
        <f>IF($A48="","",SUMIFS(Gardien!$C$4:$C$500,Gardien!$B$4:$B$500,$A48))</f>
        <v>0</v>
      </c>
    </row>
    <row r="49" spans="1:23" ht="15" customHeight="1" x14ac:dyDescent="0.25">
      <c r="A49" s="11" t="str">
        <f>'Effectif Saison'!E48</f>
        <v/>
      </c>
      <c r="B49" s="11">
        <f>'Effectif Saison'!D48</f>
        <v>0</v>
      </c>
      <c r="C49" s="11" t="str">
        <f>IF(A49="","",SUMIFS('Convocations &amp; Temps de jeu'!$K$4:$K$675,'Convocations &amp; Temps de jeu'!$B$4:$B$675,A49))</f>
        <v>0</v>
      </c>
      <c r="D49" s="11" t="str">
        <f>IF(A49="","",COUNTIF(Buts!$C$4:$C$151,A49))</f>
        <v>0</v>
      </c>
      <c r="E49" s="11" t="str">
        <f>IF(A49="","",COUNTIFS(Buts!$C$4:$C$151,A49,Buts!$F$4:$F$151,"Tête"))</f>
        <v>0</v>
      </c>
      <c r="F49" s="11" t="str">
        <f>IF(A49="","",COUNTIFS(Buts!$C$4:$C$151,A49,Buts!$F$4:$F$151,"Penalty"))</f>
        <v>0</v>
      </c>
      <c r="G49" s="11" t="str">
        <f>IF(A49="","",COUNTIFS(Buts!$C$4:$C$151,A49,Buts!$F$4:$F$151,"Coup franc"))</f>
        <v>0</v>
      </c>
      <c r="H49" s="11" t="str">
        <f>IF(A49="","",COUNTIF(Buts!$D$4:$D$151,A49))</f>
        <v>0</v>
      </c>
      <c r="I49" s="11" t="str">
        <f>IF(A49="","",COUNTIFS(Cartons!$C$4:$C$121,A49,Cartons!$E$4:$E$121,"Jaune"))</f>
        <v>0</v>
      </c>
      <c r="J49" s="11" t="str">
        <f>IF(A49="","",COUNTIFS(Cartons!$C$4:$C$121,A49,Cartons!$E$4:$E$121,"Rouge"))</f>
        <v>0</v>
      </c>
      <c r="K49" s="11" t="str">
        <f>IF(A49="","",SUMIFS('Convocations &amp; Temps de jeu'!$J$4:$J$675,'Convocations &amp; Temps de jeu'!$B$4:$B$675,A49))</f>
        <v>0</v>
      </c>
      <c r="L49" s="5" t="str">
        <f>IF($A49="","",SUMIFS('Convocations &amp; Temps de jeu'!$P$4:$P$675,'Convocations &amp; Temps de jeu'!$B$4:$B$675,$A49))</f>
        <v>0</v>
      </c>
      <c r="M49" s="5" t="str">
        <f>IF($A49="","",SUMIFS('Convocations &amp; Temps de jeu'!$Q$4:$Q$675,'Convocations &amp; Temps de jeu'!$B$4:$B$675,$A49))</f>
        <v>0</v>
      </c>
      <c r="N49" s="16" t="str">
        <f t="shared" si="0"/>
        <v/>
      </c>
      <c r="O49" s="16" t="str">
        <f t="shared" si="1"/>
        <v/>
      </c>
      <c r="P49" s="20" t="str">
        <f t="shared" si="2"/>
        <v/>
      </c>
      <c r="Q49" s="5" t="str">
        <f>IF($A49="","",COUNTIFS('Convocations &amp; Temps de jeu'!$B$4:$B$675,$A49,'Convocations &amp; Temps de jeu'!$D$4:$D$675,"Non retenu"))</f>
        <v>0</v>
      </c>
      <c r="R49" s="5" t="str">
        <f>IF($A49="","",COUNTIFS('Convocations &amp; Temps de jeu'!$B$4:$B$675,$A49,'Convocations &amp; Temps de jeu'!$D$4:$D$675,"Blessé/malade"))</f>
        <v>0</v>
      </c>
      <c r="S49" s="5" t="str">
        <f>IF($A49="","",COUNTIFS('Convocations &amp; Temps de jeu'!$B$4:$B$675,$A49,'Convocations &amp; Temps de jeu'!$D$4:$D$675,"Pas venu à l'entraînement"))</f>
        <v>0</v>
      </c>
      <c r="T49" s="5" t="str">
        <f>IF($A49="","",COUNTIFS('Convocations &amp; Temps de jeu'!$B$4:$B$675,$A49,'Convocations &amp; Temps de jeu'!$D$4:$D$675,"Autre"))</f>
        <v>0</v>
      </c>
      <c r="U49" s="5" t="str">
        <f>IF($A49="","",COUNTIFS(Gardien!$B$4:$B$500,$A49))</f>
        <v>0</v>
      </c>
      <c r="V49" s="5" t="str">
        <f>IF($A49="","",COUNTIFS(Gardien!$B$4:$B$500,$A49,Gardien!$D$4:$D$500,"Oui"))</f>
        <v>0</v>
      </c>
      <c r="W49" s="5" t="str">
        <f>IF($A49="","",SUMIFS(Gardien!$C$4:$C$500,Gardien!$B$4:$B$500,$A49))</f>
        <v>0</v>
      </c>
    </row>
    <row r="50" spans="1:23" ht="15" customHeight="1" x14ac:dyDescent="0.25">
      <c r="A50" s="11" t="str">
        <f>'Effectif Saison'!E49</f>
        <v/>
      </c>
      <c r="B50" s="11">
        <f>'Effectif Saison'!D49</f>
        <v>0</v>
      </c>
      <c r="C50" s="11" t="str">
        <f>IF(A50="","",SUMIFS('Convocations &amp; Temps de jeu'!$K$4:$K$675,'Convocations &amp; Temps de jeu'!$B$4:$B$675,A50))</f>
        <v>0</v>
      </c>
      <c r="D50" s="11" t="str">
        <f>IF(A50="","",COUNTIF(Buts!$C$4:$C$151,A50))</f>
        <v>0</v>
      </c>
      <c r="E50" s="11" t="str">
        <f>IF(A50="","",COUNTIFS(Buts!$C$4:$C$151,A50,Buts!$F$4:$F$151,"Tête"))</f>
        <v>0</v>
      </c>
      <c r="F50" s="11" t="str">
        <f>IF(A50="","",COUNTIFS(Buts!$C$4:$C$151,A50,Buts!$F$4:$F$151,"Penalty"))</f>
        <v>0</v>
      </c>
      <c r="G50" s="11" t="str">
        <f>IF(A50="","",COUNTIFS(Buts!$C$4:$C$151,A50,Buts!$F$4:$F$151,"Coup franc"))</f>
        <v>0</v>
      </c>
      <c r="H50" s="11" t="str">
        <f>IF(A50="","",COUNTIF(Buts!$D$4:$D$151,A50))</f>
        <v>0</v>
      </c>
      <c r="I50" s="11" t="str">
        <f>IF(A50="","",COUNTIFS(Cartons!$C$4:$C$121,A50,Cartons!$E$4:$E$121,"Jaune"))</f>
        <v>0</v>
      </c>
      <c r="J50" s="11" t="str">
        <f>IF(A50="","",COUNTIFS(Cartons!$C$4:$C$121,A50,Cartons!$E$4:$E$121,"Rouge"))</f>
        <v>0</v>
      </c>
      <c r="K50" s="11" t="str">
        <f>IF(A50="","",SUMIFS('Convocations &amp; Temps de jeu'!$J$4:$J$675,'Convocations &amp; Temps de jeu'!$B$4:$B$675,A50))</f>
        <v>0</v>
      </c>
      <c r="L50" s="5" t="str">
        <f>IF($A50="","",SUMIFS('Convocations &amp; Temps de jeu'!$P$4:$P$675,'Convocations &amp; Temps de jeu'!$B$4:$B$675,$A50))</f>
        <v>0</v>
      </c>
      <c r="M50" s="5" t="str">
        <f>IF($A50="","",SUMIFS('Convocations &amp; Temps de jeu'!$Q$4:$Q$675,'Convocations &amp; Temps de jeu'!$B$4:$B$675,$A50))</f>
        <v>0</v>
      </c>
      <c r="N50" s="16" t="str">
        <f t="shared" si="0"/>
        <v/>
      </c>
      <c r="O50" s="16" t="str">
        <f t="shared" si="1"/>
        <v/>
      </c>
      <c r="P50" s="20" t="str">
        <f t="shared" si="2"/>
        <v/>
      </c>
      <c r="Q50" s="5" t="str">
        <f>IF($A50="","",COUNTIFS('Convocations &amp; Temps de jeu'!$B$4:$B$675,$A50,'Convocations &amp; Temps de jeu'!$D$4:$D$675,"Non retenu"))</f>
        <v>0</v>
      </c>
      <c r="R50" s="5" t="str">
        <f>IF($A50="","",COUNTIFS('Convocations &amp; Temps de jeu'!$B$4:$B$675,$A50,'Convocations &amp; Temps de jeu'!$D$4:$D$675,"Blessé/malade"))</f>
        <v>0</v>
      </c>
      <c r="S50" s="5" t="str">
        <f>IF($A50="","",COUNTIFS('Convocations &amp; Temps de jeu'!$B$4:$B$675,$A50,'Convocations &amp; Temps de jeu'!$D$4:$D$675,"Pas venu à l'entraînement"))</f>
        <v>0</v>
      </c>
      <c r="T50" s="5" t="str">
        <f>IF($A50="","",COUNTIFS('Convocations &amp; Temps de jeu'!$B$4:$B$675,$A50,'Convocations &amp; Temps de jeu'!$D$4:$D$675,"Autre"))</f>
        <v>0</v>
      </c>
      <c r="U50" s="5" t="str">
        <f>IF($A50="","",COUNTIFS(Gardien!$B$4:$B$500,$A50))</f>
        <v>0</v>
      </c>
      <c r="V50" s="5" t="str">
        <f>IF($A50="","",COUNTIFS(Gardien!$B$4:$B$500,$A50,Gardien!$D$4:$D$500,"Oui"))</f>
        <v>0</v>
      </c>
      <c r="W50" s="5" t="str">
        <f>IF($A50="","",SUMIFS(Gardien!$C$4:$C$500,Gardien!$B$4:$B$500,$A50))</f>
        <v>0</v>
      </c>
    </row>
    <row r="51" spans="1:23" ht="15" customHeight="1" x14ac:dyDescent="0.25">
      <c r="A51" s="11" t="str">
        <f>'Effectif Saison'!E50</f>
        <v/>
      </c>
      <c r="B51" s="11">
        <f>'Effectif Saison'!D50</f>
        <v>0</v>
      </c>
      <c r="C51" s="11" t="str">
        <f>IF(A51="","",SUMIFS('Convocations &amp; Temps de jeu'!$K$4:$K$675,'Convocations &amp; Temps de jeu'!$B$4:$B$675,A51))</f>
        <v>0</v>
      </c>
      <c r="D51" s="11" t="str">
        <f>IF(A51="","",COUNTIF(Buts!$C$4:$C$151,A51))</f>
        <v>0</v>
      </c>
      <c r="E51" s="11" t="str">
        <f>IF(A51="","",COUNTIFS(Buts!$C$4:$C$151,A51,Buts!$F$4:$F$151,"Tête"))</f>
        <v>0</v>
      </c>
      <c r="F51" s="11" t="str">
        <f>IF(A51="","",COUNTIFS(Buts!$C$4:$C$151,A51,Buts!$F$4:$F$151,"Penalty"))</f>
        <v>0</v>
      </c>
      <c r="G51" s="11" t="str">
        <f>IF(A51="","",COUNTIFS(Buts!$C$4:$C$151,A51,Buts!$F$4:$F$151,"Coup franc"))</f>
        <v>0</v>
      </c>
      <c r="H51" s="11" t="str">
        <f>IF(A51="","",COUNTIF(Buts!$D$4:$D$151,A51))</f>
        <v>0</v>
      </c>
      <c r="I51" s="11" t="str">
        <f>IF(A51="","",COUNTIFS(Cartons!$C$4:$C$121,A51,Cartons!$E$4:$E$121,"Jaune"))</f>
        <v>0</v>
      </c>
      <c r="J51" s="11" t="str">
        <f>IF(A51="","",COUNTIFS(Cartons!$C$4:$C$121,A51,Cartons!$E$4:$E$121,"Rouge"))</f>
        <v>0</v>
      </c>
      <c r="K51" s="11" t="str">
        <f>IF(A51="","",SUMIFS('Convocations &amp; Temps de jeu'!$J$4:$J$675,'Convocations &amp; Temps de jeu'!$B$4:$B$675,A51))</f>
        <v>0</v>
      </c>
      <c r="L51" s="5" t="str">
        <f>IF($A51="","",SUMIFS('Convocations &amp; Temps de jeu'!$P$4:$P$675,'Convocations &amp; Temps de jeu'!$B$4:$B$675,$A51))</f>
        <v>0</v>
      </c>
      <c r="M51" s="5" t="str">
        <f>IF($A51="","",SUMIFS('Convocations &amp; Temps de jeu'!$Q$4:$Q$675,'Convocations &amp; Temps de jeu'!$B$4:$B$675,$A51))</f>
        <v>0</v>
      </c>
      <c r="N51" s="16" t="str">
        <f t="shared" si="0"/>
        <v/>
      </c>
      <c r="O51" s="16" t="str">
        <f t="shared" si="1"/>
        <v/>
      </c>
      <c r="P51" s="20" t="str">
        <f t="shared" si="2"/>
        <v/>
      </c>
      <c r="Q51" s="5" t="str">
        <f>IF($A51="","",COUNTIFS('Convocations &amp; Temps de jeu'!$B$4:$B$675,$A51,'Convocations &amp; Temps de jeu'!$D$4:$D$675,"Non retenu"))</f>
        <v>0</v>
      </c>
      <c r="R51" s="5" t="str">
        <f>IF($A51="","",COUNTIFS('Convocations &amp; Temps de jeu'!$B$4:$B$675,$A51,'Convocations &amp; Temps de jeu'!$D$4:$D$675,"Blessé/malade"))</f>
        <v>0</v>
      </c>
      <c r="S51" s="5" t="str">
        <f>IF($A51="","",COUNTIFS('Convocations &amp; Temps de jeu'!$B$4:$B$675,$A51,'Convocations &amp; Temps de jeu'!$D$4:$D$675,"Pas venu à l'entraînement"))</f>
        <v>0</v>
      </c>
      <c r="T51" s="5" t="str">
        <f>IF($A51="","",COUNTIFS('Convocations &amp; Temps de jeu'!$B$4:$B$675,$A51,'Convocations &amp; Temps de jeu'!$D$4:$D$675,"Autre"))</f>
        <v>0</v>
      </c>
      <c r="U51" s="5" t="str">
        <f>IF($A51="","",COUNTIFS(Gardien!$B$4:$B$500,$A51))</f>
        <v>0</v>
      </c>
      <c r="V51" s="5" t="str">
        <f>IF($A51="","",COUNTIFS(Gardien!$B$4:$B$500,$A51,Gardien!$D$4:$D$500,"Oui"))</f>
        <v>0</v>
      </c>
      <c r="W51" s="5" t="str">
        <f>IF($A51="","",SUMIFS(Gardien!$C$4:$C$500,Gardien!$B$4:$B$500,$A51))</f>
        <v>0</v>
      </c>
    </row>
    <row r="52" spans="1:23" ht="15" customHeight="1" x14ac:dyDescent="0.25">
      <c r="A52" s="11" t="str">
        <f>'Effectif Saison'!E51</f>
        <v/>
      </c>
      <c r="B52" s="11">
        <f>'Effectif Saison'!D51</f>
        <v>0</v>
      </c>
      <c r="C52" s="11" t="str">
        <f>IF(A52="","",SUMIFS('Convocations &amp; Temps de jeu'!$K$4:$K$675,'Convocations &amp; Temps de jeu'!$B$4:$B$675,A52))</f>
        <v>0</v>
      </c>
      <c r="D52" s="11" t="str">
        <f>IF(A52="","",COUNTIF(Buts!$C$4:$C$151,A52))</f>
        <v>0</v>
      </c>
      <c r="E52" s="11" t="str">
        <f>IF(A52="","",COUNTIFS(Buts!$C$4:$C$151,A52,Buts!$F$4:$F$151,"Tête"))</f>
        <v>0</v>
      </c>
      <c r="F52" s="11" t="str">
        <f>IF(A52="","",COUNTIFS(Buts!$C$4:$C$151,A52,Buts!$F$4:$F$151,"Penalty"))</f>
        <v>0</v>
      </c>
      <c r="G52" s="11" t="str">
        <f>IF(A52="","",COUNTIFS(Buts!$C$4:$C$151,A52,Buts!$F$4:$F$151,"Coup franc"))</f>
        <v>0</v>
      </c>
      <c r="H52" s="11" t="str">
        <f>IF(A52="","",COUNTIF(Buts!$D$4:$D$151,A52))</f>
        <v>0</v>
      </c>
      <c r="I52" s="11" t="str">
        <f>IF(A52="","",COUNTIFS(Cartons!$C$4:$C$121,A52,Cartons!$E$4:$E$121,"Jaune"))</f>
        <v>0</v>
      </c>
      <c r="J52" s="11" t="str">
        <f>IF(A52="","",COUNTIFS(Cartons!$C$4:$C$121,A52,Cartons!$E$4:$E$121,"Rouge"))</f>
        <v>0</v>
      </c>
      <c r="K52" s="11" t="str">
        <f>IF(A52="","",SUMIFS('Convocations &amp; Temps de jeu'!$J$4:$J$675,'Convocations &amp; Temps de jeu'!$B$4:$B$675,A52))</f>
        <v>0</v>
      </c>
      <c r="L52" s="5" t="str">
        <f>IF($A52="","",SUMIFS('Convocations &amp; Temps de jeu'!$P$4:$P$675,'Convocations &amp; Temps de jeu'!$B$4:$B$675,$A52))</f>
        <v>0</v>
      </c>
      <c r="M52" s="5" t="str">
        <f>IF($A52="","",SUMIFS('Convocations &amp; Temps de jeu'!$Q$4:$Q$675,'Convocations &amp; Temps de jeu'!$B$4:$B$675,$A52))</f>
        <v>0</v>
      </c>
      <c r="N52" s="16" t="str">
        <f t="shared" si="0"/>
        <v/>
      </c>
      <c r="O52" s="16" t="str">
        <f t="shared" si="1"/>
        <v/>
      </c>
      <c r="P52" s="20" t="str">
        <f t="shared" si="2"/>
        <v/>
      </c>
      <c r="Q52" s="5" t="str">
        <f>IF($A52="","",COUNTIFS('Convocations &amp; Temps de jeu'!$B$4:$B$675,$A52,'Convocations &amp; Temps de jeu'!$D$4:$D$675,"Non retenu"))</f>
        <v>0</v>
      </c>
      <c r="R52" s="5" t="str">
        <f>IF($A52="","",COUNTIFS('Convocations &amp; Temps de jeu'!$B$4:$B$675,$A52,'Convocations &amp; Temps de jeu'!$D$4:$D$675,"Blessé/malade"))</f>
        <v>0</v>
      </c>
      <c r="S52" s="5" t="str">
        <f>IF($A52="","",COUNTIFS('Convocations &amp; Temps de jeu'!$B$4:$B$675,$A52,'Convocations &amp; Temps de jeu'!$D$4:$D$675,"Pas venu à l'entraînement"))</f>
        <v>0</v>
      </c>
      <c r="T52" s="5" t="str">
        <f>IF($A52="","",COUNTIFS('Convocations &amp; Temps de jeu'!$B$4:$B$675,$A52,'Convocations &amp; Temps de jeu'!$D$4:$D$675,"Autre"))</f>
        <v>0</v>
      </c>
      <c r="U52" s="5" t="str">
        <f>IF($A52="","",COUNTIFS(Gardien!$B$4:$B$500,$A52))</f>
        <v>0</v>
      </c>
      <c r="V52" s="5" t="str">
        <f>IF($A52="","",COUNTIFS(Gardien!$B$4:$B$500,$A52,Gardien!$D$4:$D$500,"Oui"))</f>
        <v>0</v>
      </c>
      <c r="W52" s="5" t="str">
        <f>IF($A52="","",SUMIFS(Gardien!$C$4:$C$500,Gardien!$B$4:$B$500,$A52))</f>
        <v>0</v>
      </c>
    </row>
  </sheetData>
  <mergeCells count="2">
    <mergeCell ref="A1:K1"/>
    <mergeCell ref="A2:K2"/>
  </mergeCells>
  <conditionalFormatting sqref="B5:B52">
    <cfRule type="cellIs" dxfId="0" priority="2" operator="equal">
      <formula>"Équipe 1"</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Legende</vt:lpstr>
      <vt:lpstr>Effectif Saison</vt:lpstr>
      <vt:lpstr>Matchs</vt:lpstr>
      <vt:lpstr>Buts</vt:lpstr>
      <vt:lpstr>Cartons</vt:lpstr>
      <vt:lpstr>Gardien</vt:lpstr>
      <vt:lpstr>Changements</vt:lpstr>
      <vt:lpstr>Convocations &amp; Temps de jeu</vt:lpstr>
      <vt:lpstr>Cumul Saison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Philippe Meyer</cp:lastModifiedBy>
  <cp:revision>0</cp:revision>
  <dcterms:created xsi:type="dcterms:W3CDTF">2026-09-05T10:49:21Z</dcterms:created>
  <dcterms:modified xsi:type="dcterms:W3CDTF">2026-09-07T11:21:48Z</dcterms:modified>
  <dc:language>en-US</dc:language>
</cp:coreProperties>
</file>